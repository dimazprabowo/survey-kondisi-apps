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F2B9B913D72E3995/Documents/"/>
    </mc:Choice>
  </mc:AlternateContent>
  <xr:revisionPtr revIDLastSave="0" documentId="8_{D581E5FB-47F0-4C07-ACA9-9117E5DF4296}" xr6:coauthVersionLast="47" xr6:coauthVersionMax="47" xr10:uidLastSave="{00000000-0000-0000-0000-000000000000}"/>
  <bookViews>
    <workbookView xWindow="-108" yWindow="-108" windowWidth="23256" windowHeight="12576" firstSheet="16" activeTab="16" xr2:uid="{00000000-000D-0000-FFFF-FFFF00000000}"/>
  </bookViews>
  <sheets>
    <sheet name="REMARK CAP" sheetId="3" r:id="rId1"/>
    <sheet name="curve" sheetId="14" r:id="rId2"/>
    <sheet name="EXECUTIVE SUMMARY" sheetId="2" state="hidden" r:id="rId3"/>
    <sheet name="EXECUTIVE SUMMARY (2)" sheetId="23" r:id="rId4"/>
    <sheet name="EXECUTIVE SUMMARY - 4" sheetId="18" state="hidden" r:id="rId5"/>
    <sheet name="EXECUTIVE SUMMARY - 3" sheetId="17" state="hidden" r:id="rId6"/>
    <sheet name="EXECUTIVE SUMMARY - 2" sheetId="16" state="hidden" r:id="rId7"/>
    <sheet name="Hull &amp; Cons" sheetId="5" r:id="rId8"/>
    <sheet name="Ramp" sheetId="6" r:id="rId9"/>
    <sheet name="Accomodation" sheetId="7" r:id="rId10"/>
    <sheet name="Deck Machinery &amp; Outfitting" sheetId="19" r:id="rId11"/>
    <sheet name="ER&amp;Machinery-1" sheetId="20" r:id="rId12"/>
    <sheet name="ER&amp;MAchinery-2" sheetId="21" r:id="rId13"/>
    <sheet name="PUMP&amp;PIPE - xx" sheetId="10" state="hidden" r:id="rId14"/>
    <sheet name="BRIDGE &amp; NAVIGATION" sheetId="11" r:id="rId15"/>
    <sheet name="NAV - Inventroy" sheetId="24" r:id="rId16"/>
    <sheet name="SHIP SAFETY OPERATION" sheetId="12" r:id="rId17"/>
    <sheet name="Copy of ER&amp;M" sheetId="13" state="hidden" r:id="rId18"/>
    <sheet name="LSA FFA - Inventory" sheetId="25" r:id="rId19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  <c r="G229" i="12"/>
  <c r="G234" i="12"/>
  <c r="G224" i="12"/>
  <c r="G219" i="12"/>
  <c r="G218" i="12"/>
  <c r="G217" i="12"/>
  <c r="G212" i="12"/>
  <c r="G207" i="12"/>
  <c r="G202" i="12"/>
  <c r="G195" i="12"/>
  <c r="G197" i="12"/>
  <c r="G196" i="12"/>
  <c r="H193" i="12" s="1"/>
  <c r="G189" i="12"/>
  <c r="G188" i="12"/>
  <c r="G187" i="12"/>
  <c r="G186" i="12"/>
  <c r="G179" i="12"/>
  <c r="G180" i="12"/>
  <c r="G181" i="12"/>
  <c r="G178" i="12"/>
  <c r="G163" i="12"/>
  <c r="G162" i="12"/>
  <c r="G76" i="12"/>
  <c r="G49" i="12"/>
  <c r="G46" i="12"/>
  <c r="G43" i="12"/>
  <c r="G40" i="12"/>
  <c r="G37" i="12"/>
  <c r="G34" i="12"/>
  <c r="G31" i="12"/>
  <c r="G28" i="12"/>
  <c r="G26" i="12"/>
  <c r="G24" i="12"/>
  <c r="G22" i="12"/>
  <c r="G16" i="12"/>
  <c r="G13" i="12"/>
  <c r="G10" i="12"/>
  <c r="G7" i="12"/>
  <c r="M12" i="23"/>
  <c r="M11" i="23"/>
  <c r="M10" i="23"/>
  <c r="M9" i="23"/>
  <c r="M8" i="23"/>
  <c r="M7" i="23"/>
  <c r="K12" i="23"/>
  <c r="K11" i="23"/>
  <c r="K10" i="23"/>
  <c r="K9" i="23"/>
  <c r="K8" i="23"/>
  <c r="K7" i="23"/>
  <c r="O6" i="23"/>
  <c r="D24" i="23"/>
  <c r="D23" i="23"/>
  <c r="F7" i="23"/>
  <c r="F24" i="23"/>
  <c r="F23" i="23"/>
  <c r="H22" i="23"/>
  <c r="H6" i="23"/>
  <c r="D7" i="23"/>
  <c r="D8" i="23"/>
  <c r="F8" i="23"/>
  <c r="H10" i="23"/>
  <c r="D11" i="23"/>
  <c r="F11" i="23"/>
  <c r="D12" i="23"/>
  <c r="F12" i="23"/>
  <c r="D13" i="23"/>
  <c r="F13" i="23"/>
  <c r="D14" i="23"/>
  <c r="F14" i="23"/>
  <c r="O14" i="23"/>
  <c r="D15" i="23"/>
  <c r="F15" i="23"/>
  <c r="K15" i="23"/>
  <c r="M15" i="23"/>
  <c r="D16" i="23"/>
  <c r="F16" i="23"/>
  <c r="K16" i="23"/>
  <c r="M16" i="23"/>
  <c r="K17" i="23"/>
  <c r="M17" i="23"/>
  <c r="H18" i="23"/>
  <c r="K18" i="23"/>
  <c r="M18" i="23"/>
  <c r="D19" i="23"/>
  <c r="F19" i="23"/>
  <c r="D20" i="23"/>
  <c r="F20" i="23"/>
  <c r="K21" i="23"/>
  <c r="K22" i="23"/>
  <c r="K23" i="23"/>
  <c r="H2" i="20"/>
  <c r="H46" i="21"/>
  <c r="H47" i="21"/>
  <c r="H48" i="21"/>
  <c r="H49" i="21"/>
  <c r="H50" i="21"/>
  <c r="H37" i="21"/>
  <c r="H38" i="21"/>
  <c r="H32" i="21"/>
  <c r="H33" i="21"/>
  <c r="H34" i="21"/>
  <c r="H27" i="21"/>
  <c r="H28" i="21"/>
  <c r="H29" i="21"/>
  <c r="H26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I43" i="21"/>
  <c r="I3" i="21"/>
  <c r="I42" i="10"/>
  <c r="G96" i="11"/>
  <c r="G95" i="11"/>
  <c r="G94" i="11"/>
  <c r="G93" i="11"/>
  <c r="G92" i="11"/>
  <c r="G84" i="11"/>
  <c r="G83" i="11"/>
  <c r="G82" i="11"/>
  <c r="G81" i="11"/>
  <c r="G80" i="11"/>
  <c r="G79" i="11"/>
  <c r="G78" i="11"/>
  <c r="G77" i="11"/>
  <c r="G76" i="11"/>
  <c r="G75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4" i="11"/>
  <c r="G52" i="11"/>
  <c r="G44" i="11"/>
  <c r="G43" i="11"/>
  <c r="G42" i="11"/>
  <c r="G40" i="11"/>
  <c r="G33" i="11"/>
  <c r="G32" i="11"/>
  <c r="G31" i="11"/>
  <c r="G30" i="11"/>
  <c r="G29" i="11"/>
  <c r="G28" i="11"/>
  <c r="G21" i="11"/>
  <c r="G20" i="11"/>
  <c r="G18" i="11"/>
  <c r="G16" i="11"/>
  <c r="G15" i="11"/>
  <c r="G14" i="11"/>
  <c r="G13" i="11"/>
  <c r="G12" i="11"/>
  <c r="G11" i="11"/>
  <c r="G10" i="11"/>
  <c r="G9" i="11"/>
  <c r="G8" i="11"/>
  <c r="G168" i="20"/>
  <c r="G169" i="20"/>
  <c r="G170" i="20"/>
  <c r="G171" i="20"/>
  <c r="G172" i="20"/>
  <c r="G157" i="20"/>
  <c r="G158" i="20"/>
  <c r="G159" i="20"/>
  <c r="G160" i="20"/>
  <c r="G161" i="20"/>
  <c r="G197" i="19"/>
  <c r="G196" i="19"/>
  <c r="G195" i="19"/>
  <c r="G188" i="19"/>
  <c r="G187" i="19"/>
  <c r="G179" i="19"/>
  <c r="G178" i="19"/>
  <c r="G177" i="19"/>
  <c r="G176" i="19"/>
  <c r="G169" i="19"/>
  <c r="G168" i="19"/>
  <c r="G167" i="19"/>
  <c r="G160" i="19"/>
  <c r="G159" i="19"/>
  <c r="G158" i="19"/>
  <c r="G157" i="19"/>
  <c r="H155" i="19" s="1"/>
  <c r="G150" i="19"/>
  <c r="G149" i="19"/>
  <c r="G148" i="19"/>
  <c r="G141" i="19"/>
  <c r="G140" i="19"/>
  <c r="G133" i="19"/>
  <c r="G132" i="19"/>
  <c r="G145" i="20"/>
  <c r="G146" i="20"/>
  <c r="G147" i="20"/>
  <c r="G148" i="20"/>
  <c r="G135" i="20"/>
  <c r="G136" i="20"/>
  <c r="G137" i="20"/>
  <c r="G138" i="20"/>
  <c r="G124" i="20"/>
  <c r="G125" i="20"/>
  <c r="G126" i="20"/>
  <c r="G127" i="20"/>
  <c r="G128" i="20"/>
  <c r="G113" i="20"/>
  <c r="G114" i="20"/>
  <c r="G115" i="20"/>
  <c r="G116" i="20"/>
  <c r="G117" i="20"/>
  <c r="G125" i="19"/>
  <c r="G111" i="19"/>
  <c r="G110" i="19"/>
  <c r="G109" i="19"/>
  <c r="G108" i="19"/>
  <c r="G101" i="19"/>
  <c r="G100" i="19"/>
  <c r="G93" i="19"/>
  <c r="G68" i="19"/>
  <c r="G67" i="19"/>
  <c r="G66" i="19"/>
  <c r="G65" i="19"/>
  <c r="G64" i="19"/>
  <c r="G62" i="19"/>
  <c r="G54" i="19"/>
  <c r="G53" i="19"/>
  <c r="G52" i="19"/>
  <c r="G51" i="19"/>
  <c r="G50" i="19"/>
  <c r="G49" i="19"/>
  <c r="G48" i="19"/>
  <c r="G47" i="19"/>
  <c r="G46" i="19"/>
  <c r="G39" i="19"/>
  <c r="G38" i="19"/>
  <c r="G37" i="19"/>
  <c r="G36" i="19"/>
  <c r="G35" i="19"/>
  <c r="G34" i="19"/>
  <c r="G33" i="19"/>
  <c r="G32" i="19"/>
  <c r="G31" i="19"/>
  <c r="G24" i="19"/>
  <c r="G23" i="19"/>
  <c r="G22" i="19"/>
  <c r="G21" i="19"/>
  <c r="G20" i="19"/>
  <c r="G19" i="19"/>
  <c r="G12" i="19"/>
  <c r="G11" i="19"/>
  <c r="G10" i="19"/>
  <c r="G9" i="19"/>
  <c r="G8" i="19"/>
  <c r="G91" i="20"/>
  <c r="G92" i="20"/>
  <c r="G93" i="20"/>
  <c r="G94" i="20"/>
  <c r="H29" i="6"/>
  <c r="H37" i="6"/>
  <c r="G81" i="20"/>
  <c r="G82" i="20"/>
  <c r="G83" i="20"/>
  <c r="G84" i="20"/>
  <c r="G77" i="7"/>
  <c r="G76" i="7"/>
  <c r="G75" i="7"/>
  <c r="G74" i="7"/>
  <c r="G73" i="7"/>
  <c r="G72" i="7"/>
  <c r="G71" i="7"/>
  <c r="G70" i="7"/>
  <c r="G62" i="7"/>
  <c r="G61" i="7"/>
  <c r="G60" i="7"/>
  <c r="G59" i="7"/>
  <c r="G58" i="7"/>
  <c r="G57" i="7"/>
  <c r="G56" i="7"/>
  <c r="G55" i="7"/>
  <c r="G48" i="7"/>
  <c r="G47" i="7"/>
  <c r="G46" i="7"/>
  <c r="G45" i="7"/>
  <c r="G44" i="7"/>
  <c r="G35" i="7"/>
  <c r="G34" i="7"/>
  <c r="G33" i="7"/>
  <c r="G32" i="7"/>
  <c r="H30" i="7" s="1"/>
  <c r="G25" i="7"/>
  <c r="G24" i="7"/>
  <c r="G23" i="7"/>
  <c r="G22" i="7"/>
  <c r="G21" i="7"/>
  <c r="G20" i="7"/>
  <c r="H18" i="7" s="1"/>
  <c r="G13" i="7"/>
  <c r="G12" i="7"/>
  <c r="G11" i="7"/>
  <c r="G10" i="7"/>
  <c r="G9" i="7"/>
  <c r="G8" i="7"/>
  <c r="G138" i="6"/>
  <c r="G137" i="6"/>
  <c r="G136" i="6"/>
  <c r="G134" i="6"/>
  <c r="G133" i="6"/>
  <c r="G132" i="6"/>
  <c r="G131" i="6"/>
  <c r="G124" i="6"/>
  <c r="G123" i="6"/>
  <c r="G122" i="6"/>
  <c r="G114" i="6"/>
  <c r="G113" i="6"/>
  <c r="G112" i="6"/>
  <c r="G110" i="6"/>
  <c r="G109" i="6"/>
  <c r="G108" i="6"/>
  <c r="G107" i="6"/>
  <c r="G100" i="6"/>
  <c r="G99" i="6"/>
  <c r="G98" i="6"/>
  <c r="G90" i="6"/>
  <c r="G89" i="6"/>
  <c r="G88" i="6"/>
  <c r="G86" i="6"/>
  <c r="G85" i="6"/>
  <c r="G84" i="6"/>
  <c r="G83" i="6"/>
  <c r="G76" i="6"/>
  <c r="G75" i="6"/>
  <c r="G74" i="6"/>
  <c r="G70" i="20"/>
  <c r="G71" i="20"/>
  <c r="G72" i="20"/>
  <c r="G73" i="20"/>
  <c r="G66" i="6"/>
  <c r="G65" i="6"/>
  <c r="G64" i="6"/>
  <c r="G62" i="6"/>
  <c r="G61" i="6"/>
  <c r="G60" i="6"/>
  <c r="G59" i="6"/>
  <c r="G52" i="6"/>
  <c r="G51" i="6"/>
  <c r="G50" i="6"/>
  <c r="G42" i="6"/>
  <c r="G41" i="6"/>
  <c r="G40" i="6"/>
  <c r="G39" i="6"/>
  <c r="G32" i="6"/>
  <c r="G31" i="6"/>
  <c r="G23" i="6"/>
  <c r="G22" i="6"/>
  <c r="G21" i="6"/>
  <c r="G19" i="6"/>
  <c r="G18" i="6"/>
  <c r="G17" i="6"/>
  <c r="G16" i="6"/>
  <c r="G9" i="6"/>
  <c r="G8" i="6"/>
  <c r="G58" i="5"/>
  <c r="G57" i="5"/>
  <c r="G56" i="5"/>
  <c r="G49" i="5"/>
  <c r="G48" i="5"/>
  <c r="G47" i="5"/>
  <c r="G40" i="5"/>
  <c r="G39" i="5"/>
  <c r="G38" i="5"/>
  <c r="G37" i="5"/>
  <c r="H13" i="5"/>
  <c r="G28" i="5"/>
  <c r="G27" i="5"/>
  <c r="G26" i="5"/>
  <c r="G19" i="5"/>
  <c r="G18" i="5"/>
  <c r="G17" i="5"/>
  <c r="G16" i="5"/>
  <c r="G15" i="5"/>
  <c r="G7" i="5"/>
  <c r="G8" i="5"/>
  <c r="G19" i="20"/>
  <c r="G20" i="20"/>
  <c r="G18" i="20"/>
  <c r="G17" i="20"/>
  <c r="G16" i="20"/>
  <c r="G15" i="20"/>
  <c r="G14" i="20"/>
  <c r="G13" i="20"/>
  <c r="G104" i="20"/>
  <c r="G103" i="20"/>
  <c r="G102" i="20"/>
  <c r="G101" i="20"/>
  <c r="H99" i="20"/>
  <c r="G80" i="20"/>
  <c r="H78" i="20" s="1"/>
  <c r="G69" i="20"/>
  <c r="H67" i="20" s="1"/>
  <c r="G60" i="20"/>
  <c r="G59" i="20"/>
  <c r="G58" i="20"/>
  <c r="G57" i="20"/>
  <c r="G56" i="20"/>
  <c r="G55" i="20"/>
  <c r="G54" i="20"/>
  <c r="G53" i="20"/>
  <c r="G52" i="20"/>
  <c r="H50" i="20"/>
  <c r="G45" i="20"/>
  <c r="G44" i="20"/>
  <c r="G43" i="20"/>
  <c r="G42" i="20"/>
  <c r="G41" i="20"/>
  <c r="G40" i="20"/>
  <c r="G39" i="20"/>
  <c r="G38" i="20"/>
  <c r="G37" i="20"/>
  <c r="H35" i="20"/>
  <c r="G30" i="20"/>
  <c r="G29" i="20"/>
  <c r="G28" i="20"/>
  <c r="G27" i="20"/>
  <c r="H25" i="20"/>
  <c r="G12" i="20"/>
  <c r="G11" i="20"/>
  <c r="G10" i="20"/>
  <c r="G9" i="20"/>
  <c r="G8" i="20"/>
  <c r="G7" i="20"/>
  <c r="H5" i="20" s="1"/>
  <c r="H4" i="20"/>
  <c r="H193" i="19"/>
  <c r="G186" i="19"/>
  <c r="H184" i="19"/>
  <c r="H174" i="19"/>
  <c r="H138" i="19"/>
  <c r="H130" i="19"/>
  <c r="H123" i="19"/>
  <c r="G118" i="19"/>
  <c r="H116" i="19" s="1"/>
  <c r="H106" i="19"/>
  <c r="G77" i="19"/>
  <c r="G76" i="19"/>
  <c r="G75" i="19"/>
  <c r="H73" i="19" s="1"/>
  <c r="G61" i="19"/>
  <c r="H59" i="19" s="1"/>
  <c r="H44" i="19"/>
  <c r="H98" i="19"/>
  <c r="H91" i="19"/>
  <c r="G86" i="19"/>
  <c r="H84" i="19" s="1"/>
  <c r="H29" i="19"/>
  <c r="H17" i="19"/>
  <c r="G7" i="19"/>
  <c r="H5" i="19" s="1"/>
  <c r="H4" i="19" s="1"/>
  <c r="G190" i="12"/>
  <c r="H232" i="12"/>
  <c r="D4" i="18"/>
  <c r="L4" i="18"/>
  <c r="D5" i="18"/>
  <c r="L5" i="18"/>
  <c r="D6" i="18"/>
  <c r="L6" i="18"/>
  <c r="D7" i="18"/>
  <c r="I7" i="18"/>
  <c r="G124" i="12"/>
  <c r="G123" i="12"/>
  <c r="G131" i="12"/>
  <c r="G130" i="12"/>
  <c r="D4" i="17"/>
  <c r="L4" i="17"/>
  <c r="E5" i="17"/>
  <c r="M5" i="17"/>
  <c r="E6" i="17"/>
  <c r="M6" i="17"/>
  <c r="M7" i="17"/>
  <c r="D8" i="17"/>
  <c r="M8" i="17"/>
  <c r="E9" i="17"/>
  <c r="M9" i="17"/>
  <c r="E10" i="17"/>
  <c r="M10" i="17"/>
  <c r="E11" i="17"/>
  <c r="E12" i="17"/>
  <c r="L12" i="17"/>
  <c r="E13" i="17"/>
  <c r="M13" i="17"/>
  <c r="E14" i="17"/>
  <c r="M14" i="17"/>
  <c r="M15" i="17"/>
  <c r="D16" i="17"/>
  <c r="M16" i="17"/>
  <c r="E17" i="17"/>
  <c r="E18" i="17"/>
  <c r="L18" i="17"/>
  <c r="M19" i="17"/>
  <c r="D20" i="17"/>
  <c r="I20" i="17"/>
  <c r="M20" i="17"/>
  <c r="E21" i="17"/>
  <c r="M21" i="17"/>
  <c r="E22" i="17"/>
  <c r="G65" i="12"/>
  <c r="G157" i="12"/>
  <c r="G96" i="12"/>
  <c r="G138" i="12"/>
  <c r="D8" i="16"/>
  <c r="M8" i="16"/>
  <c r="E9" i="16"/>
  <c r="N9" i="16"/>
  <c r="R9" i="16"/>
  <c r="E10" i="16"/>
  <c r="N10" i="16"/>
  <c r="R10" i="16"/>
  <c r="N11" i="16"/>
  <c r="R11" i="16"/>
  <c r="D12" i="16"/>
  <c r="N12" i="16"/>
  <c r="R12" i="16"/>
  <c r="E13" i="16"/>
  <c r="N13" i="16"/>
  <c r="E14" i="16"/>
  <c r="N14" i="16"/>
  <c r="E15" i="16"/>
  <c r="E16" i="16"/>
  <c r="M16" i="16"/>
  <c r="E17" i="16"/>
  <c r="N17" i="16"/>
  <c r="E18" i="16"/>
  <c r="N18" i="16"/>
  <c r="N19" i="16"/>
  <c r="D20" i="16"/>
  <c r="N20" i="16"/>
  <c r="E21" i="16"/>
  <c r="E22" i="16"/>
  <c r="M22" i="16"/>
  <c r="N23" i="16"/>
  <c r="D24" i="16"/>
  <c r="J24" i="16"/>
  <c r="N24" i="16"/>
  <c r="E25" i="16"/>
  <c r="H25" i="16"/>
  <c r="N25" i="16"/>
  <c r="E26" i="16"/>
  <c r="H26" i="16"/>
  <c r="G141" i="12"/>
  <c r="G139" i="12"/>
  <c r="G140" i="12"/>
  <c r="G64" i="12"/>
  <c r="G63" i="12"/>
  <c r="H62" i="12" s="1"/>
  <c r="I36" i="2"/>
  <c r="I42" i="2"/>
  <c r="I28" i="2"/>
  <c r="H45" i="10"/>
  <c r="R14" i="16"/>
  <c r="M34" i="2"/>
  <c r="M32" i="2"/>
  <c r="M31" i="2"/>
  <c r="J45" i="2"/>
  <c r="J44" i="2"/>
  <c r="J43" i="2"/>
  <c r="J40" i="2"/>
  <c r="J39" i="2"/>
  <c r="J38" i="2"/>
  <c r="J37" i="2"/>
  <c r="J34" i="2"/>
  <c r="J33" i="2"/>
  <c r="J32" i="2"/>
  <c r="J31" i="2"/>
  <c r="J30" i="2"/>
  <c r="J29" i="2"/>
  <c r="F46" i="2"/>
  <c r="G129" i="12"/>
  <c r="G132" i="12"/>
  <c r="C44" i="2"/>
  <c r="C28" i="2"/>
  <c r="C40" i="2"/>
  <c r="C32" i="2"/>
  <c r="D46" i="2"/>
  <c r="D45" i="2"/>
  <c r="D42" i="2"/>
  <c r="D41" i="2"/>
  <c r="D38" i="2"/>
  <c r="D37" i="2"/>
  <c r="D36" i="2"/>
  <c r="D35" i="2"/>
  <c r="D34" i="2"/>
  <c r="D33" i="2"/>
  <c r="D30" i="2"/>
  <c r="D29" i="2"/>
  <c r="M214" i="14"/>
  <c r="D214" i="14"/>
  <c r="M213" i="14"/>
  <c r="D213" i="14"/>
  <c r="M212" i="14"/>
  <c r="D212" i="14"/>
  <c r="M211" i="14"/>
  <c r="D211" i="14"/>
  <c r="M210" i="14"/>
  <c r="D210" i="14"/>
  <c r="M209" i="14"/>
  <c r="D209" i="14"/>
  <c r="M208" i="14"/>
  <c r="D208" i="14"/>
  <c r="M207" i="14"/>
  <c r="D207" i="14"/>
  <c r="M206" i="14"/>
  <c r="D206" i="14"/>
  <c r="M205" i="14"/>
  <c r="D205" i="14"/>
  <c r="M204" i="14"/>
  <c r="D204" i="14"/>
  <c r="M203" i="14"/>
  <c r="D203" i="14"/>
  <c r="M202" i="14"/>
  <c r="D202" i="14"/>
  <c r="M201" i="14"/>
  <c r="D201" i="14"/>
  <c r="M200" i="14"/>
  <c r="D200" i="14"/>
  <c r="M199" i="14"/>
  <c r="D199" i="14"/>
  <c r="M198" i="14"/>
  <c r="D198" i="14"/>
  <c r="M197" i="14"/>
  <c r="D197" i="14"/>
  <c r="M196" i="14"/>
  <c r="D196" i="14"/>
  <c r="M195" i="14"/>
  <c r="D195" i="14"/>
  <c r="M194" i="14"/>
  <c r="D194" i="14"/>
  <c r="M193" i="14"/>
  <c r="D193" i="14"/>
  <c r="M192" i="14"/>
  <c r="D192" i="14"/>
  <c r="M191" i="14"/>
  <c r="D191" i="14"/>
  <c r="M190" i="14"/>
  <c r="D190" i="14"/>
  <c r="M189" i="14"/>
  <c r="D189" i="14"/>
  <c r="M188" i="14"/>
  <c r="D188" i="14"/>
  <c r="M187" i="14"/>
  <c r="D187" i="14"/>
  <c r="M186" i="14"/>
  <c r="D186" i="14"/>
  <c r="M185" i="14"/>
  <c r="D185" i="14"/>
  <c r="M184" i="14"/>
  <c r="D184" i="14"/>
  <c r="M183" i="14"/>
  <c r="D183" i="14"/>
  <c r="M182" i="14"/>
  <c r="D182" i="14"/>
  <c r="M181" i="14"/>
  <c r="D181" i="14"/>
  <c r="M180" i="14"/>
  <c r="D180" i="14"/>
  <c r="M179" i="14"/>
  <c r="D179" i="14"/>
  <c r="M178" i="14"/>
  <c r="D178" i="14"/>
  <c r="M177" i="14"/>
  <c r="D177" i="14"/>
  <c r="M176" i="14"/>
  <c r="D176" i="14"/>
  <c r="M175" i="14"/>
  <c r="D175" i="14"/>
  <c r="M174" i="14"/>
  <c r="D174" i="14"/>
  <c r="M173" i="14"/>
  <c r="D173" i="14"/>
  <c r="M172" i="14"/>
  <c r="D172" i="14"/>
  <c r="M171" i="14"/>
  <c r="D171" i="14"/>
  <c r="M170" i="14"/>
  <c r="D170" i="14"/>
  <c r="M169" i="14"/>
  <c r="D169" i="14"/>
  <c r="M168" i="14"/>
  <c r="D168" i="14"/>
  <c r="M167" i="14"/>
  <c r="D167" i="14"/>
  <c r="M166" i="14"/>
  <c r="D166" i="14"/>
  <c r="M165" i="14"/>
  <c r="D165" i="14"/>
  <c r="M164" i="14"/>
  <c r="D164" i="14"/>
  <c r="M163" i="14"/>
  <c r="D163" i="14"/>
  <c r="M162" i="14"/>
  <c r="D162" i="14"/>
  <c r="M161" i="14"/>
  <c r="D161" i="14"/>
  <c r="M160" i="14"/>
  <c r="D160" i="14"/>
  <c r="M159" i="14"/>
  <c r="D159" i="14"/>
  <c r="M158" i="14"/>
  <c r="D158" i="14"/>
  <c r="M157" i="14"/>
  <c r="D157" i="14"/>
  <c r="M156" i="14"/>
  <c r="D156" i="14"/>
  <c r="M155" i="14"/>
  <c r="D155" i="14"/>
  <c r="M154" i="14"/>
  <c r="D154" i="14"/>
  <c r="M153" i="14"/>
  <c r="D153" i="14"/>
  <c r="M152" i="14"/>
  <c r="D152" i="14"/>
  <c r="M151" i="14"/>
  <c r="D151" i="14"/>
  <c r="M150" i="14"/>
  <c r="D150" i="14"/>
  <c r="M149" i="14"/>
  <c r="D149" i="14"/>
  <c r="M148" i="14"/>
  <c r="D148" i="14"/>
  <c r="M147" i="14"/>
  <c r="D147" i="14"/>
  <c r="M146" i="14"/>
  <c r="D146" i="14"/>
  <c r="M145" i="14"/>
  <c r="D145" i="14"/>
  <c r="M144" i="14"/>
  <c r="D144" i="14"/>
  <c r="M143" i="14"/>
  <c r="D143" i="14"/>
  <c r="M142" i="14"/>
  <c r="D142" i="14"/>
  <c r="M141" i="14"/>
  <c r="D141" i="14"/>
  <c r="M140" i="14"/>
  <c r="D140" i="14"/>
  <c r="M139" i="14"/>
  <c r="D139" i="14"/>
  <c r="M138" i="14"/>
  <c r="D138" i="14"/>
  <c r="M137" i="14"/>
  <c r="D137" i="14"/>
  <c r="M136" i="14"/>
  <c r="D136" i="14"/>
  <c r="M135" i="14"/>
  <c r="D135" i="14"/>
  <c r="M134" i="14"/>
  <c r="D134" i="14"/>
  <c r="M133" i="14"/>
  <c r="D133" i="14"/>
  <c r="M132" i="14"/>
  <c r="D132" i="14"/>
  <c r="M131" i="14"/>
  <c r="D131" i="14"/>
  <c r="M130" i="14"/>
  <c r="D130" i="14"/>
  <c r="M129" i="14"/>
  <c r="D129" i="14"/>
  <c r="M128" i="14"/>
  <c r="D128" i="14"/>
  <c r="M127" i="14"/>
  <c r="D127" i="14"/>
  <c r="M126" i="14"/>
  <c r="D126" i="14"/>
  <c r="M125" i="14"/>
  <c r="D125" i="14"/>
  <c r="M124" i="14"/>
  <c r="D124" i="14"/>
  <c r="M123" i="14"/>
  <c r="D123" i="14"/>
  <c r="M122" i="14"/>
  <c r="D122" i="14"/>
  <c r="M121" i="14"/>
  <c r="D121" i="14"/>
  <c r="M120" i="14"/>
  <c r="D120" i="14"/>
  <c r="M119" i="14"/>
  <c r="D119" i="14"/>
  <c r="M118" i="14"/>
  <c r="D118" i="14"/>
  <c r="M117" i="14"/>
  <c r="D117" i="14"/>
  <c r="M116" i="14"/>
  <c r="D116" i="14"/>
  <c r="M115" i="14"/>
  <c r="D115" i="14"/>
  <c r="M114" i="14"/>
  <c r="D114" i="14"/>
  <c r="M113" i="14"/>
  <c r="D113" i="14"/>
  <c r="M112" i="14"/>
  <c r="D112" i="14"/>
  <c r="M111" i="14"/>
  <c r="D111" i="14"/>
  <c r="M110" i="14"/>
  <c r="D110" i="14"/>
  <c r="M109" i="14"/>
  <c r="D109" i="14"/>
  <c r="M108" i="14"/>
  <c r="D108" i="14"/>
  <c r="M107" i="14"/>
  <c r="D107" i="14"/>
  <c r="M106" i="14"/>
  <c r="D106" i="14"/>
  <c r="M105" i="14"/>
  <c r="D105" i="14"/>
  <c r="M104" i="14"/>
  <c r="D104" i="14"/>
  <c r="M103" i="14"/>
  <c r="D103" i="14"/>
  <c r="M102" i="14"/>
  <c r="D102" i="14"/>
  <c r="M101" i="14"/>
  <c r="D101" i="14"/>
  <c r="M100" i="14"/>
  <c r="D100" i="14"/>
  <c r="M99" i="14"/>
  <c r="D99" i="14"/>
  <c r="M98" i="14"/>
  <c r="D98" i="14"/>
  <c r="M97" i="14"/>
  <c r="D97" i="14"/>
  <c r="M96" i="14"/>
  <c r="D96" i="14"/>
  <c r="M95" i="14"/>
  <c r="D95" i="14"/>
  <c r="M94" i="14"/>
  <c r="D94" i="14"/>
  <c r="M93" i="14"/>
  <c r="D93" i="14"/>
  <c r="M92" i="14"/>
  <c r="D92" i="14"/>
  <c r="M91" i="14"/>
  <c r="D91" i="14"/>
  <c r="M90" i="14"/>
  <c r="D90" i="14"/>
  <c r="M89" i="14"/>
  <c r="D89" i="14"/>
  <c r="M88" i="14"/>
  <c r="D88" i="14"/>
  <c r="M87" i="14"/>
  <c r="D87" i="14"/>
  <c r="M86" i="14"/>
  <c r="D86" i="14"/>
  <c r="M85" i="14"/>
  <c r="D85" i="14"/>
  <c r="M84" i="14"/>
  <c r="D84" i="14"/>
  <c r="M83" i="14"/>
  <c r="D83" i="14"/>
  <c r="M82" i="14"/>
  <c r="D82" i="14"/>
  <c r="M81" i="14"/>
  <c r="D81" i="14"/>
  <c r="M80" i="14"/>
  <c r="D80" i="14"/>
  <c r="M79" i="14"/>
  <c r="D79" i="14"/>
  <c r="M78" i="14"/>
  <c r="D78" i="14"/>
  <c r="M77" i="14"/>
  <c r="D77" i="14"/>
  <c r="M76" i="14"/>
  <c r="D76" i="14"/>
  <c r="M75" i="14"/>
  <c r="D75" i="14"/>
  <c r="M74" i="14"/>
  <c r="D74" i="14"/>
  <c r="M73" i="14"/>
  <c r="D73" i="14"/>
  <c r="M72" i="14"/>
  <c r="D72" i="14"/>
  <c r="M71" i="14"/>
  <c r="D71" i="14"/>
  <c r="M70" i="14"/>
  <c r="D70" i="14"/>
  <c r="M69" i="14"/>
  <c r="D69" i="14"/>
  <c r="M68" i="14"/>
  <c r="D68" i="14"/>
  <c r="M67" i="14"/>
  <c r="D67" i="14"/>
  <c r="M66" i="14"/>
  <c r="D66" i="14"/>
  <c r="M65" i="14"/>
  <c r="D65" i="14"/>
  <c r="M64" i="14"/>
  <c r="D64" i="14"/>
  <c r="M63" i="14"/>
  <c r="D63" i="14"/>
  <c r="M62" i="14"/>
  <c r="D62" i="14"/>
  <c r="M61" i="14"/>
  <c r="D61" i="14"/>
  <c r="M60" i="14"/>
  <c r="D60" i="14"/>
  <c r="M59" i="14"/>
  <c r="D59" i="14"/>
  <c r="M58" i="14"/>
  <c r="D58" i="14"/>
  <c r="M57" i="14"/>
  <c r="D57" i="14"/>
  <c r="M56" i="14"/>
  <c r="D56" i="14"/>
  <c r="M55" i="14"/>
  <c r="D55" i="14"/>
  <c r="M54" i="14"/>
  <c r="D54" i="14"/>
  <c r="M53" i="14"/>
  <c r="D53" i="14"/>
  <c r="M52" i="14"/>
  <c r="D52" i="14"/>
  <c r="M51" i="14"/>
  <c r="D51" i="14"/>
  <c r="M50" i="14"/>
  <c r="D50" i="14"/>
  <c r="M49" i="14"/>
  <c r="D49" i="14"/>
  <c r="M48" i="14"/>
  <c r="D48" i="14"/>
  <c r="M47" i="14"/>
  <c r="D47" i="14"/>
  <c r="M46" i="14"/>
  <c r="D46" i="14"/>
  <c r="M45" i="14"/>
  <c r="D45" i="14"/>
  <c r="M44" i="14"/>
  <c r="D44" i="14"/>
  <c r="M43" i="14"/>
  <c r="D43" i="14"/>
  <c r="M42" i="14"/>
  <c r="D42" i="14"/>
  <c r="M41" i="14"/>
  <c r="D41" i="14"/>
  <c r="M40" i="14"/>
  <c r="D40" i="14"/>
  <c r="M39" i="14"/>
  <c r="D39" i="14"/>
  <c r="M38" i="14"/>
  <c r="D38" i="14"/>
  <c r="M37" i="14"/>
  <c r="D37" i="14"/>
  <c r="M36" i="14"/>
  <c r="D36" i="14"/>
  <c r="M35" i="14"/>
  <c r="D35" i="14"/>
  <c r="M34" i="14"/>
  <c r="D34" i="14"/>
  <c r="M33" i="14"/>
  <c r="D33" i="14"/>
  <c r="M32" i="14"/>
  <c r="D32" i="14"/>
  <c r="M31" i="14"/>
  <c r="D31" i="14"/>
  <c r="M30" i="14"/>
  <c r="D30" i="14"/>
  <c r="M29" i="14"/>
  <c r="D29" i="14"/>
  <c r="M28" i="14"/>
  <c r="D28" i="14"/>
  <c r="M27" i="14"/>
  <c r="D27" i="14"/>
  <c r="M26" i="14"/>
  <c r="D26" i="14"/>
  <c r="M25" i="14"/>
  <c r="D25" i="14"/>
  <c r="M24" i="14"/>
  <c r="D24" i="14"/>
  <c r="M23" i="14"/>
  <c r="D23" i="14"/>
  <c r="M22" i="14"/>
  <c r="D22" i="14"/>
  <c r="M21" i="14"/>
  <c r="D21" i="14"/>
  <c r="M20" i="14"/>
  <c r="D20" i="14"/>
  <c r="M19" i="14"/>
  <c r="D19" i="14"/>
  <c r="M18" i="14"/>
  <c r="D18" i="14"/>
  <c r="M17" i="14"/>
  <c r="D17" i="14"/>
  <c r="M16" i="14"/>
  <c r="D16" i="14"/>
  <c r="M15" i="14"/>
  <c r="D15" i="14"/>
  <c r="M14" i="14"/>
  <c r="D14" i="14"/>
  <c r="M13" i="14"/>
  <c r="D13" i="14"/>
  <c r="M12" i="14"/>
  <c r="D12" i="14"/>
  <c r="M11" i="14"/>
  <c r="D11" i="14"/>
  <c r="M10" i="14"/>
  <c r="D10" i="14"/>
  <c r="M9" i="14"/>
  <c r="D9" i="14"/>
  <c r="M8" i="14"/>
  <c r="D8" i="14"/>
  <c r="M7" i="14"/>
  <c r="D7" i="14"/>
  <c r="M6" i="14"/>
  <c r="D6" i="14"/>
  <c r="M5" i="14"/>
  <c r="D5" i="14"/>
  <c r="M4" i="14"/>
  <c r="D4" i="14"/>
  <c r="G318" i="13"/>
  <c r="G317" i="13"/>
  <c r="G316" i="13"/>
  <c r="H314" i="13" s="1"/>
  <c r="G312" i="13"/>
  <c r="H308" i="13" s="1"/>
  <c r="G311" i="13"/>
  <c r="G310" i="13"/>
  <c r="G306" i="13"/>
  <c r="G305" i="13"/>
  <c r="G304" i="13"/>
  <c r="H302" i="13"/>
  <c r="G300" i="13"/>
  <c r="G299" i="13"/>
  <c r="G298" i="13"/>
  <c r="H296" i="13"/>
  <c r="G294" i="13"/>
  <c r="G293" i="13"/>
  <c r="G292" i="13"/>
  <c r="H290" i="13"/>
  <c r="G286" i="13"/>
  <c r="G285" i="13"/>
  <c r="G284" i="13"/>
  <c r="H282" i="13" s="1"/>
  <c r="G280" i="13"/>
  <c r="G279" i="13"/>
  <c r="G278" i="13"/>
  <c r="H276" i="13" s="1"/>
  <c r="G274" i="13"/>
  <c r="G273" i="13"/>
  <c r="G272" i="13"/>
  <c r="H270" i="13" s="1"/>
  <c r="G268" i="13"/>
  <c r="G267" i="13"/>
  <c r="G266" i="13"/>
  <c r="H264" i="13" s="1"/>
  <c r="G262" i="13"/>
  <c r="G261" i="13"/>
  <c r="G260" i="13"/>
  <c r="H258" i="13" s="1"/>
  <c r="G254" i="13"/>
  <c r="G253" i="13"/>
  <c r="G252" i="13"/>
  <c r="H250" i="13" s="1"/>
  <c r="G248" i="13"/>
  <c r="G247" i="13"/>
  <c r="G246" i="13"/>
  <c r="H244" i="13" s="1"/>
  <c r="G242" i="13"/>
  <c r="G241" i="13"/>
  <c r="G240" i="13"/>
  <c r="H238" i="13" s="1"/>
  <c r="G236" i="13"/>
  <c r="G235" i="13"/>
  <c r="G234" i="13"/>
  <c r="H232" i="13" s="1"/>
  <c r="G230" i="13"/>
  <c r="G229" i="13"/>
  <c r="G228" i="13"/>
  <c r="H226" i="13" s="1"/>
  <c r="G224" i="13"/>
  <c r="G223" i="13"/>
  <c r="G222" i="13"/>
  <c r="H220" i="13" s="1"/>
  <c r="G218" i="13"/>
  <c r="G217" i="13"/>
  <c r="G216" i="13"/>
  <c r="H214" i="13" s="1"/>
  <c r="G212" i="13"/>
  <c r="G211" i="13"/>
  <c r="G210" i="13"/>
  <c r="H208" i="13" s="1"/>
  <c r="G206" i="13"/>
  <c r="G205" i="13"/>
  <c r="G204" i="13"/>
  <c r="H202" i="13" s="1"/>
  <c r="G200" i="13"/>
  <c r="G199" i="13"/>
  <c r="G198" i="13"/>
  <c r="H196" i="13" s="1"/>
  <c r="G194" i="13"/>
  <c r="G193" i="13"/>
  <c r="G192" i="13"/>
  <c r="H190" i="13" s="1"/>
  <c r="G188" i="13"/>
  <c r="G187" i="13"/>
  <c r="G186" i="13"/>
  <c r="H184" i="13" s="1"/>
  <c r="G182" i="13"/>
  <c r="G181" i="13"/>
  <c r="G180" i="13"/>
  <c r="H178" i="13" s="1"/>
  <c r="G176" i="13"/>
  <c r="G175" i="13"/>
  <c r="G174" i="13"/>
  <c r="H172" i="13" s="1"/>
  <c r="G170" i="13"/>
  <c r="G169" i="13"/>
  <c r="G168" i="13"/>
  <c r="H166" i="13" s="1"/>
  <c r="G164" i="13"/>
  <c r="G163" i="13"/>
  <c r="G162" i="13"/>
  <c r="H160" i="13" s="1"/>
  <c r="G158" i="13"/>
  <c r="G157" i="13"/>
  <c r="G156" i="13"/>
  <c r="H154" i="13" s="1"/>
  <c r="G152" i="13"/>
  <c r="G151" i="13"/>
  <c r="G150" i="13"/>
  <c r="H148" i="13" s="1"/>
  <c r="G146" i="13"/>
  <c r="G145" i="13"/>
  <c r="G144" i="13"/>
  <c r="H142" i="13" s="1"/>
  <c r="G140" i="13"/>
  <c r="G139" i="13"/>
  <c r="G138" i="13"/>
  <c r="H136" i="13" s="1"/>
  <c r="G134" i="13"/>
  <c r="G133" i="13"/>
  <c r="G132" i="13"/>
  <c r="H130" i="13" s="1"/>
  <c r="H129" i="13" s="1"/>
  <c r="G126" i="13"/>
  <c r="G125" i="13"/>
  <c r="G124" i="13"/>
  <c r="H122" i="13" s="1"/>
  <c r="G120" i="13"/>
  <c r="G119" i="13"/>
  <c r="G118" i="13"/>
  <c r="H116" i="13" s="1"/>
  <c r="H115" i="13" s="1"/>
  <c r="G112" i="13"/>
  <c r="G111" i="13"/>
  <c r="G110" i="13"/>
  <c r="H108" i="13"/>
  <c r="G106" i="13"/>
  <c r="H102" i="13" s="1"/>
  <c r="G105" i="13"/>
  <c r="G104" i="13"/>
  <c r="G100" i="13"/>
  <c r="G99" i="13"/>
  <c r="G98" i="13"/>
  <c r="H96" i="13"/>
  <c r="G94" i="13"/>
  <c r="H90" i="13" s="1"/>
  <c r="G93" i="13"/>
  <c r="G92" i="13"/>
  <c r="G88" i="13"/>
  <c r="G87" i="13"/>
  <c r="G86" i="13"/>
  <c r="H84" i="13"/>
  <c r="G82" i="13"/>
  <c r="H78" i="13" s="1"/>
  <c r="H77" i="13" s="1"/>
  <c r="G81" i="13"/>
  <c r="G80" i="13"/>
  <c r="G74" i="13"/>
  <c r="G73" i="13"/>
  <c r="G72" i="13"/>
  <c r="H70" i="13" s="1"/>
  <c r="G65" i="13"/>
  <c r="G64" i="13"/>
  <c r="G63" i="13"/>
  <c r="H62" i="13" s="1"/>
  <c r="G57" i="13"/>
  <c r="G56" i="13"/>
  <c r="G55" i="13"/>
  <c r="H53" i="13" s="1"/>
  <c r="G43" i="13"/>
  <c r="G42" i="13"/>
  <c r="H39" i="13" s="1"/>
  <c r="G41" i="13"/>
  <c r="G31" i="13"/>
  <c r="G30" i="13"/>
  <c r="G29" i="13"/>
  <c r="H27" i="13" s="1"/>
  <c r="G24" i="13"/>
  <c r="G23" i="13"/>
  <c r="H20" i="13" s="1"/>
  <c r="G22" i="13"/>
  <c r="G7" i="13"/>
  <c r="G6" i="13"/>
  <c r="G5" i="13"/>
  <c r="H3" i="13" s="1"/>
  <c r="H2" i="13" s="1"/>
  <c r="H1" i="13"/>
  <c r="H227" i="12"/>
  <c r="H222" i="12"/>
  <c r="H215" i="12"/>
  <c r="H210" i="12"/>
  <c r="H205" i="12"/>
  <c r="H200" i="12"/>
  <c r="H176" i="12"/>
  <c r="G173" i="12"/>
  <c r="H171" i="12" s="1"/>
  <c r="G168" i="12"/>
  <c r="H166" i="12" s="1"/>
  <c r="H160" i="12"/>
  <c r="G156" i="12"/>
  <c r="H154" i="12" s="1"/>
  <c r="G150" i="12"/>
  <c r="H148" i="12"/>
  <c r="G146" i="12"/>
  <c r="H144" i="12"/>
  <c r="G137" i="12"/>
  <c r="H135" i="12" s="1"/>
  <c r="G122" i="12"/>
  <c r="G121" i="12"/>
  <c r="H119" i="12" s="1"/>
  <c r="G108" i="12"/>
  <c r="G107" i="12"/>
  <c r="H105" i="12" s="1"/>
  <c r="G102" i="12"/>
  <c r="G101" i="12"/>
  <c r="H99" i="12" s="1"/>
  <c r="G95" i="12"/>
  <c r="G94" i="12"/>
  <c r="H92" i="12" s="1"/>
  <c r="G89" i="12"/>
  <c r="G88" i="12"/>
  <c r="G83" i="12"/>
  <c r="G82" i="12"/>
  <c r="H80" i="12" s="1"/>
  <c r="G77" i="12"/>
  <c r="G71" i="12"/>
  <c r="G70" i="12"/>
  <c r="H68" i="12"/>
  <c r="G58" i="12"/>
  <c r="G57" i="12"/>
  <c r="H55" i="12" s="1"/>
  <c r="H5" i="12"/>
  <c r="H90" i="11"/>
  <c r="H38" i="11"/>
  <c r="H26" i="11"/>
  <c r="G7" i="11"/>
  <c r="H39" i="10"/>
  <c r="H38" i="10"/>
  <c r="H37" i="10"/>
  <c r="I35" i="10" s="1"/>
  <c r="H34" i="10"/>
  <c r="H33" i="10"/>
  <c r="H32" i="10"/>
  <c r="H28" i="10"/>
  <c r="H27" i="10"/>
  <c r="H26" i="10"/>
  <c r="I24" i="10" s="1"/>
  <c r="M30" i="2"/>
  <c r="G69" i="7"/>
  <c r="H67" i="7" s="1"/>
  <c r="G7" i="7"/>
  <c r="H5" i="7" s="1"/>
  <c r="H120" i="6"/>
  <c r="H105" i="6"/>
  <c r="H96" i="6"/>
  <c r="H95" i="6" s="1"/>
  <c r="H57" i="6"/>
  <c r="H48" i="6"/>
  <c r="H47" i="6" s="1"/>
  <c r="H28" i="6"/>
  <c r="G7" i="6"/>
  <c r="H5" i="6"/>
  <c r="H5" i="5"/>
  <c r="H184" i="12" l="1"/>
  <c r="H153" i="12" s="1"/>
  <c r="H4" i="7"/>
  <c r="H42" i="7"/>
  <c r="H53" i="7"/>
  <c r="H155" i="20"/>
  <c r="H166" i="20"/>
  <c r="H154" i="20" s="1"/>
  <c r="H111" i="20"/>
  <c r="H122" i="20"/>
  <c r="H133" i="20"/>
  <c r="H143" i="20"/>
  <c r="H89" i="20"/>
  <c r="H66" i="20" s="1"/>
  <c r="H41" i="7"/>
  <c r="H5" i="11"/>
  <c r="H50" i="11"/>
  <c r="H73" i="11"/>
  <c r="R20" i="16"/>
  <c r="M40" i="2"/>
  <c r="H165" i="19"/>
  <c r="H146" i="19"/>
  <c r="F41" i="2"/>
  <c r="H21" i="16"/>
  <c r="H2" i="7"/>
  <c r="H22" i="16"/>
  <c r="F42" i="2"/>
  <c r="H14" i="6"/>
  <c r="H14" i="16"/>
  <c r="F34" i="2"/>
  <c r="H15" i="16"/>
  <c r="F35" i="2"/>
  <c r="H72" i="6"/>
  <c r="H81" i="6"/>
  <c r="H17" i="16"/>
  <c r="F37" i="2"/>
  <c r="H129" i="6"/>
  <c r="H119" i="6" s="1"/>
  <c r="I30" i="10"/>
  <c r="H24" i="5"/>
  <c r="H35" i="5"/>
  <c r="H45" i="5"/>
  <c r="H54" i="5"/>
  <c r="R25" i="16"/>
  <c r="M45" i="2"/>
  <c r="G44" i="2"/>
  <c r="F45" i="2"/>
  <c r="H127" i="12"/>
  <c r="H20" i="12"/>
  <c r="M21" i="23" s="1"/>
  <c r="H75" i="12"/>
  <c r="H86" i="12"/>
  <c r="I3" i="10"/>
  <c r="H71" i="6"/>
  <c r="H4" i="11"/>
  <c r="H52" i="13"/>
  <c r="H4" i="6"/>
  <c r="H289" i="13"/>
  <c r="H257" i="13"/>
  <c r="M23" i="23" l="1"/>
  <c r="H2" i="12"/>
  <c r="H110" i="20"/>
  <c r="H83" i="19"/>
  <c r="H2" i="19" s="1"/>
  <c r="H4" i="5"/>
  <c r="H2" i="11"/>
  <c r="R17" i="16"/>
  <c r="M37" i="2"/>
  <c r="R19" i="16"/>
  <c r="M39" i="2"/>
  <c r="R18" i="16"/>
  <c r="M38" i="2"/>
  <c r="I6" i="18"/>
  <c r="I16" i="17"/>
  <c r="J20" i="16"/>
  <c r="G40" i="2"/>
  <c r="H13" i="16"/>
  <c r="F33" i="2"/>
  <c r="H16" i="16"/>
  <c r="F36" i="2"/>
  <c r="H18" i="16"/>
  <c r="F38" i="2"/>
  <c r="R13" i="16"/>
  <c r="M33" i="2"/>
  <c r="H34" i="5"/>
  <c r="R23" i="16"/>
  <c r="M43" i="2"/>
  <c r="M29" i="2"/>
  <c r="H2" i="6"/>
  <c r="R5" i="18" l="1"/>
  <c r="R12" i="17"/>
  <c r="T16" i="16"/>
  <c r="N36" i="2"/>
  <c r="I5" i="18"/>
  <c r="I8" i="17"/>
  <c r="J12" i="16"/>
  <c r="G32" i="2"/>
  <c r="N28" i="2"/>
  <c r="R4" i="18"/>
  <c r="R4" i="17"/>
  <c r="T8" i="16"/>
  <c r="H9" i="16"/>
  <c r="H2" i="5"/>
  <c r="H10" i="16"/>
  <c r="F30" i="2"/>
  <c r="I4" i="18" l="1"/>
  <c r="I4" i="17"/>
  <c r="J8" i="16"/>
  <c r="K2" i="16" s="1"/>
  <c r="G28" i="2"/>
  <c r="G23" i="2" s="1"/>
  <c r="R6" i="18"/>
  <c r="R18" i="17"/>
  <c r="T22" i="16"/>
  <c r="N42" i="2"/>
  <c r="O20" i="23"/>
  <c r="P4" i="14" s="1"/>
  <c r="O4" i="23"/>
  <c r="M44" i="2"/>
  <c r="M22" i="23"/>
  <c r="G113" i="12"/>
  <c r="H111" i="12"/>
  <c r="H54" i="12"/>
  <c r="R24" i="16"/>
  <c r="G116" i="12"/>
  <c r="G115" i="12"/>
  <c r="G114" i="12"/>
</calcChain>
</file>

<file path=xl/sharedStrings.xml><?xml version="1.0" encoding="utf-8"?>
<sst xmlns="http://schemas.openxmlformats.org/spreadsheetml/2006/main" count="3002" uniqueCount="828">
  <si>
    <t>CAP untuk Coating, Visual, dan Function (C/V/F) Konstruksi, Lambung/Plat, Peralatan deck, Permesinan Kapal dan Permesinan Geladak</t>
  </si>
  <si>
    <t>CATEGORY</t>
  </si>
  <si>
    <t>CRITERIA/ITEM</t>
  </si>
  <si>
    <t>CAP SCORE</t>
  </si>
  <si>
    <t>C</t>
  </si>
  <si>
    <t>Kondisi Pelapisan/Cat pada Konstruksi, Plat, Perpipaan dan Peralatan deck lainnya</t>
  </si>
  <si>
    <t>Tidak terdapat lapisan pelindung</t>
  </si>
  <si>
    <t>Lapisan pelindung tidak terawat</t>
  </si>
  <si>
    <t>Lapisan pelindung terawat</t>
  </si>
  <si>
    <t xml:space="preserve">Lapisan pelindung dalam kondisi baru </t>
  </si>
  <si>
    <t>V</t>
  </si>
  <si>
    <t>Kondisi Retak/Crack dan Deformasi pada Konstruksi, Perpipaan, Plat dan Peralatan deck lainnya</t>
  </si>
  <si>
    <t>Terdapat kerusakan peralatan,perpipaan, crack dan deformasi yang signifikan</t>
  </si>
  <si>
    <t>Terdapat spot crack, deformasi serta kerusakan peralatan dan perpipaan</t>
  </si>
  <si>
    <t xml:space="preserve">Terdapat area crack, deformasi dan kerusakan peralatan, perpipaan tingkat rendah </t>
  </si>
  <si>
    <t>Tidak terdapat kerusakan peralatan, perpipaan ataupun crack dan deformasi pada spot area sesuai dengan kondisi baru</t>
  </si>
  <si>
    <t>Kondisi Ruang-ruangan Kapal</t>
  </si>
  <si>
    <t>Kondisi Sistim Permesinan Kapal &amp; Permesinan Geladak</t>
  </si>
  <si>
    <t>Terdapat kerusakan secara signifikan</t>
  </si>
  <si>
    <t>Terdapat spot kerusakan pada item dan komponen</t>
  </si>
  <si>
    <t>Terdapat kerusakan pada item dan komponen tingkat rendah</t>
  </si>
  <si>
    <t>Tidak terdapat kerusakan item dan komponen serta dalam kondisi baru</t>
  </si>
  <si>
    <t>Kondisi Alat Navigasi dan Komunikasi</t>
  </si>
  <si>
    <t>Terdapat kerusakan fisik secara signifikan</t>
  </si>
  <si>
    <t xml:space="preserve">Terdapat kerusakan fisik dan komponen peralatan </t>
  </si>
  <si>
    <t>Tidak terdapat kerusakan fisik dan terawat</t>
  </si>
  <si>
    <t>Kondisi fisik baik dan dalam kondisi baru</t>
  </si>
  <si>
    <t>Kondisi Life-Saving Appliances (LSA) &amp; Fire-Fighting Appliances (FFA)</t>
  </si>
  <si>
    <t xml:space="preserve">Terdapat kerusakan secara signifikan </t>
  </si>
  <si>
    <t>Terdapat spot kerusakan fisik dan komponen peralatan</t>
  </si>
  <si>
    <t>Tidak terdapat kerusakan dan terawat</t>
  </si>
  <si>
    <t>F</t>
  </si>
  <si>
    <t>Sistim Permesinan Kapal dan Permesinan Geladak</t>
  </si>
  <si>
    <t>Terdapat kerusakan komponen secara signifikan dan tidak berfungsi</t>
  </si>
  <si>
    <t>Terdapat spot kerusakan pada komponen permesinan</t>
  </si>
  <si>
    <t>Terdapat penurunan peforma pada komponen permesinan dan berfungsi</t>
  </si>
  <si>
    <t>Berfungsi dengan baik sesuai dengan kondisi baru</t>
  </si>
  <si>
    <t>Sistim Kumpa-Kumpa (Pompa)</t>
  </si>
  <si>
    <t>Terdapat kerusakan pada item dan komponen secara signifikan dan tidak berfungsi</t>
  </si>
  <si>
    <t>Terdapat kerusakan pada item dan komponen</t>
  </si>
  <si>
    <t>Berfungsi dan terdapat penurunan peforma</t>
  </si>
  <si>
    <t>Alat Navigasi dan Komunikasi</t>
  </si>
  <si>
    <t>Tidak berfungsi dan terdapat kerusakan secara signifikan</t>
  </si>
  <si>
    <t xml:space="preserve">Tidak berfungsi secara optimal dan terdapat kerusakan komponen peralatan </t>
  </si>
  <si>
    <t>Berfungsi secara optimal dan terdapat penurunan peforma</t>
  </si>
  <si>
    <t>Keterangan : C (Coating) ; V (Visual) ; F (Function)</t>
  </si>
  <si>
    <t>CAP untuk Maintenance (M) Dokumen Kapal, Life-Saving Appliances (LSA) &amp; Fire-Fighting Appliances (FFA)</t>
  </si>
  <si>
    <t>M</t>
  </si>
  <si>
    <t>Dokumen Kapal</t>
  </si>
  <si>
    <t xml:space="preserve">Sertifikat telah 
melewati masa 
berlaku </t>
  </si>
  <si>
    <t xml:space="preserve">Masa berlaku 
sertifikat sisa 1 
bulan mendekati 
tanggal masa 
berlaku </t>
  </si>
  <si>
    <t xml:space="preserve">Masa berlaku 
sertifikat sisa 3 
bulan mendekati 
tanggal masa 
berlaku </t>
  </si>
  <si>
    <t xml:space="preserve">Masa berlaku 
sertifikat masih aktif </t>
  </si>
  <si>
    <t xml:space="preserve">Semua sertifikat 
fisik dan dokumen 
dalam bentuk hard 
copy / soft copy 
tidak ada. </t>
  </si>
  <si>
    <t xml:space="preserve">Semua sertifikat fisik dan dokumen dalam hard / soft copy wajib ada di atas kapal </t>
  </si>
  <si>
    <t>Life-Saving Appliances (LSA) &amp; Fire-Fighting Appliances (FFA)</t>
  </si>
  <si>
    <t>Memiliki masa berlaku sudah expired</t>
  </si>
  <si>
    <t>Memiliki masa berlaku mendekati 1 bulan dari tanggal expired</t>
  </si>
  <si>
    <t>Memiliki masa berlaku mendekati 3 bulan dari tanggal expired</t>
  </si>
  <si>
    <t>Memiliki masa berlaku lebih dari 3 bulan dari tanggal expired</t>
  </si>
  <si>
    <t>Nama Kapal</t>
  </si>
  <si>
    <t>TAHUN</t>
  </si>
  <si>
    <t>CAP</t>
  </si>
  <si>
    <t>Umur Kapal</t>
  </si>
  <si>
    <t>CAP Kapal</t>
  </si>
  <si>
    <t>KMP. PORTLINK V</t>
  </si>
  <si>
    <t>KMP. JATRA III</t>
  </si>
  <si>
    <t>KMP. FERRINDO - 5</t>
  </si>
  <si>
    <t>KMP. BATU MANDI</t>
  </si>
  <si>
    <t>KMP. SEBUKU</t>
  </si>
  <si>
    <t>KMP. LEGUNDI</t>
  </si>
  <si>
    <t>KMP. PORTLINK</t>
  </si>
  <si>
    <t>KMP. PORT LINK III</t>
  </si>
  <si>
    <t>KMP. GORARE</t>
  </si>
  <si>
    <t>KMP. PUTERI LEANPURI</t>
  </si>
  <si>
    <t>KMP. KUALA BATE - II</t>
  </si>
  <si>
    <t>KMP. MUTIS</t>
  </si>
  <si>
    <t>KMP. MENUMBING RAYA</t>
  </si>
  <si>
    <t>KMP. MADANI</t>
  </si>
  <si>
    <t>KMP. BELANAK</t>
  </si>
  <si>
    <t>KMP. KALDERA TOBA</t>
  </si>
  <si>
    <t>KMP. SIMEULUE</t>
  </si>
  <si>
    <t>KMP. PORA PORA</t>
  </si>
  <si>
    <t>KMP. IHAN BATAK</t>
  </si>
  <si>
    <t>KMP. TELUK SINABANG</t>
  </si>
  <si>
    <t>KMP. ACEH HEBAT 3</t>
  </si>
  <si>
    <t>KMP. ACEH HEBAT 1</t>
  </si>
  <si>
    <t>KMP. TELUK TOLO</t>
  </si>
  <si>
    <t>KMP. TUNA TOMINI</t>
  </si>
  <si>
    <t>KMP. CENGKIH AFO</t>
  </si>
  <si>
    <t>KMP. DOLOSI</t>
  </si>
  <si>
    <t>KMP. TANJUNG API</t>
  </si>
  <si>
    <t>KMP. MOINIT</t>
  </si>
  <si>
    <t>KMP. BAWAL</t>
  </si>
  <si>
    <t>KMP. TARUSI</t>
  </si>
  <si>
    <t>KMP. LABUHAN HAJI</t>
  </si>
  <si>
    <t>KMP. PORODISA</t>
  </si>
  <si>
    <t>KMP. DALENTE WOBA</t>
  </si>
  <si>
    <t>KMP. MUJAIR</t>
  </si>
  <si>
    <t>KMP. INERIE</t>
  </si>
  <si>
    <t>KMP. MADIDIHANG</t>
  </si>
  <si>
    <t>KMP. TENGGIRI</t>
  </si>
  <si>
    <t>KMP. SULTHAN MURHUM</t>
  </si>
  <si>
    <t>KMP SULTAN MUHRUM II</t>
  </si>
  <si>
    <t>KMP. SEMUMU</t>
  </si>
  <si>
    <t>KMP. NUKU</t>
  </si>
  <si>
    <t>KMP. TELUK CENDERAWASIH - II</t>
  </si>
  <si>
    <t>KMP. PULAU RUBIAH</t>
  </si>
  <si>
    <t>KMP. KAMBANIRU</t>
  </si>
  <si>
    <t>KMP. BAHTERAMAS</t>
  </si>
  <si>
    <t>KMP. BAHTERAMAS II</t>
  </si>
  <si>
    <t>KMP. LAYUR</t>
  </si>
  <si>
    <t>KMP. DANAU RANA</t>
  </si>
  <si>
    <t>KMP. TERUBUK</t>
  </si>
  <si>
    <t>KMP. TANJUNG MADLAHAR</t>
  </si>
  <si>
    <t>KMP. ROKATENDA</t>
  </si>
  <si>
    <t>KMP. LOBSTER</t>
  </si>
  <si>
    <t>KMP. INELIKA</t>
  </si>
  <si>
    <t>KMP. SAMANDAR</t>
  </si>
  <si>
    <t>KMP. WAYANGAN</t>
  </si>
  <si>
    <t>KMP. ERANA</t>
  </si>
  <si>
    <t>KMP. TEMI</t>
  </si>
  <si>
    <t>KMP. KALABIA</t>
  </si>
  <si>
    <t>KMP. KURISI</t>
  </si>
  <si>
    <t>KMP. TERUBUK - I</t>
  </si>
  <si>
    <t>KMP. ARAR</t>
  </si>
  <si>
    <t>KMP. LEMA</t>
  </si>
  <si>
    <t>KMP. MAMBERAMO FOJA</t>
  </si>
  <si>
    <t>KMP. KASUARI PASIFIC IV</t>
  </si>
  <si>
    <t>KMP. MASIREI</t>
  </si>
  <si>
    <t>KMP. NAPAN WAINAMI</t>
  </si>
  <si>
    <t>KMP. KOKONAO</t>
  </si>
  <si>
    <t>KMP. BINAR</t>
  </si>
  <si>
    <t>KMP. MUYU</t>
  </si>
  <si>
    <t>KMP. BAMBIT</t>
  </si>
  <si>
    <t>KMP. GAMBOLO</t>
  </si>
  <si>
    <t>KMP. AMBU AMBU</t>
  </si>
  <si>
    <t>KMP. PULO TELLO</t>
  </si>
  <si>
    <t>KMP. DINGKIS</t>
  </si>
  <si>
    <t>KMP. PONCAN MOALE</t>
  </si>
  <si>
    <t>KMP. GAJAH MADA</t>
  </si>
  <si>
    <t>KMP. GOROPA</t>
  </si>
  <si>
    <t>KMP. JULUNG - JULUNG</t>
  </si>
  <si>
    <t>KMP. MANTA II</t>
  </si>
  <si>
    <t>KMP. MANTA</t>
  </si>
  <si>
    <t>KMP. TONGKOL</t>
  </si>
  <si>
    <t>KMP. SIGINJAI</t>
  </si>
  <si>
    <t>KMP. GILI IYANG</t>
  </si>
  <si>
    <t>KMP. MUNGGIYANGO HULALO</t>
  </si>
  <si>
    <t>KMP. KALIBODRI</t>
  </si>
  <si>
    <t>KMP. DRAJAT PACIRAN</t>
  </si>
  <si>
    <t>KMP. LEMURU</t>
  </si>
  <si>
    <t>KMP. KERAPU</t>
  </si>
  <si>
    <t>KMP. KERAPU - III</t>
  </si>
  <si>
    <t>KMP. BAMEGA JAYA</t>
  </si>
  <si>
    <t>KMP. TELUK CENDERAWASIH - I</t>
  </si>
  <si>
    <t>KMP. GUTILA</t>
  </si>
  <si>
    <t>KMP. AWU AWU</t>
  </si>
  <si>
    <t>KMP. ARIWANGAN</t>
  </si>
  <si>
    <t>KMP. KERAPU II</t>
  </si>
  <si>
    <t>KMP. PULAU SAGORI</t>
  </si>
  <si>
    <t>KMP. NGAFI</t>
  </si>
  <si>
    <t>KMP. BOBARA</t>
  </si>
  <si>
    <t>KMP. BARONANG</t>
  </si>
  <si>
    <t>KMP. LOMPA</t>
  </si>
  <si>
    <t>KMP. MAMING</t>
  </si>
  <si>
    <t>KMP. GORANGO</t>
  </si>
  <si>
    <t>KMP. TUNA</t>
  </si>
  <si>
    <t>KMP. PORTLINK VIII</t>
  </si>
  <si>
    <t>KMP. KOMODO</t>
  </si>
  <si>
    <t>KMP. CUCUT</t>
  </si>
  <si>
    <t>KMP. CAKALANG</t>
  </si>
  <si>
    <t>KMP. RAJA ENGGANO</t>
  </si>
  <si>
    <t>KMP. BELIDA</t>
  </si>
  <si>
    <t>KMP. PORT LINK II</t>
  </si>
  <si>
    <t>KMP. RODITHA</t>
  </si>
  <si>
    <t>KMP. PORTLINK VII</t>
  </si>
  <si>
    <t>KMP. PRATHITA - IV</t>
  </si>
  <si>
    <t>KMP. JATRA - II</t>
  </si>
  <si>
    <t>KMP. KORMOMOLIN</t>
  </si>
  <si>
    <t>KMP. PANGKILANG</t>
  </si>
  <si>
    <t>KMP. OPUDI</t>
  </si>
  <si>
    <t>KMP. BALIBO</t>
  </si>
  <si>
    <t>KMP. SANGKE PALANGGA</t>
  </si>
  <si>
    <t>KMP. TAKABONERATE</t>
  </si>
  <si>
    <t>KMP. BONTOHARU</t>
  </si>
  <si>
    <t>KMP. ARWANA</t>
  </si>
  <si>
    <t>KMP. MERAK</t>
  </si>
  <si>
    <t>KMP. PARAY</t>
  </si>
  <si>
    <t>KMP. KAKAP</t>
  </si>
  <si>
    <t>KMP. KUNDUR</t>
  </si>
  <si>
    <t>KMP. GUNUNG MURIA</t>
  </si>
  <si>
    <t>KMP. TIRUS MERANTI</t>
  </si>
  <si>
    <t>KMP. LOME</t>
  </si>
  <si>
    <t>KMP. TANJUNG BURANG</t>
  </si>
  <si>
    <t>KMP. BARAU</t>
  </si>
  <si>
    <t>KMP. SEMBILANG</t>
  </si>
  <si>
    <t>KMP. SENANGIN</t>
  </si>
  <si>
    <t>KMP. TELUK SINGKIL</t>
  </si>
  <si>
    <t>KMP. BAHTERA NUSANTARA 01</t>
  </si>
  <si>
    <t>KMP. BAHTERA NUSANTARA 03</t>
  </si>
  <si>
    <t>KMP. PAPUYU</t>
  </si>
  <si>
    <t>KMP. BRR</t>
  </si>
  <si>
    <t>KMP. ACEH HEBAT 2</t>
  </si>
  <si>
    <t>KMP. NAMPARNOS</t>
  </si>
  <si>
    <t>KMP. UMA KALADA</t>
  </si>
  <si>
    <t>KMP. ILE MANDIRI</t>
  </si>
  <si>
    <t>KMP. ILEAPE</t>
  </si>
  <si>
    <t>KMP.CAKALANG - II</t>
  </si>
  <si>
    <t>KMP. ILE LABALEKAN</t>
  </si>
  <si>
    <t>KMP. RANAKA</t>
  </si>
  <si>
    <t>KMP. INERIE II</t>
  </si>
  <si>
    <t>KMP. LAKAAN</t>
  </si>
  <si>
    <t>KMP. MERAWAN I</t>
  </si>
  <si>
    <t>KMP. BIRAMATA</t>
  </si>
  <si>
    <t>KMP. MERAWAN II</t>
  </si>
  <si>
    <t>KMP. SILOK</t>
  </si>
  <si>
    <t>KMP. PRIMAS - I</t>
  </si>
  <si>
    <t>KMP. GUNUNG PALONG</t>
  </si>
  <si>
    <t>KMP. SALUANG</t>
  </si>
  <si>
    <t>KMP. SEMAH</t>
  </si>
  <si>
    <t>KMP. BINAUL</t>
  </si>
  <si>
    <t>KMP. BILI</t>
  </si>
  <si>
    <t>ADHI SWADHARMA III</t>
  </si>
  <si>
    <t>ANDHIKA NUSANTARA</t>
  </si>
  <si>
    <t>BAHARI NUSANTARA</t>
  </si>
  <si>
    <t>CITRA MANDALA ABADI</t>
  </si>
  <si>
    <t>CITRA MANDALA SAKTI</t>
  </si>
  <si>
    <t>CITRA NUSANTARA</t>
  </si>
  <si>
    <t>FARINA NUSANTARA</t>
  </si>
  <si>
    <t>GADING NUSANTARA</t>
  </si>
  <si>
    <t>JEMBATAN KAPUAS</t>
  </si>
  <si>
    <t>JEMBATAN MUSI I</t>
  </si>
  <si>
    <t>JEMBATAN MUSI II</t>
  </si>
  <si>
    <t>KALEBI</t>
  </si>
  <si>
    <t>LASKAR PELANGI</t>
  </si>
  <si>
    <t>MABUHAY NUSANTARA</t>
  </si>
  <si>
    <t>MADANI NUSANTARA</t>
  </si>
  <si>
    <t>MAHAKAM RAYA</t>
  </si>
  <si>
    <t>MAHKOTA NUSANTARA</t>
  </si>
  <si>
    <t>MANDALA NUSANTARA</t>
  </si>
  <si>
    <t>MARINA PRATAMA</t>
  </si>
  <si>
    <t>MARINA PRIMERA</t>
  </si>
  <si>
    <t>MARINA QUINTA</t>
  </si>
  <si>
    <t>MARINA SEGUNDA</t>
  </si>
  <si>
    <t>MARINA TERTIERA</t>
  </si>
  <si>
    <t>MARISA NUSANTARA</t>
  </si>
  <si>
    <t>MITRA NUSANTARA</t>
  </si>
  <si>
    <t>MULIA NUSANTARA</t>
  </si>
  <si>
    <t>NIAGA FERRY II</t>
  </si>
  <si>
    <t>PANORAMA NUSANTARA</t>
  </si>
  <si>
    <t>PELANGI NUSANTARA</t>
  </si>
  <si>
    <t>PERDANA NUSANTARA</t>
  </si>
  <si>
    <t>PERMATA NUSANTARA</t>
  </si>
  <si>
    <t>PERSADA NUSANTARA</t>
  </si>
  <si>
    <t>PERTIWI NUSANTARA</t>
  </si>
  <si>
    <t>PRIMA NUSANTARA</t>
  </si>
  <si>
    <t>RAJAWALI NUSANTARA</t>
  </si>
  <si>
    <t>RENY II</t>
  </si>
  <si>
    <t>ROYAL NUSANTARA</t>
  </si>
  <si>
    <t>SAFIRA NUSANTARA</t>
  </si>
  <si>
    <t>SATRIA NUSANTARA</t>
  </si>
  <si>
    <t>SATRIA PRATAMA</t>
  </si>
  <si>
    <t>SELAT MADURA I</t>
  </si>
  <si>
    <t>SELAT MADURA II</t>
  </si>
  <si>
    <t>SRIKANDI NUSANTARA</t>
  </si>
  <si>
    <t>SURAMADU NUSANTARA</t>
  </si>
  <si>
    <t>SWARNA BAHTERA</t>
  </si>
  <si>
    <t>SWARNA BENGAWAN</t>
  </si>
  <si>
    <t>SWARNA CAKRA</t>
  </si>
  <si>
    <t>SWARNA DHARMA</t>
  </si>
  <si>
    <t>SWARNA KARTIKA</t>
  </si>
  <si>
    <t>SWARNA NALINI</t>
  </si>
  <si>
    <t>SWARNA PUTRI</t>
  </si>
  <si>
    <t>TITIAN MURNI</t>
  </si>
  <si>
    <t>TITIAN NUSANTARA</t>
  </si>
  <si>
    <r>
      <rPr>
        <sz val="10"/>
        <color rgb="FF000000"/>
        <rFont val="Arial"/>
        <scheme val="minor"/>
      </rPr>
      <t xml:space="preserve">Grafik ini membandingkan nilai CAP dan umur kapal terhadap kapal </t>
    </r>
    <r>
      <rPr>
        <sz val="10"/>
        <color rgb="FFFF0000"/>
        <rFont val="Arial"/>
        <scheme val="minor"/>
      </rPr>
      <t>KMP CUCUT</t>
    </r>
    <r>
      <rPr>
        <sz val="10"/>
        <color rgb="FF000000"/>
        <rFont val="Arial"/>
        <scheme val="minor"/>
      </rPr>
      <t xml:space="preserve"> dengan data kapal sejenis yang telah disurvey oleh BKI.</t>
    </r>
  </si>
  <si>
    <t>KMP CUCUT</t>
  </si>
  <si>
    <t>Data Kapal Pembanding</t>
  </si>
  <si>
    <t>CONDITION</t>
  </si>
  <si>
    <t>Overall CAP Rating Breakdown</t>
  </si>
  <si>
    <t>Overall CAP Rating Condition EXAMPLE</t>
  </si>
  <si>
    <t>:</t>
  </si>
  <si>
    <t>1. Hull &amp; Construction</t>
  </si>
  <si>
    <t>5. Engine Room &amp; Machinery</t>
  </si>
  <si>
    <t>-</t>
  </si>
  <si>
    <t>2. Ramp</t>
  </si>
  <si>
    <t>6. Bride &amp; Navigation</t>
  </si>
  <si>
    <t>3. Accomodation</t>
  </si>
  <si>
    <t>7. Ship Safety &amp; Operation</t>
  </si>
  <si>
    <t>4. Deck Machinery &amp; Outfitting</t>
  </si>
  <si>
    <t>Breakdown Overall Rating</t>
  </si>
  <si>
    <t>1.</t>
  </si>
  <si>
    <t>5.</t>
  </si>
  <si>
    <t>2.</t>
  </si>
  <si>
    <t>6.</t>
  </si>
  <si>
    <t>3.</t>
  </si>
  <si>
    <t>7.</t>
  </si>
  <si>
    <t>4.</t>
  </si>
  <si>
    <t>No.</t>
  </si>
  <si>
    <t>Item</t>
  </si>
  <si>
    <t>Overall CAP Rating</t>
  </si>
  <si>
    <t>I</t>
  </si>
  <si>
    <t>HULL &amp; CONSTRUCTION OVERALL CAP RATING</t>
  </si>
  <si>
    <t>Hull</t>
  </si>
  <si>
    <t>BOTTOM TOP/SIDE SHELL</t>
  </si>
  <si>
    <t>Avg</t>
  </si>
  <si>
    <t>a</t>
  </si>
  <si>
    <t>Plat Starboard Side</t>
  </si>
  <si>
    <t>b</t>
  </si>
  <si>
    <t>Plat Port Side</t>
  </si>
  <si>
    <t>Note:</t>
  </si>
  <si>
    <t>(Lokasi temuan+kondisi kerusakan)</t>
  </si>
  <si>
    <t>MARKS</t>
  </si>
  <si>
    <t>Plimsol</t>
  </si>
  <si>
    <t>Draft</t>
  </si>
  <si>
    <t>c</t>
  </si>
  <si>
    <t>IMO Number</t>
  </si>
  <si>
    <t>d</t>
  </si>
  <si>
    <t>Ship Name</t>
  </si>
  <si>
    <t>e</t>
  </si>
  <si>
    <t>Tanda Selar</t>
  </si>
  <si>
    <t>FENDER</t>
  </si>
  <si>
    <t>Starboard Side</t>
  </si>
  <si>
    <t xml:space="preserve">Port Side </t>
  </si>
  <si>
    <t>Transom</t>
  </si>
  <si>
    <t>Construction</t>
  </si>
  <si>
    <t>CAR DECK</t>
  </si>
  <si>
    <t>Deck Plate</t>
  </si>
  <si>
    <t>Inner Wall</t>
  </si>
  <si>
    <t>Intermediate Deck</t>
  </si>
  <si>
    <t>Lashing (D Ring, Belting, etc.)</t>
  </si>
  <si>
    <t>SUPER STRUCTURE</t>
  </si>
  <si>
    <t>Deck House</t>
  </si>
  <si>
    <t>Bridge House</t>
  </si>
  <si>
    <t xml:space="preserve">Winch Deck </t>
  </si>
  <si>
    <t>WEATHER DECK</t>
  </si>
  <si>
    <t>Top Deck Plate</t>
  </si>
  <si>
    <t>Bridge Deck Plate</t>
  </si>
  <si>
    <t>Passenger Deck Plate</t>
  </si>
  <si>
    <t>II</t>
  </si>
  <si>
    <t>RAMP</t>
  </si>
  <si>
    <t>Fore Ramp</t>
  </si>
  <si>
    <t>Plate</t>
  </si>
  <si>
    <t>Stanchion Roller</t>
  </si>
  <si>
    <t>Structure (Web, Girder, Etc)</t>
  </si>
  <si>
    <t>Lifting</t>
  </si>
  <si>
    <t>Pad Eye</t>
  </si>
  <si>
    <t>Hinges</t>
  </si>
  <si>
    <t>Roller</t>
  </si>
  <si>
    <t>Wire</t>
  </si>
  <si>
    <t>Next Renewal date:</t>
  </si>
  <si>
    <t>Chain Ramp</t>
  </si>
  <si>
    <t>f</t>
  </si>
  <si>
    <t>Stopper</t>
  </si>
  <si>
    <t>g</t>
  </si>
  <si>
    <t>Hydraulic Arm</t>
  </si>
  <si>
    <t>Bow Visor</t>
  </si>
  <si>
    <t>Cons</t>
  </si>
  <si>
    <t>Aft Ramp</t>
  </si>
  <si>
    <t>Portside Ramp</t>
  </si>
  <si>
    <t>Starboard Ramp</t>
  </si>
  <si>
    <t>In Ramp</t>
  </si>
  <si>
    <t xml:space="preserve"> </t>
  </si>
  <si>
    <t>III</t>
  </si>
  <si>
    <t>ACCOMODATION</t>
  </si>
  <si>
    <t>Crew</t>
  </si>
  <si>
    <t>Master &amp; Officer Room</t>
  </si>
  <si>
    <t>Master Room</t>
  </si>
  <si>
    <t>Chief Engineer Room</t>
  </si>
  <si>
    <t>Chief Officer Room</t>
  </si>
  <si>
    <t>Toilet</t>
  </si>
  <si>
    <t>officer room</t>
  </si>
  <si>
    <t xml:space="preserve">office </t>
  </si>
  <si>
    <t>Lounge</t>
  </si>
  <si>
    <t>Crew Room</t>
  </si>
  <si>
    <t>Mess Room</t>
  </si>
  <si>
    <t>Galley</t>
  </si>
  <si>
    <t>Lounge Room</t>
  </si>
  <si>
    <t>Laundry Room</t>
  </si>
  <si>
    <t>Toilet/shower room</t>
  </si>
  <si>
    <t>1.3</t>
  </si>
  <si>
    <t>Store</t>
  </si>
  <si>
    <t>Engine Store</t>
  </si>
  <si>
    <t>Deck Store (Bosun,Paint,Etc)</t>
  </si>
  <si>
    <t>Provision Store (Cold &amp; Dry)</t>
  </si>
  <si>
    <t>Safety Equipment Store</t>
  </si>
  <si>
    <t>Passenger</t>
  </si>
  <si>
    <t>Economy</t>
  </si>
  <si>
    <t>Pendingin ruangan</t>
  </si>
  <si>
    <t>TV,Audio &amp; Video</t>
  </si>
  <si>
    <t>Trash bin</t>
  </si>
  <si>
    <t>Chair/sofa/tatami</t>
  </si>
  <si>
    <t>Room</t>
  </si>
  <si>
    <t>Non-Economy</t>
  </si>
  <si>
    <t>lounge</t>
  </si>
  <si>
    <t>charging station</t>
  </si>
  <si>
    <t>wifi</t>
  </si>
  <si>
    <t>h</t>
  </si>
  <si>
    <t>Facility</t>
  </si>
  <si>
    <t>Pray room</t>
  </si>
  <si>
    <t>Lactation</t>
  </si>
  <si>
    <t>hospital</t>
  </si>
  <si>
    <t>cafetaria</t>
  </si>
  <si>
    <t>galley</t>
  </si>
  <si>
    <t>entertain room</t>
  </si>
  <si>
    <t>smoking room/area</t>
  </si>
  <si>
    <t>i</t>
  </si>
  <si>
    <t>Difable Toilet</t>
  </si>
  <si>
    <t>IV</t>
  </si>
  <si>
    <t>DECK MACHINERY &amp; OUTFITTING OVERALL CAP RATING</t>
  </si>
  <si>
    <t>Deck Machinery</t>
  </si>
  <si>
    <t>Hydraulic Pump for Mooring Winch/Windlass AFT</t>
  </si>
  <si>
    <t>Electro Motor</t>
  </si>
  <si>
    <t>Pump</t>
  </si>
  <si>
    <t>Control Valve</t>
  </si>
  <si>
    <t>Hydraulic Hose</t>
  </si>
  <si>
    <t>Pipe</t>
  </si>
  <si>
    <t>Tank</t>
  </si>
  <si>
    <t>Hydraulic Pump for Mooring Winch/Windlass Fore</t>
  </si>
  <si>
    <t>Anchor and Rampdoor Winch/Windlass PS</t>
  </si>
  <si>
    <t>Gipsy</t>
  </si>
  <si>
    <t>Redcution Gear</t>
  </si>
  <si>
    <t>Drum</t>
  </si>
  <si>
    <t>Clutch</t>
  </si>
  <si>
    <t>Control Stand</t>
  </si>
  <si>
    <t>Hand Break</t>
  </si>
  <si>
    <t>Actuator/Reduction Gear Box</t>
  </si>
  <si>
    <t>Anchor and Rampdoor Winch/Windlass SB</t>
  </si>
  <si>
    <t>Provision/Service Crane</t>
  </si>
  <si>
    <t>Boom</t>
  </si>
  <si>
    <t>Swivel, Hook &amp; Lock</t>
  </si>
  <si>
    <t>Luffing</t>
  </si>
  <si>
    <t>Safety Device</t>
  </si>
  <si>
    <t>Electric Motor &amp; Manual Control</t>
  </si>
  <si>
    <t>Electric Motor</t>
  </si>
  <si>
    <t>Casing</t>
  </si>
  <si>
    <t>Ducting</t>
  </si>
  <si>
    <t>Outfitting</t>
  </si>
  <si>
    <t>2.1</t>
  </si>
  <si>
    <t>Bollard</t>
  </si>
  <si>
    <t>2.2</t>
  </si>
  <si>
    <t>Chock</t>
  </si>
  <si>
    <t>2.3</t>
  </si>
  <si>
    <t>Fairlead</t>
  </si>
  <si>
    <t>2.4</t>
  </si>
  <si>
    <t>Anchor &amp; Chain</t>
  </si>
  <si>
    <t>Anchor</t>
  </si>
  <si>
    <t>Chain</t>
  </si>
  <si>
    <t>Construction Hawse Pipe</t>
  </si>
  <si>
    <t>Construction Spurling Pipe</t>
  </si>
  <si>
    <t>2.5</t>
  </si>
  <si>
    <t>Rope</t>
  </si>
  <si>
    <t>Mooring Pipe</t>
  </si>
  <si>
    <t>2.6</t>
  </si>
  <si>
    <t>Railing</t>
  </si>
  <si>
    <t>2.7</t>
  </si>
  <si>
    <t>Bulwark</t>
  </si>
  <si>
    <t>Plat</t>
  </si>
  <si>
    <t>2.8</t>
  </si>
  <si>
    <t>Mast</t>
  </si>
  <si>
    <t>2.9</t>
  </si>
  <si>
    <t>Funnel</t>
  </si>
  <si>
    <t>Louver (kisi - kisi)</t>
  </si>
  <si>
    <t>Exhaust pipe</t>
  </si>
  <si>
    <t>2.10</t>
  </si>
  <si>
    <t>Vent Pipe</t>
  </si>
  <si>
    <t>Air Head Vent</t>
  </si>
  <si>
    <t>Air Pipe</t>
  </si>
  <si>
    <t>Sounding Pipe</t>
  </si>
  <si>
    <t>Filling Pipe</t>
  </si>
  <si>
    <t>2.11</t>
  </si>
  <si>
    <t>2.12</t>
  </si>
  <si>
    <t>Hatch</t>
  </si>
  <si>
    <t>Toggle</t>
  </si>
  <si>
    <t>Seal</t>
  </si>
  <si>
    <t>Hinge</t>
  </si>
  <si>
    <t>2.13</t>
  </si>
  <si>
    <t>Accomodation &amp; Vertical Ladder</t>
  </si>
  <si>
    <t>2.14</t>
  </si>
  <si>
    <t>Lock</t>
  </si>
  <si>
    <t>ENGINE ROOM &amp; MACHINERY OVERALL CAP RATING</t>
  </si>
  <si>
    <t>General Condition</t>
  </si>
  <si>
    <t>1.1</t>
  </si>
  <si>
    <t>Engine Room</t>
  </si>
  <si>
    <t>Deck Plat</t>
  </si>
  <si>
    <t>Stair</t>
  </si>
  <si>
    <t>Bulkhead</t>
  </si>
  <si>
    <t>Grating/Bordes</t>
  </si>
  <si>
    <t>Sliding Door/Water Tight Door</t>
  </si>
  <si>
    <t>Bottom Construction</t>
  </si>
  <si>
    <t>Lighting</t>
  </si>
  <si>
    <t>General/Fire Alarm</t>
  </si>
  <si>
    <t>Emergency Telephone</t>
  </si>
  <si>
    <t>j</t>
  </si>
  <si>
    <t>CO2 Noozle</t>
  </si>
  <si>
    <t>k</t>
  </si>
  <si>
    <t>Smoke Detector</t>
  </si>
  <si>
    <t>l</t>
  </si>
  <si>
    <t>Escape Route</t>
  </si>
  <si>
    <t>m</t>
  </si>
  <si>
    <t>Insulation</t>
  </si>
  <si>
    <t>n</t>
  </si>
  <si>
    <t>1.2</t>
  </si>
  <si>
    <t>Engine Control Room</t>
  </si>
  <si>
    <t>Engine Control Console</t>
  </si>
  <si>
    <t>MSB (Manometer, Syncronize AE, Emgcy Shutdown)</t>
  </si>
  <si>
    <t>Communication (Telephone/Radio)</t>
  </si>
  <si>
    <t>Steering Room</t>
  </si>
  <si>
    <t>Stair/Vertical Ladder</t>
  </si>
  <si>
    <t>Bow Truster Room</t>
  </si>
  <si>
    <t>Main Engine</t>
  </si>
  <si>
    <t>Main Engine PS</t>
  </si>
  <si>
    <t>Engine</t>
  </si>
  <si>
    <t xml:space="preserve">Turbocharger </t>
  </si>
  <si>
    <t xml:space="preserve">Exhaust </t>
  </si>
  <si>
    <t xml:space="preserve">Governor </t>
  </si>
  <si>
    <t>Main Engine SB</t>
  </si>
  <si>
    <t>Gearbox ME PS</t>
  </si>
  <si>
    <t>Mounting &amp; Bolt</t>
  </si>
  <si>
    <t>Body (Casing)</t>
  </si>
  <si>
    <t xml:space="preserve">Coupling </t>
  </si>
  <si>
    <t>Gearbox ME SB</t>
  </si>
  <si>
    <t>Auxiliary Engine</t>
  </si>
  <si>
    <t>3.1</t>
  </si>
  <si>
    <t>Auxiliary Engine 1</t>
  </si>
  <si>
    <t>3.2</t>
  </si>
  <si>
    <t>Auxiliary Engine 2</t>
  </si>
  <si>
    <t>3.3</t>
  </si>
  <si>
    <t>Alternator AE 1</t>
  </si>
  <si>
    <t>Connection Route</t>
  </si>
  <si>
    <t>3.4</t>
  </si>
  <si>
    <t>Alternator AE 2</t>
  </si>
  <si>
    <t>Generator</t>
  </si>
  <si>
    <t>4.1</t>
  </si>
  <si>
    <t>Harbour Generator</t>
  </si>
  <si>
    <t>Alternator</t>
  </si>
  <si>
    <t>4.2</t>
  </si>
  <si>
    <t>Emergency Generator</t>
  </si>
  <si>
    <t>Motor</t>
  </si>
  <si>
    <t>Panel</t>
  </si>
  <si>
    <t>FO Pump</t>
  </si>
  <si>
    <t>Fire Pump</t>
  </si>
  <si>
    <t>SW Air Cond. Pump</t>
  </si>
  <si>
    <t>1.4</t>
  </si>
  <si>
    <t>Sewage Pump</t>
  </si>
  <si>
    <t>1.5</t>
  </si>
  <si>
    <t>Emergency Bilge Pump</t>
  </si>
  <si>
    <t>1.6</t>
  </si>
  <si>
    <t>Bilge Pump</t>
  </si>
  <si>
    <t>1.7</t>
  </si>
  <si>
    <t>FW Press. Set. Pump</t>
  </si>
  <si>
    <t>1.8</t>
  </si>
  <si>
    <t>GS / Fire Pump</t>
  </si>
  <si>
    <t>1.9</t>
  </si>
  <si>
    <t>LO Priming Pump</t>
  </si>
  <si>
    <t>1.10</t>
  </si>
  <si>
    <t>SW Pump</t>
  </si>
  <si>
    <t>1.11</t>
  </si>
  <si>
    <t>LO Stbd Gear Box Pump 1&amp;2</t>
  </si>
  <si>
    <t>1.12</t>
  </si>
  <si>
    <t>Emergency SW Cooling Pump</t>
  </si>
  <si>
    <t>1.13</t>
  </si>
  <si>
    <t>FO Transfer Pump</t>
  </si>
  <si>
    <t>1.14</t>
  </si>
  <si>
    <t>LO Transfer Pump 1&amp;2</t>
  </si>
  <si>
    <t>1.15</t>
  </si>
  <si>
    <t>ME FW Cooling Pump</t>
  </si>
  <si>
    <t>1.16</t>
  </si>
  <si>
    <t>Dirty Oil Pump</t>
  </si>
  <si>
    <t>1.17</t>
  </si>
  <si>
    <t>Ballast Pump 1&amp;2</t>
  </si>
  <si>
    <t>1.18</t>
  </si>
  <si>
    <t>SW Press Set Pump 1&amp;2</t>
  </si>
  <si>
    <t>1.19</t>
  </si>
  <si>
    <t>Oily Water Separator</t>
  </si>
  <si>
    <t>Bilge electric motor</t>
  </si>
  <si>
    <t>Coalescer reservoir</t>
  </si>
  <si>
    <t>Oil Discharge Monitoring ( ODM )</t>
  </si>
  <si>
    <t>Selenoid / safety device</t>
  </si>
  <si>
    <t>1.20</t>
  </si>
  <si>
    <t xml:space="preserve">Air Compressor </t>
  </si>
  <si>
    <t>Motor Engine</t>
  </si>
  <si>
    <t xml:space="preserve">Bare pump </t>
  </si>
  <si>
    <t>1.21</t>
  </si>
  <si>
    <t>Air reservoir</t>
  </si>
  <si>
    <t xml:space="preserve">Contruction </t>
  </si>
  <si>
    <t>Safety Valve / Pressure Valve</t>
  </si>
  <si>
    <t>Valve</t>
  </si>
  <si>
    <t>Flange</t>
  </si>
  <si>
    <t>FO Pipe &amp; Valve</t>
  </si>
  <si>
    <t>LO Pipe &amp; Valve</t>
  </si>
  <si>
    <t>FW Pipe &amp; Valve</t>
  </si>
  <si>
    <t>SW Pipe &amp; Valve</t>
  </si>
  <si>
    <t>Emergency Fire Pipe &amp; Valve</t>
  </si>
  <si>
    <t>Fuel Oil Consumption</t>
  </si>
  <si>
    <t>MOTOR</t>
  </si>
  <si>
    <t>PUMP</t>
  </si>
  <si>
    <t>PANEL</t>
  </si>
  <si>
    <t>AVG</t>
  </si>
  <si>
    <t>No</t>
  </si>
  <si>
    <t>Idle</t>
  </si>
  <si>
    <t>Slow</t>
  </si>
  <si>
    <t>Service</t>
  </si>
  <si>
    <t>Full</t>
  </si>
  <si>
    <t>5.1</t>
  </si>
  <si>
    <t>speed</t>
  </si>
  <si>
    <t>foc</t>
  </si>
  <si>
    <t>5.2</t>
  </si>
  <si>
    <t>ME PS</t>
  </si>
  <si>
    <t>5.3</t>
  </si>
  <si>
    <t>ME SB</t>
  </si>
  <si>
    <t>5.4</t>
  </si>
  <si>
    <t>AE 1</t>
  </si>
  <si>
    <t>5.5</t>
  </si>
  <si>
    <t>AE 2</t>
  </si>
  <si>
    <t>5.6</t>
  </si>
  <si>
    <t>AE 3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</si>
  <si>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</si>
  <si>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</si>
  <si>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</si>
  <si>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</si>
  <si>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</si>
  <si>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</si>
  <si>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</si>
  <si>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</si>
  <si>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</si>
  <si>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</si>
  <si>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</si>
  <si>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</si>
  <si>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</si>
  <si>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</si>
  <si>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</si>
  <si>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Note</t>
  </si>
  <si>
    <t>Posisi Kerusakan</t>
  </si>
  <si>
    <t>PIPE</t>
  </si>
  <si>
    <t>VALVE</t>
  </si>
  <si>
    <t>FLANGE</t>
  </si>
  <si>
    <t>7.1</t>
  </si>
  <si>
    <t>7.2</t>
  </si>
  <si>
    <t>7.3</t>
  </si>
  <si>
    <t>7.4</t>
  </si>
  <si>
    <t>7.5</t>
  </si>
  <si>
    <t>VI</t>
  </si>
  <si>
    <t>BRIDGE &amp; NAVIGATION ROOM</t>
  </si>
  <si>
    <t>Navigation Room</t>
  </si>
  <si>
    <t>Floor</t>
  </si>
  <si>
    <t>Ceiling/plafon</t>
  </si>
  <si>
    <t>Window</t>
  </si>
  <si>
    <t>Bridge Control Panel</t>
  </si>
  <si>
    <t>Engine Telegraph</t>
  </si>
  <si>
    <t>Weather Tight Door</t>
  </si>
  <si>
    <t>Clear View Screen</t>
  </si>
  <si>
    <t>Qty:</t>
  </si>
  <si>
    <t>Wiper</t>
  </si>
  <si>
    <t>Public Adressor</t>
  </si>
  <si>
    <t>Radio Room</t>
  </si>
  <si>
    <t>CCTV Monitor</t>
  </si>
  <si>
    <t>Equipment</t>
  </si>
  <si>
    <t>Binocular</t>
  </si>
  <si>
    <t>Barometer</t>
  </si>
  <si>
    <t>Temperature Gauge</t>
  </si>
  <si>
    <t>Telephone</t>
  </si>
  <si>
    <t>Navigation Equipment</t>
  </si>
  <si>
    <t>Radar</t>
  </si>
  <si>
    <t>GPS</t>
  </si>
  <si>
    <t>Echosounder</t>
  </si>
  <si>
    <t>Anemometer</t>
  </si>
  <si>
    <t>AIS</t>
  </si>
  <si>
    <t>Gyro Compass</t>
  </si>
  <si>
    <t>Magnetic Compass</t>
  </si>
  <si>
    <t>ECDIS</t>
  </si>
  <si>
    <t>Autopilot</t>
  </si>
  <si>
    <t>Steering Wheel</t>
  </si>
  <si>
    <t>Bow Thruster Control Stand</t>
  </si>
  <si>
    <t>Throttle</t>
  </si>
  <si>
    <t>Navigation Light Control Pannel</t>
  </si>
  <si>
    <t>BNWAS</t>
  </si>
  <si>
    <t>Communication Equipment</t>
  </si>
  <si>
    <t>Navtex Receiver</t>
  </si>
  <si>
    <t>GMDSS</t>
  </si>
  <si>
    <t>MF/HF</t>
  </si>
  <si>
    <t>VHF</t>
  </si>
  <si>
    <t>Handy Talky</t>
  </si>
  <si>
    <t>Sound Power Telephone</t>
  </si>
  <si>
    <t>Electrical/Air Horn</t>
  </si>
  <si>
    <t>Weather Fax</t>
  </si>
  <si>
    <t>Inmarsat</t>
  </si>
  <si>
    <t>Navigation Light</t>
  </si>
  <si>
    <t>Search Light</t>
  </si>
  <si>
    <t>Side Light</t>
  </si>
  <si>
    <t>Mast Light</t>
  </si>
  <si>
    <t>Stern Light</t>
  </si>
  <si>
    <t>Anchor Light</t>
  </si>
  <si>
    <t>Navigation &amp; Communication Equipment</t>
  </si>
  <si>
    <t>Qty</t>
  </si>
  <si>
    <t>Specification</t>
  </si>
  <si>
    <t>VII</t>
  </si>
  <si>
    <t>SHIP SAFETY  OPERATION</t>
  </si>
  <si>
    <t>Operation Document</t>
  </si>
  <si>
    <t>Class Certificate</t>
  </si>
  <si>
    <t>International Load Line Certificate</t>
  </si>
  <si>
    <t>Date issued:</t>
  </si>
  <si>
    <t>Exp:</t>
  </si>
  <si>
    <t>Certificate of Classification for Hull</t>
  </si>
  <si>
    <t>Certificate of Classification for Machinery</t>
  </si>
  <si>
    <t>Wreck Removal Certificate</t>
  </si>
  <si>
    <t>Statutory Certificate</t>
  </si>
  <si>
    <t>Surat Laut
 (Certificate of Nationality)</t>
  </si>
  <si>
    <t>Gross Akta</t>
  </si>
  <si>
    <t>Surat Ukur Internasional
 (International Tonnage Certificate)</t>
  </si>
  <si>
    <t>SKKP (Sertifikat Keselamatan Kapal Penumpang)</t>
  </si>
  <si>
    <t>Minimum Safe Manning Document</t>
  </si>
  <si>
    <t>Document of Compliance</t>
  </si>
  <si>
    <t>Safety Management Certificate</t>
  </si>
  <si>
    <t>Sertifikat Nasional Pencegahan Pencemaran (SNPP)</t>
  </si>
  <si>
    <t>National Anti-Fouling System Certificate</t>
  </si>
  <si>
    <t>Sertifikat Bebas Tindakan Sanitasi Kapal</t>
  </si>
  <si>
    <t>Ship Certificate of Medicine Chest</t>
  </si>
  <si>
    <t>Life Saving Appliance</t>
  </si>
  <si>
    <t>HRU</t>
  </si>
  <si>
    <t>Exp Date:</t>
  </si>
  <si>
    <t>no</t>
  </si>
  <si>
    <t>item</t>
  </si>
  <si>
    <t>Next Inspection/Approved Certificate</t>
  </si>
  <si>
    <t>ILR</t>
  </si>
  <si>
    <t>Exp Date</t>
  </si>
  <si>
    <t>Bracket</t>
  </si>
  <si>
    <t>Life Line Throwing</t>
  </si>
  <si>
    <t>Rocket Parachute</t>
  </si>
  <si>
    <t>Smoke Signal</t>
  </si>
  <si>
    <t>Hand Flare</t>
  </si>
  <si>
    <t>EEBD (Emergency Escape Breathing Device)</t>
  </si>
  <si>
    <t>Next Inspection</t>
  </si>
  <si>
    <t>Tube</t>
  </si>
  <si>
    <t>Masker</t>
  </si>
  <si>
    <t>EPIRB (Emergency Position-Indicating Radio Beacon)</t>
  </si>
  <si>
    <t>Battery Expiry Date</t>
  </si>
  <si>
    <t>SART  (Search and Rescue Transponder)</t>
  </si>
  <si>
    <t>Life Buoy with Line or Light</t>
  </si>
  <si>
    <t>Buoy</t>
  </si>
  <si>
    <t>Line</t>
  </si>
  <si>
    <t>Light</t>
  </si>
  <si>
    <t>Life Jacket</t>
  </si>
  <si>
    <t>Whistle</t>
  </si>
  <si>
    <t>Reflector</t>
  </si>
  <si>
    <t>Lanyard &amp; Buckle</t>
  </si>
  <si>
    <t>Rescue Boat</t>
  </si>
  <si>
    <t>Hull Rescue Boat</t>
  </si>
  <si>
    <t>Boat Engine</t>
  </si>
  <si>
    <t>Marking - Sticker Solas</t>
  </si>
  <si>
    <t>Emergency Food &amp; Water</t>
  </si>
  <si>
    <t>Davit Rescue Boat</t>
  </si>
  <si>
    <t>Swivel &amp; Hook</t>
  </si>
  <si>
    <t>Winch &amp; Pump</t>
  </si>
  <si>
    <t>Drill Record</t>
  </si>
  <si>
    <t>Muster Station</t>
  </si>
  <si>
    <t>Marking</t>
  </si>
  <si>
    <t>Fire Fighting Appliance</t>
  </si>
  <si>
    <t>Portable CO2 Fire Extinghuisher</t>
  </si>
  <si>
    <t>Next Inspection/Approved Certificate &amp; Qty</t>
  </si>
  <si>
    <t>Portable Foam Fire Extinghuisher</t>
  </si>
  <si>
    <t>Fire Box, Hose, and Nozzle</t>
  </si>
  <si>
    <t>Condition</t>
  </si>
  <si>
    <t>Drill Record / Qty</t>
  </si>
  <si>
    <t>Fire Blanket</t>
  </si>
  <si>
    <t>Fireman Outfit</t>
  </si>
  <si>
    <t>Helm</t>
  </si>
  <si>
    <t>Suit</t>
  </si>
  <si>
    <t>Glasses</t>
  </si>
  <si>
    <t>Boots</t>
  </si>
  <si>
    <t>SOPEP</t>
  </si>
  <si>
    <t>Oil absorbent pad</t>
  </si>
  <si>
    <t>Oil Boom</t>
  </si>
  <si>
    <t>Sawdust</t>
  </si>
  <si>
    <t>Broom</t>
  </si>
  <si>
    <t>Scoop &amp; Shove</t>
  </si>
  <si>
    <t>SCBA (Self-Contained Breathing Apparatus)</t>
  </si>
  <si>
    <t>Exp Date/Lifespan</t>
  </si>
  <si>
    <t>Heat Detector</t>
  </si>
  <si>
    <t>3.10</t>
  </si>
  <si>
    <t>Sprinkle</t>
  </si>
  <si>
    <t>Emergency Fire Pump</t>
  </si>
  <si>
    <t>Local Panel</t>
  </si>
  <si>
    <t>Hydrant</t>
  </si>
  <si>
    <t>Fixed CO2 System</t>
  </si>
  <si>
    <t>International Shore Connection</t>
  </si>
  <si>
    <t>(lokasi temuan)</t>
  </si>
  <si>
    <t>ENGINE ROOM &amp; MACHINERY</t>
  </si>
  <si>
    <t>GENERAL CONDITION</t>
  </si>
  <si>
    <t>Bow Thruster Room</t>
  </si>
  <si>
    <t>MAIN ENGINE GENERAL CONDITION</t>
  </si>
  <si>
    <t>MAIN ENGINE PS</t>
  </si>
  <si>
    <t>Name Plate</t>
  </si>
  <si>
    <t>Engine Bed</t>
  </si>
  <si>
    <t>Engine Casing</t>
  </si>
  <si>
    <t>Turbo Charge</t>
  </si>
  <si>
    <t>Exhaust Pipe</t>
  </si>
  <si>
    <t xml:space="preserve">MAIN ENGINE FUNCTION </t>
  </si>
  <si>
    <t>Operating</t>
  </si>
  <si>
    <t>Emgcy Shutdown</t>
  </si>
  <si>
    <t>Gearbox</t>
  </si>
  <si>
    <t>FO System</t>
  </si>
  <si>
    <t>LO System</t>
  </si>
  <si>
    <t>Cooling System</t>
  </si>
  <si>
    <t>MAIN ENGINE SB</t>
  </si>
  <si>
    <t>AUXILIARY ENGINE</t>
  </si>
  <si>
    <t>Alternator 1</t>
  </si>
  <si>
    <t>Alternator 2</t>
  </si>
  <si>
    <t>3.5</t>
  </si>
  <si>
    <t>Auxiliary Engine 3</t>
  </si>
  <si>
    <t>3.6</t>
  </si>
  <si>
    <t>Alternator 3</t>
  </si>
  <si>
    <t>GENERATOR</t>
  </si>
  <si>
    <t>PROPULSION</t>
  </si>
  <si>
    <t>6.1</t>
  </si>
  <si>
    <t>Steering Gear</t>
  </si>
  <si>
    <t>6.2</t>
  </si>
  <si>
    <t>Shaft Propeller PS</t>
  </si>
  <si>
    <t>6.3</t>
  </si>
  <si>
    <t>Shaft Propeller SB</t>
  </si>
  <si>
    <t>6.4</t>
  </si>
  <si>
    <t>Plummer Block</t>
  </si>
  <si>
    <t>6.5</t>
  </si>
  <si>
    <t>Bow Thruster</t>
  </si>
  <si>
    <t>Life Saving Appliance &amp; Fire Fighting Appliance Equipment</t>
  </si>
  <si>
    <t>Life Saving Appliance Equipment</t>
  </si>
  <si>
    <t>Fire Fighting Appliance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</si>
</sst>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0.0"/>
    <numFmt numFmtId="166" formatCode="&quot;Rp&quot;#,##0.00"/>
  </numFmts>
  <fonts count="3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u/>
      <sz val="14"/>
      <color rgb="FF0000FF"/>
      <name val="Arial"/>
      <scheme val="minor"/>
    </font>
    <font>
      <sz val="14"/>
      <color theme="1"/>
      <name val="Arial"/>
      <scheme val="minor"/>
    </font>
    <font>
      <b/>
      <sz val="14"/>
      <color rgb="FF000000"/>
      <name val="Arial"/>
      <scheme val="minor"/>
    </font>
    <font>
      <sz val="10"/>
      <name val="Arial"/>
    </font>
    <font>
      <sz val="11"/>
      <color theme="1"/>
      <name val="Calibri"/>
    </font>
    <font>
      <b/>
      <sz val="14"/>
      <color theme="1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i/>
      <u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scheme val="minor"/>
    </font>
    <font>
      <sz val="10"/>
      <color theme="0"/>
      <name val="Arial"/>
      <scheme val="minor"/>
    </font>
    <font>
      <sz val="10"/>
      <color rgb="FF000000"/>
      <name val="Garamond"/>
    </font>
    <font>
      <sz val="9"/>
      <color rgb="FF000000"/>
      <name val="Garamond"/>
    </font>
    <font>
      <sz val="12"/>
      <color rgb="FF000000"/>
      <name val="Garamond"/>
    </font>
    <font>
      <sz val="12"/>
      <color theme="1"/>
      <name val="Garamond"/>
    </font>
    <font>
      <b/>
      <sz val="12"/>
      <color rgb="FF000000"/>
      <name val="Garamond"/>
    </font>
    <font>
      <b/>
      <sz val="12"/>
      <color theme="0"/>
      <name val="Garamond"/>
    </font>
    <font>
      <b/>
      <sz val="12"/>
      <color theme="1"/>
      <name val="Garamond"/>
    </font>
    <font>
      <sz val="11"/>
      <color theme="1"/>
      <name val="Garamond"/>
    </font>
    <font>
      <sz val="10"/>
      <color theme="1"/>
      <name val="Garamond"/>
    </font>
    <font>
      <b/>
      <sz val="11"/>
      <color theme="1"/>
      <name val="Garamond"/>
    </font>
    <font>
      <b/>
      <sz val="10"/>
      <color rgb="FF000000"/>
      <name val="Garamond"/>
    </font>
    <font>
      <b/>
      <sz val="10"/>
      <color theme="1"/>
      <name val="Garamond"/>
    </font>
    <font>
      <b/>
      <sz val="11"/>
      <color rgb="FF242424"/>
      <name val="Garamond"/>
    </font>
    <font>
      <sz val="11"/>
      <color rgb="FF242424"/>
      <name val="Garamond"/>
    </font>
  </fonts>
  <fills count="2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4" fillId="0" borderId="0"/>
  </cellStyleXfs>
  <cellXfs count="30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10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7" fillId="0" borderId="0" xfId="0" applyNumberFormat="1" applyFont="1"/>
    <xf numFmtId="0" fontId="13" fillId="0" borderId="0" xfId="0" applyFont="1"/>
    <xf numFmtId="0" fontId="7" fillId="0" borderId="0" xfId="0" quotePrefix="1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1" applyFont="1"/>
    <xf numFmtId="0" fontId="15" fillId="4" borderId="11" xfId="1" applyFont="1" applyFill="1" applyBorder="1" applyAlignment="1">
      <alignment vertical="center" wrapText="1"/>
    </xf>
    <xf numFmtId="0" fontId="15" fillId="4" borderId="12" xfId="1" applyFont="1" applyFill="1" applyBorder="1" applyAlignment="1">
      <alignment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15" fillId="5" borderId="12" xfId="1" applyFont="1" applyFill="1" applyBorder="1" applyAlignment="1">
      <alignment vertical="center" wrapText="1"/>
    </xf>
    <xf numFmtId="0" fontId="15" fillId="6" borderId="12" xfId="1" applyFont="1" applyFill="1" applyBorder="1" applyAlignment="1">
      <alignment vertical="center" wrapText="1"/>
    </xf>
    <xf numFmtId="0" fontId="15" fillId="7" borderId="12" xfId="1" applyFont="1" applyFill="1" applyBorder="1" applyAlignment="1">
      <alignment vertical="center" wrapText="1"/>
    </xf>
    <xf numFmtId="0" fontId="15" fillId="8" borderId="12" xfId="1" applyFont="1" applyFill="1" applyBorder="1" applyAlignment="1">
      <alignment vertical="center" wrapText="1"/>
    </xf>
    <xf numFmtId="0" fontId="15" fillId="9" borderId="12" xfId="1" applyFont="1" applyFill="1" applyBorder="1" applyAlignment="1">
      <alignment vertical="center" wrapText="1"/>
    </xf>
    <xf numFmtId="0" fontId="15" fillId="10" borderId="12" xfId="1" applyFont="1" applyFill="1" applyBorder="1" applyAlignment="1">
      <alignment vertical="center" wrapText="1"/>
    </xf>
    <xf numFmtId="0" fontId="15" fillId="11" borderId="12" xfId="1" applyFont="1" applyFill="1" applyBorder="1" applyAlignment="1">
      <alignment vertical="center" wrapText="1"/>
    </xf>
    <xf numFmtId="0" fontId="15" fillId="12" borderId="12" xfId="1" applyFont="1" applyFill="1" applyBorder="1" applyAlignment="1">
      <alignment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2" xfId="1" applyFont="1" applyBorder="1" applyAlignment="1">
      <alignment vertical="center" wrapText="1"/>
    </xf>
    <xf numFmtId="0" fontId="18" fillId="0" borderId="12" xfId="1" applyFont="1" applyBorder="1" applyAlignment="1">
      <alignment horizontal="center" vertical="center" wrapText="1"/>
    </xf>
    <xf numFmtId="2" fontId="1" fillId="0" borderId="0" xfId="1" applyNumberFormat="1" applyFont="1"/>
    <xf numFmtId="0" fontId="18" fillId="13" borderId="11" xfId="1" applyFont="1" applyFill="1" applyBorder="1" applyAlignment="1">
      <alignment horizontal="center" vertical="center" wrapText="1"/>
    </xf>
    <xf numFmtId="0" fontId="18" fillId="13" borderId="12" xfId="1" applyFont="1" applyFill="1" applyBorder="1" applyAlignment="1">
      <alignment vertical="center" wrapText="1"/>
    </xf>
    <xf numFmtId="0" fontId="18" fillId="13" borderId="12" xfId="1" applyFont="1" applyFill="1" applyBorder="1" applyAlignment="1">
      <alignment horizontal="center" vertical="center" wrapText="1"/>
    </xf>
    <xf numFmtId="0" fontId="18" fillId="13" borderId="12" xfId="1" applyFont="1" applyFill="1" applyBorder="1" applyAlignment="1">
      <alignment horizontal="center" wrapText="1"/>
    </xf>
    <xf numFmtId="0" fontId="18" fillId="14" borderId="12" xfId="1" applyFont="1" applyFill="1" applyBorder="1" applyAlignment="1">
      <alignment horizontal="center" wrapText="1"/>
    </xf>
    <xf numFmtId="0" fontId="18" fillId="15" borderId="12" xfId="1" applyFont="1" applyFill="1" applyBorder="1" applyAlignment="1">
      <alignment horizontal="center" vertical="center" wrapText="1"/>
    </xf>
    <xf numFmtId="0" fontId="18" fillId="0" borderId="12" xfId="1" applyFont="1" applyBorder="1" applyAlignment="1">
      <alignment horizontal="center" wrapText="1"/>
    </xf>
    <xf numFmtId="0" fontId="18" fillId="4" borderId="12" xfId="1" applyFont="1" applyFill="1" applyBorder="1" applyAlignment="1">
      <alignment horizontal="center" vertical="center" wrapText="1"/>
    </xf>
    <xf numFmtId="0" fontId="18" fillId="16" borderId="12" xfId="1" applyFont="1" applyFill="1" applyBorder="1" applyAlignment="1">
      <alignment horizontal="center" vertical="center" wrapText="1"/>
    </xf>
    <xf numFmtId="0" fontId="18" fillId="14" borderId="12" xfId="1" applyFont="1" applyFill="1" applyBorder="1" applyAlignment="1">
      <alignment horizontal="center" vertical="center" wrapText="1"/>
    </xf>
    <xf numFmtId="0" fontId="18" fillId="17" borderId="12" xfId="1" applyFont="1" applyFill="1" applyBorder="1" applyAlignment="1">
      <alignment vertical="center" wrapText="1"/>
    </xf>
    <xf numFmtId="2" fontId="14" fillId="0" borderId="0" xfId="1" applyNumberFormat="1"/>
    <xf numFmtId="0" fontId="15" fillId="0" borderId="12" xfId="1" applyFont="1" applyBorder="1" applyAlignment="1">
      <alignment horizontal="center" wrapText="1"/>
    </xf>
    <xf numFmtId="0" fontId="15" fillId="0" borderId="12" xfId="1" applyFont="1" applyBorder="1" applyAlignment="1">
      <alignment horizontal="center" vertical="center" wrapText="1"/>
    </xf>
    <xf numFmtId="0" fontId="14" fillId="0" borderId="0" xfId="1"/>
    <xf numFmtId="2" fontId="0" fillId="0" borderId="0" xfId="0" applyNumberFormat="1"/>
    <xf numFmtId="0" fontId="0" fillId="0" borderId="0" xfId="0" applyAlignment="1">
      <alignment vertical="top" wrapText="1"/>
    </xf>
    <xf numFmtId="0" fontId="0" fillId="15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2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vertical="top" wrapText="1"/>
    </xf>
    <xf numFmtId="0" fontId="0" fillId="0" borderId="0" xfId="0" applyAlignment="1">
      <alignment vertical="top"/>
    </xf>
    <xf numFmtId="0" fontId="0" fillId="15" borderId="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21" fillId="0" borderId="0" xfId="0" applyFont="1"/>
    <xf numFmtId="0" fontId="22" fillId="0" borderId="0" xfId="0" quotePrefix="1" applyFont="1" applyAlignment="1">
      <alignment horizontal="right"/>
    </xf>
    <xf numFmtId="0" fontId="22" fillId="0" borderId="0" xfId="0" applyFont="1" applyAlignment="1">
      <alignment horizontal="right"/>
    </xf>
    <xf numFmtId="2" fontId="22" fillId="0" borderId="0" xfId="0" quotePrefix="1" applyNumberFormat="1" applyFont="1" applyAlignment="1">
      <alignment horizontal="left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right"/>
    </xf>
    <xf numFmtId="0" fontId="23" fillId="0" borderId="0" xfId="0" applyFont="1"/>
    <xf numFmtId="164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0" fontId="24" fillId="0" borderId="17" xfId="0" applyFont="1" applyBorder="1"/>
    <xf numFmtId="0" fontId="24" fillId="0" borderId="18" xfId="0" applyFont="1" applyBorder="1" applyAlignment="1">
      <alignment horizontal="center"/>
    </xf>
    <xf numFmtId="0" fontId="23" fillId="0" borderId="18" xfId="0" applyFont="1" applyBorder="1"/>
    <xf numFmtId="0" fontId="24" fillId="0" borderId="18" xfId="0" applyFont="1" applyBorder="1"/>
    <xf numFmtId="164" fontId="24" fillId="0" borderId="0" xfId="0" applyNumberFormat="1" applyFont="1"/>
    <xf numFmtId="0" fontId="24" fillId="0" borderId="0" xfId="0" quotePrefix="1" applyFont="1" applyAlignment="1">
      <alignment horizontal="right"/>
    </xf>
    <xf numFmtId="0" fontId="24" fillId="0" borderId="19" xfId="0" applyFont="1" applyBorder="1"/>
    <xf numFmtId="0" fontId="24" fillId="0" borderId="20" xfId="0" quotePrefix="1" applyFont="1" applyBorder="1" applyAlignment="1">
      <alignment horizontal="right"/>
    </xf>
    <xf numFmtId="2" fontId="24" fillId="0" borderId="18" xfId="0" applyNumberFormat="1" applyFont="1" applyBorder="1" applyAlignment="1">
      <alignment horizontal="center"/>
    </xf>
    <xf numFmtId="2" fontId="23" fillId="0" borderId="18" xfId="0" applyNumberFormat="1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1" borderId="17" xfId="0" applyFont="1" applyFill="1" applyBorder="1"/>
    <xf numFmtId="0" fontId="23" fillId="21" borderId="0" xfId="0" applyFont="1" applyFill="1"/>
    <xf numFmtId="0" fontId="24" fillId="21" borderId="0" xfId="0" applyFont="1" applyFill="1"/>
    <xf numFmtId="0" fontId="24" fillId="21" borderId="18" xfId="0" applyFont="1" applyFill="1" applyBorder="1"/>
    <xf numFmtId="0" fontId="27" fillId="0" borderId="17" xfId="0" applyFont="1" applyBorder="1" applyAlignment="1">
      <alignment horizontal="right"/>
    </xf>
    <xf numFmtId="164" fontId="27" fillId="0" borderId="17" xfId="0" applyNumberFormat="1" applyFont="1" applyBorder="1" applyAlignment="1">
      <alignment horizontal="right"/>
    </xf>
    <xf numFmtId="0" fontId="27" fillId="0" borderId="14" xfId="0" applyFont="1" applyBorder="1" applyAlignment="1">
      <alignment horizontal="center" vertical="center"/>
    </xf>
    <xf numFmtId="2" fontId="27" fillId="0" borderId="16" xfId="0" applyNumberFormat="1" applyFont="1" applyBorder="1" applyAlignment="1">
      <alignment horizontal="center" vertical="center"/>
    </xf>
    <xf numFmtId="0" fontId="26" fillId="22" borderId="16" xfId="0" applyFont="1" applyFill="1" applyBorder="1" applyAlignment="1">
      <alignment horizontal="center" vertical="center" wrapText="1"/>
    </xf>
    <xf numFmtId="2" fontId="24" fillId="0" borderId="18" xfId="0" applyNumberFormat="1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21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17" xfId="0" applyFont="1" applyBorder="1" applyAlignment="1">
      <alignment horizontal="center" vertical="center"/>
    </xf>
    <xf numFmtId="2" fontId="30" fillId="0" borderId="18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/>
    <xf numFmtId="164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64" fontId="28" fillId="0" borderId="0" xfId="0" applyNumberFormat="1" applyFont="1"/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17" xfId="0" applyFont="1" applyBorder="1"/>
    <xf numFmtId="0" fontId="29" fillId="0" borderId="0" xfId="0" applyFont="1" applyAlignment="1">
      <alignment vertical="center"/>
    </xf>
    <xf numFmtId="0" fontId="29" fillId="0" borderId="18" xfId="0" applyFont="1" applyBorder="1" applyAlignment="1">
      <alignment horizontal="center" vertical="center"/>
    </xf>
    <xf numFmtId="164" fontId="29" fillId="0" borderId="0" xfId="0" applyNumberFormat="1" applyFont="1"/>
    <xf numFmtId="0" fontId="29" fillId="0" borderId="0" xfId="0" applyFont="1" applyAlignment="1">
      <alignment horizontal="center" vertical="center"/>
    </xf>
    <xf numFmtId="0" fontId="30" fillId="0" borderId="17" xfId="0" applyFont="1" applyBorder="1" applyAlignment="1">
      <alignment horizontal="right"/>
    </xf>
    <xf numFmtId="164" fontId="24" fillId="0" borderId="0" xfId="0" quotePrefix="1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24" fillId="0" borderId="0" xfId="0" quotePrefix="1" applyFont="1"/>
    <xf numFmtId="0" fontId="24" fillId="0" borderId="17" xfId="0" applyFont="1" applyBorder="1" applyAlignment="1">
      <alignment horizontal="right"/>
    </xf>
    <xf numFmtId="0" fontId="23" fillId="0" borderId="18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4" fillId="21" borderId="18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2" fontId="28" fillId="0" borderId="18" xfId="0" applyNumberFormat="1" applyFont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/>
    </xf>
    <xf numFmtId="2" fontId="27" fillId="0" borderId="18" xfId="0" applyNumberFormat="1" applyFont="1" applyBorder="1" applyAlignment="1">
      <alignment horizontal="center"/>
    </xf>
    <xf numFmtId="164" fontId="24" fillId="0" borderId="0" xfId="0" quotePrefix="1" applyNumberFormat="1" applyFont="1"/>
    <xf numFmtId="164" fontId="27" fillId="0" borderId="19" xfId="0" applyNumberFormat="1" applyFont="1" applyBorder="1" applyAlignment="1">
      <alignment horizontal="right"/>
    </xf>
    <xf numFmtId="2" fontId="24" fillId="21" borderId="18" xfId="0" applyNumberFormat="1" applyFont="1" applyFill="1" applyBorder="1" applyAlignment="1">
      <alignment horizontal="center"/>
    </xf>
    <xf numFmtId="2" fontId="24" fillId="0" borderId="2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165" fontId="24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2" fontId="23" fillId="0" borderId="0" xfId="0" applyNumberFormat="1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2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2" fontId="23" fillId="0" borderId="24" xfId="0" applyNumberFormat="1" applyFont="1" applyBorder="1" applyAlignment="1">
      <alignment horizontal="center" vertical="center"/>
    </xf>
    <xf numFmtId="2" fontId="23" fillId="0" borderId="17" xfId="0" applyNumberFormat="1" applyFont="1" applyBorder="1"/>
    <xf numFmtId="2" fontId="23" fillId="0" borderId="0" xfId="0" applyNumberFormat="1" applyFont="1"/>
    <xf numFmtId="2" fontId="23" fillId="0" borderId="19" xfId="0" applyNumberFormat="1" applyFont="1" applyBorder="1"/>
    <xf numFmtId="2" fontId="23" fillId="0" borderId="20" xfId="0" applyNumberFormat="1" applyFont="1" applyBorder="1"/>
    <xf numFmtId="0" fontId="23" fillId="0" borderId="20" xfId="0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21" borderId="17" xfId="0" applyFont="1" applyFill="1" applyBorder="1"/>
    <xf numFmtId="0" fontId="23" fillId="21" borderId="0" xfId="0" applyFont="1" applyFill="1" applyAlignment="1">
      <alignment horizontal="center" vertical="center"/>
    </xf>
    <xf numFmtId="0" fontId="23" fillId="21" borderId="18" xfId="0" applyFont="1" applyFill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6" fillId="2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17" xfId="0" applyFont="1" applyBorder="1" applyAlignment="1">
      <alignment horizontal="center" vertical="center"/>
    </xf>
    <xf numFmtId="2" fontId="27" fillId="0" borderId="18" xfId="0" applyNumberFormat="1" applyFont="1" applyBorder="1" applyAlignment="1">
      <alignment horizontal="center" vertical="center"/>
    </xf>
    <xf numFmtId="0" fontId="27" fillId="21" borderId="17" xfId="0" applyFont="1" applyFill="1" applyBorder="1" applyAlignment="1">
      <alignment horizontal="center" vertical="center"/>
    </xf>
    <xf numFmtId="0" fontId="27" fillId="21" borderId="0" xfId="0" applyFont="1" applyFill="1"/>
    <xf numFmtId="2" fontId="27" fillId="21" borderId="18" xfId="0" applyNumberFormat="1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0" xfId="0" applyFont="1" applyAlignment="1">
      <alignment wrapText="1"/>
    </xf>
    <xf numFmtId="0" fontId="24" fillId="0" borderId="20" xfId="0" applyFont="1" applyBorder="1"/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horizontal="center" vertical="center"/>
    </xf>
    <xf numFmtId="0" fontId="26" fillId="22" borderId="4" xfId="0" applyFont="1" applyFill="1" applyBorder="1" applyAlignment="1">
      <alignment horizontal="center" vertical="center" wrapText="1"/>
    </xf>
    <xf numFmtId="0" fontId="1" fillId="22" borderId="25" xfId="1" applyFont="1" applyFill="1" applyBorder="1" applyAlignment="1">
      <alignment horizontal="center" vertical="center"/>
    </xf>
    <xf numFmtId="0" fontId="1" fillId="22" borderId="26" xfId="1" applyFont="1" applyFill="1" applyBorder="1" applyAlignment="1">
      <alignment horizontal="center" vertical="center"/>
    </xf>
    <xf numFmtId="0" fontId="1" fillId="0" borderId="26" xfId="1" applyFont="1" applyBorder="1"/>
    <xf numFmtId="0" fontId="1" fillId="0" borderId="27" xfId="1" applyFont="1" applyBorder="1"/>
    <xf numFmtId="0" fontId="18" fillId="0" borderId="28" xfId="1" applyFont="1" applyBorder="1" applyAlignment="1">
      <alignment horizontal="center" vertical="center" wrapText="1"/>
    </xf>
    <xf numFmtId="0" fontId="1" fillId="0" borderId="29" xfId="1" applyFont="1" applyBorder="1"/>
    <xf numFmtId="0" fontId="1" fillId="0" borderId="28" xfId="1" applyFont="1" applyBorder="1"/>
    <xf numFmtId="0" fontId="1" fillId="0" borderId="30" xfId="1" applyFont="1" applyBorder="1"/>
    <xf numFmtId="0" fontId="1" fillId="0" borderId="31" xfId="1" applyFont="1" applyBorder="1"/>
    <xf numFmtId="0" fontId="1" fillId="0" borderId="13" xfId="1" applyFont="1" applyBorder="1"/>
    <xf numFmtId="2" fontId="18" fillId="0" borderId="0" xfId="1" applyNumberFormat="1" applyFont="1" applyAlignment="1">
      <alignment horizontal="center" vertical="center" wrapText="1"/>
    </xf>
    <xf numFmtId="0" fontId="27" fillId="0" borderId="0" xfId="0" applyFont="1"/>
    <xf numFmtId="0" fontId="24" fillId="0" borderId="0" xfId="0" applyFont="1"/>
    <xf numFmtId="0" fontId="23" fillId="0" borderId="0" xfId="0" applyFont="1"/>
    <xf numFmtId="0" fontId="0" fillId="0" borderId="0" xfId="0"/>
    <xf numFmtId="0" fontId="25" fillId="0" borderId="0" xfId="0" applyFont="1"/>
    <xf numFmtId="0" fontId="30" fillId="0" borderId="0" xfId="0" applyFont="1"/>
    <xf numFmtId="0" fontId="7" fillId="0" borderId="0" xfId="0" applyFont="1"/>
    <xf numFmtId="166" fontId="24" fillId="0" borderId="0" xfId="0" applyNumberFormat="1" applyFont="1"/>
    <xf numFmtId="0" fontId="24" fillId="0" borderId="0" xfId="0" applyNumberFormat="1" applyFont="1"/>
    <xf numFmtId="0" fontId="23" fillId="0" borderId="0" xfId="0" applyFont="1" applyAlignment="1">
      <alignment horizontal="center"/>
    </xf>
    <xf numFmtId="0" fontId="17" fillId="4" borderId="9" xfId="1" applyFont="1" applyFill="1" applyBorder="1" applyAlignment="1">
      <alignment horizontal="center" vertical="center" wrapText="1"/>
    </xf>
    <xf numFmtId="0" fontId="17" fillId="4" borderId="8" xfId="1" applyFont="1" applyFill="1" applyBorder="1" applyAlignment="1">
      <alignment horizontal="center" vertical="center" wrapText="1"/>
    </xf>
    <xf numFmtId="0" fontId="26" fillId="22" borderId="14" xfId="0" applyFont="1" applyFill="1" applyBorder="1" applyAlignment="1">
      <alignment horizontal="center" vertical="center"/>
    </xf>
    <xf numFmtId="0" fontId="26" fillId="22" borderId="15" xfId="0" applyFont="1" applyFill="1" applyBorder="1" applyAlignment="1">
      <alignment horizontal="center" vertical="center"/>
    </xf>
    <xf numFmtId="2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6" fillId="22" borderId="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6" fillId="22" borderId="3" xfId="0" applyFont="1" applyFill="1" applyBorder="1" applyAlignment="1">
      <alignment horizontal="center" vertical="center"/>
    </xf>
    <xf numFmtId="0" fontId="27" fillId="0" borderId="0" xfId="0" applyFont="1" applyAlignment="1"/>
    <xf numFmtId="0" fontId="24" fillId="0" borderId="0" xfId="0" applyFont="1" applyAlignment="1"/>
    <xf numFmtId="0" fontId="23" fillId="0" borderId="0" xfId="0" applyFont="1" applyAlignment="1"/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5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8" fillId="2" borderId="1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9" fillId="0" borderId="2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center"/>
    </xf>
    <xf numFmtId="0" fontId="0" fillId="0" borderId="0" xfId="0" applyAlignment="1"/>
    <xf numFmtId="0" fontId="16" fillId="8" borderId="9" xfId="1" applyFont="1" applyFill="1" applyBorder="1" applyAlignment="1">
      <alignment horizontal="center" vertical="center" wrapText="1"/>
    </xf>
    <xf numFmtId="0" fontId="16" fillId="8" borderId="10" xfId="1" applyFont="1" applyFill="1" applyBorder="1" applyAlignment="1">
      <alignment horizontal="center" vertical="center" wrapText="1"/>
    </xf>
    <xf numFmtId="0" fontId="16" fillId="9" borderId="9" xfId="1" applyFont="1" applyFill="1" applyBorder="1" applyAlignment="1">
      <alignment horizontal="center" vertical="center" wrapText="1"/>
    </xf>
    <xf numFmtId="0" fontId="16" fillId="9" borderId="10" xfId="1" applyFont="1" applyFill="1" applyBorder="1" applyAlignment="1">
      <alignment horizontal="center" vertical="center" wrapText="1"/>
    </xf>
    <xf numFmtId="0" fontId="16" fillId="10" borderId="9" xfId="1" applyFont="1" applyFill="1" applyBorder="1" applyAlignment="1">
      <alignment horizontal="center" vertical="center" wrapText="1"/>
    </xf>
    <xf numFmtId="0" fontId="16" fillId="10" borderId="10" xfId="1" applyFont="1" applyFill="1" applyBorder="1" applyAlignment="1">
      <alignment horizontal="center" vertical="center" wrapText="1"/>
    </xf>
    <xf numFmtId="0" fontId="16" fillId="11" borderId="9" xfId="1" applyFont="1" applyFill="1" applyBorder="1" applyAlignment="1">
      <alignment horizontal="center" vertical="center" wrapText="1"/>
    </xf>
    <xf numFmtId="0" fontId="16" fillId="11" borderId="10" xfId="1" applyFont="1" applyFill="1" applyBorder="1" applyAlignment="1">
      <alignment horizontal="center" vertical="center" wrapText="1"/>
    </xf>
    <xf numFmtId="0" fontId="16" fillId="12" borderId="9" xfId="1" applyFont="1" applyFill="1" applyBorder="1" applyAlignment="1">
      <alignment horizontal="center" vertical="center" wrapText="1"/>
    </xf>
    <xf numFmtId="0" fontId="16" fillId="12" borderId="10" xfId="1" applyFont="1" applyFill="1" applyBorder="1" applyAlignment="1">
      <alignment horizontal="center" vertical="center" wrapText="1"/>
    </xf>
    <xf numFmtId="0" fontId="16" fillId="7" borderId="9" xfId="1" applyFont="1" applyFill="1" applyBorder="1" applyAlignment="1">
      <alignment horizontal="center" vertical="center" wrapText="1"/>
    </xf>
    <xf numFmtId="0" fontId="16" fillId="7" borderId="10" xfId="1" applyFont="1" applyFill="1" applyBorder="1" applyAlignment="1">
      <alignment horizontal="center" vertical="center" wrapText="1"/>
    </xf>
    <xf numFmtId="0" fontId="16" fillId="4" borderId="8" xfId="1" applyFont="1" applyFill="1" applyBorder="1" applyAlignment="1">
      <alignment horizontal="center" vertical="center" wrapText="1"/>
    </xf>
    <xf numFmtId="0" fontId="16" fillId="4" borderId="10" xfId="1" applyFont="1" applyFill="1" applyBorder="1" applyAlignment="1">
      <alignment horizontal="center" vertical="center" wrapText="1"/>
    </xf>
    <xf numFmtId="0" fontId="17" fillId="4" borderId="9" xfId="1" applyFont="1" applyFill="1" applyBorder="1" applyAlignment="1">
      <alignment horizontal="center" vertical="center" wrapText="1"/>
    </xf>
    <xf numFmtId="0" fontId="17" fillId="4" borderId="8" xfId="1" applyFont="1" applyFill="1" applyBorder="1" applyAlignment="1">
      <alignment horizontal="center" vertical="center" wrapText="1"/>
    </xf>
    <xf numFmtId="0" fontId="17" fillId="4" borderId="10" xfId="1" applyFont="1" applyFill="1" applyBorder="1" applyAlignment="1">
      <alignment horizontal="center" vertical="center" wrapText="1"/>
    </xf>
    <xf numFmtId="0" fontId="16" fillId="5" borderId="9" xfId="1" applyFont="1" applyFill="1" applyBorder="1" applyAlignment="1">
      <alignment horizontal="center" vertical="center" wrapText="1"/>
    </xf>
    <xf numFmtId="0" fontId="16" fillId="5" borderId="10" xfId="1" applyFont="1" applyFill="1" applyBorder="1" applyAlignment="1">
      <alignment horizontal="center" vertical="center" wrapText="1"/>
    </xf>
    <xf numFmtId="0" fontId="16" fillId="6" borderId="9" xfId="1" applyFont="1" applyFill="1" applyBorder="1" applyAlignment="1">
      <alignment horizontal="center" vertical="center" wrapText="1"/>
    </xf>
    <xf numFmtId="0" fontId="16" fillId="6" borderId="10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/>
    </xf>
    <xf numFmtId="0" fontId="20" fillId="21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22" xfId="0" applyNumberFormat="1" applyFont="1" applyBorder="1" applyAlignment="1">
      <alignment horizontal="left" vertical="center"/>
    </xf>
    <xf numFmtId="2" fontId="25" fillId="0" borderId="23" xfId="0" applyNumberFormat="1" applyFont="1" applyBorder="1" applyAlignment="1">
      <alignment horizontal="left" vertical="center"/>
    </xf>
    <xf numFmtId="2" fontId="23" fillId="0" borderId="0" xfId="0" applyNumberFormat="1" applyFont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2" fontId="23" fillId="0" borderId="20" xfId="0" applyNumberFormat="1" applyFont="1" applyBorder="1" applyAlignment="1">
      <alignment horizontal="left" vertical="center"/>
    </xf>
    <xf numFmtId="0" fontId="26" fillId="22" borderId="14" xfId="0" applyFont="1" applyFill="1" applyBorder="1" applyAlignment="1">
      <alignment horizontal="center" vertical="center"/>
    </xf>
    <xf numFmtId="0" fontId="26" fillId="22" borderId="15" xfId="0" applyFont="1" applyFill="1" applyBorder="1" applyAlignment="1">
      <alignment horizontal="center" vertical="center"/>
    </xf>
    <xf numFmtId="0" fontId="26" fillId="22" borderId="16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0" fillId="21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15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0" xfId="0" applyFont="1" applyAlignment="1"/>
    <xf numFmtId="0" fontId="30" fillId="0" borderId="0" xfId="0" applyFont="1" applyAlignment="1"/>
    <xf numFmtId="0" fontId="31" fillId="0" borderId="0" xfId="0" applyFont="1" applyAlignment="1"/>
    <xf numFmtId="0" fontId="30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32" fillId="0" borderId="15" xfId="0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7" fillId="0" borderId="0" xfId="0" applyFont="1" applyAlignment="1"/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4" fillId="0" borderId="6" xfId="0" applyFont="1" applyBorder="1" applyAlignment="1">
      <alignment horizontal="left"/>
    </xf>
    <xf numFmtId="0" fontId="25" fillId="0" borderId="6" xfId="0" applyFont="1" applyBorder="1" applyAlignment="1">
      <alignment horizontal="center"/>
    </xf>
    <xf numFmtId="2" fontId="24" fillId="0" borderId="6" xfId="0" quotePrefix="1" applyNumberFormat="1" applyFont="1" applyBorder="1" applyAlignment="1">
      <alignment horizontal="center" wrapText="1"/>
    </xf>
    <xf numFmtId="2" fontId="24" fillId="0" borderId="6" xfId="0" applyNumberFormat="1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22" borderId="6" xfId="0" applyFont="1" applyFill="1" applyBorder="1" applyAlignment="1">
      <alignment horizontal="center" vertical="center"/>
    </xf>
    <xf numFmtId="0" fontId="26" fillId="22" borderId="6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6" fillId="22" borderId="1" xfId="0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</cellXfs>
  <cellStyles count="2">
    <cellStyle name="Normal" xfId="0" builtinId="0"/>
    <cellStyle name="Normal 2" xfId="1" xr:uid="{7A278EE5-6E8F-4B40-997C-A60FBA898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Inspected vs Existing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curve!$D$4:$D$214</c:f>
              <c:numCache>
                <c:formatCode>General</c:formatCode>
                <c:ptCount val="211"/>
                <c:pt idx="0">
                  <c:v>15</c:v>
                </c:pt>
                <c:pt idx="1">
                  <c:v>41</c:v>
                </c:pt>
                <c:pt idx="2">
                  <c:v>40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45</c:v>
                </c:pt>
                <c:pt idx="7">
                  <c:v>40</c:v>
                </c:pt>
                <c:pt idx="8">
                  <c:v>35</c:v>
                </c:pt>
                <c:pt idx="9">
                  <c:v>7</c:v>
                </c:pt>
                <c:pt idx="10">
                  <c:v>34</c:v>
                </c:pt>
                <c:pt idx="11">
                  <c:v>34</c:v>
                </c:pt>
                <c:pt idx="12">
                  <c:v>16</c:v>
                </c:pt>
                <c:pt idx="13">
                  <c:v>24</c:v>
                </c:pt>
                <c:pt idx="14">
                  <c:v>24</c:v>
                </c:pt>
                <c:pt idx="15">
                  <c:v>6</c:v>
                </c:pt>
                <c:pt idx="16">
                  <c:v>23</c:v>
                </c:pt>
                <c:pt idx="17">
                  <c:v>7</c:v>
                </c:pt>
                <c:pt idx="18">
                  <c:v>11</c:v>
                </c:pt>
                <c:pt idx="19">
                  <c:v>22</c:v>
                </c:pt>
                <c:pt idx="20">
                  <c:v>6</c:v>
                </c:pt>
                <c:pt idx="21">
                  <c:v>7</c:v>
                </c:pt>
                <c:pt idx="22">
                  <c:v>14</c:v>
                </c:pt>
                <c:pt idx="23">
                  <c:v>22</c:v>
                </c:pt>
                <c:pt idx="24">
                  <c:v>35</c:v>
                </c:pt>
                <c:pt idx="25">
                  <c:v>19</c:v>
                </c:pt>
                <c:pt idx="26">
                  <c:v>16</c:v>
                </c:pt>
                <c:pt idx="27">
                  <c:v>12</c:v>
                </c:pt>
                <c:pt idx="28">
                  <c:v>20</c:v>
                </c:pt>
                <c:pt idx="29">
                  <c:v>15</c:v>
                </c:pt>
                <c:pt idx="30">
                  <c:v>15</c:v>
                </c:pt>
                <c:pt idx="31">
                  <c:v>23</c:v>
                </c:pt>
                <c:pt idx="32">
                  <c:v>13</c:v>
                </c:pt>
                <c:pt idx="33">
                  <c:v>46</c:v>
                </c:pt>
                <c:pt idx="34">
                  <c:v>34</c:v>
                </c:pt>
                <c:pt idx="35">
                  <c:v>45</c:v>
                </c:pt>
                <c:pt idx="36">
                  <c:v>17</c:v>
                </c:pt>
                <c:pt idx="37">
                  <c:v>22</c:v>
                </c:pt>
                <c:pt idx="38">
                  <c:v>6</c:v>
                </c:pt>
                <c:pt idx="39">
                  <c:v>3</c:v>
                </c:pt>
                <c:pt idx="40">
                  <c:v>31</c:v>
                </c:pt>
                <c:pt idx="41">
                  <c:v>34</c:v>
                </c:pt>
                <c:pt idx="42">
                  <c:v>30</c:v>
                </c:pt>
                <c:pt idx="43">
                  <c:v>34</c:v>
                </c:pt>
                <c:pt idx="44">
                  <c:v>18</c:v>
                </c:pt>
                <c:pt idx="45">
                  <c:v>11</c:v>
                </c:pt>
                <c:pt idx="46">
                  <c:v>29</c:v>
                </c:pt>
                <c:pt idx="47">
                  <c:v>35</c:v>
                </c:pt>
                <c:pt idx="48">
                  <c:v>35</c:v>
                </c:pt>
                <c:pt idx="49">
                  <c:v>16</c:v>
                </c:pt>
                <c:pt idx="50">
                  <c:v>3</c:v>
                </c:pt>
                <c:pt idx="51">
                  <c:v>18</c:v>
                </c:pt>
                <c:pt idx="52">
                  <c:v>31</c:v>
                </c:pt>
                <c:pt idx="53">
                  <c:v>23</c:v>
                </c:pt>
                <c:pt idx="54">
                  <c:v>14</c:v>
                </c:pt>
                <c:pt idx="55">
                  <c:v>12</c:v>
                </c:pt>
                <c:pt idx="56">
                  <c:v>19</c:v>
                </c:pt>
                <c:pt idx="57">
                  <c:v>14</c:v>
                </c:pt>
                <c:pt idx="58">
                  <c:v>35</c:v>
                </c:pt>
                <c:pt idx="59">
                  <c:v>27</c:v>
                </c:pt>
                <c:pt idx="60">
                  <c:v>16</c:v>
                </c:pt>
                <c:pt idx="61">
                  <c:v>12</c:v>
                </c:pt>
                <c:pt idx="62">
                  <c:v>12</c:v>
                </c:pt>
                <c:pt idx="63">
                  <c:v>18</c:v>
                </c:pt>
                <c:pt idx="64">
                  <c:v>18</c:v>
                </c:pt>
                <c:pt idx="65">
                  <c:v>16</c:v>
                </c:pt>
                <c:pt idx="66">
                  <c:v>11</c:v>
                </c:pt>
                <c:pt idx="67">
                  <c:v>8</c:v>
                </c:pt>
                <c:pt idx="68">
                  <c:v>20</c:v>
                </c:pt>
                <c:pt idx="69">
                  <c:v>12</c:v>
                </c:pt>
                <c:pt idx="70">
                  <c:v>16</c:v>
                </c:pt>
                <c:pt idx="71">
                  <c:v>22</c:v>
                </c:pt>
                <c:pt idx="72">
                  <c:v>19</c:v>
                </c:pt>
                <c:pt idx="73">
                  <c:v>33</c:v>
                </c:pt>
                <c:pt idx="74">
                  <c:v>36</c:v>
                </c:pt>
                <c:pt idx="75">
                  <c:v>52</c:v>
                </c:pt>
                <c:pt idx="76">
                  <c:v>33</c:v>
                </c:pt>
                <c:pt idx="77">
                  <c:v>19</c:v>
                </c:pt>
                <c:pt idx="78">
                  <c:v>15</c:v>
                </c:pt>
                <c:pt idx="79">
                  <c:v>17</c:v>
                </c:pt>
                <c:pt idx="80">
                  <c:v>56</c:v>
                </c:pt>
                <c:pt idx="81">
                  <c:v>16</c:v>
                </c:pt>
                <c:pt idx="82">
                  <c:v>14</c:v>
                </c:pt>
                <c:pt idx="83">
                  <c:v>11</c:v>
                </c:pt>
                <c:pt idx="84">
                  <c:v>17</c:v>
                </c:pt>
                <c:pt idx="85">
                  <c:v>10</c:v>
                </c:pt>
                <c:pt idx="86">
                  <c:v>9</c:v>
                </c:pt>
                <c:pt idx="87">
                  <c:v>11</c:v>
                </c:pt>
                <c:pt idx="88">
                  <c:v>46</c:v>
                </c:pt>
                <c:pt idx="89">
                  <c:v>10</c:v>
                </c:pt>
                <c:pt idx="90">
                  <c:v>34</c:v>
                </c:pt>
                <c:pt idx="91">
                  <c:v>26</c:v>
                </c:pt>
                <c:pt idx="92">
                  <c:v>19</c:v>
                </c:pt>
                <c:pt idx="93">
                  <c:v>41</c:v>
                </c:pt>
                <c:pt idx="94">
                  <c:v>13</c:v>
                </c:pt>
                <c:pt idx="95">
                  <c:v>28</c:v>
                </c:pt>
                <c:pt idx="96">
                  <c:v>11</c:v>
                </c:pt>
                <c:pt idx="97">
                  <c:v>20</c:v>
                </c:pt>
                <c:pt idx="98">
                  <c:v>34</c:v>
                </c:pt>
                <c:pt idx="99">
                  <c:v>11</c:v>
                </c:pt>
                <c:pt idx="100">
                  <c:v>16</c:v>
                </c:pt>
                <c:pt idx="101">
                  <c:v>17</c:v>
                </c:pt>
                <c:pt idx="102">
                  <c:v>35</c:v>
                </c:pt>
                <c:pt idx="103">
                  <c:v>11</c:v>
                </c:pt>
                <c:pt idx="104">
                  <c:v>8</c:v>
                </c:pt>
                <c:pt idx="105">
                  <c:v>35</c:v>
                </c:pt>
                <c:pt idx="106">
                  <c:v>21</c:v>
                </c:pt>
                <c:pt idx="107">
                  <c:v>26</c:v>
                </c:pt>
                <c:pt idx="108">
                  <c:v>24</c:v>
                </c:pt>
                <c:pt idx="109">
                  <c:v>16</c:v>
                </c:pt>
                <c:pt idx="110">
                  <c:v>54</c:v>
                </c:pt>
                <c:pt idx="111">
                  <c:v>30</c:v>
                </c:pt>
                <c:pt idx="112">
                  <c:v>24</c:v>
                </c:pt>
                <c:pt idx="113">
                  <c:v>47</c:v>
                </c:pt>
                <c:pt idx="114">
                  <c:v>31</c:v>
                </c:pt>
                <c:pt idx="115">
                  <c:v>7</c:v>
                </c:pt>
                <c:pt idx="116">
                  <c:v>7</c:v>
                </c:pt>
                <c:pt idx="117">
                  <c:v>31</c:v>
                </c:pt>
                <c:pt idx="118">
                  <c:v>20</c:v>
                </c:pt>
                <c:pt idx="119">
                  <c:v>7</c:v>
                </c:pt>
                <c:pt idx="120">
                  <c:v>4</c:v>
                </c:pt>
                <c:pt idx="121">
                  <c:v>4</c:v>
                </c:pt>
                <c:pt idx="122">
                  <c:v>56</c:v>
                </c:pt>
                <c:pt idx="123">
                  <c:v>43</c:v>
                </c:pt>
                <c:pt idx="124">
                  <c:v>13</c:v>
                </c:pt>
                <c:pt idx="125">
                  <c:v>14</c:v>
                </c:pt>
                <c:pt idx="126">
                  <c:v>31</c:v>
                </c:pt>
                <c:pt idx="127">
                  <c:v>6</c:v>
                </c:pt>
                <c:pt idx="128">
                  <c:v>15</c:v>
                </c:pt>
                <c:pt idx="129">
                  <c:v>34</c:v>
                </c:pt>
                <c:pt idx="130">
                  <c:v>15</c:v>
                </c:pt>
                <c:pt idx="131">
                  <c:v>18</c:v>
                </c:pt>
                <c:pt idx="132">
                  <c:v>17</c:v>
                </c:pt>
                <c:pt idx="133">
                  <c:v>22</c:v>
                </c:pt>
                <c:pt idx="134">
                  <c:v>8</c:v>
                </c:pt>
                <c:pt idx="135">
                  <c:v>6</c:v>
                </c:pt>
                <c:pt idx="136">
                  <c:v>35</c:v>
                </c:pt>
                <c:pt idx="137">
                  <c:v>19</c:v>
                </c:pt>
                <c:pt idx="138">
                  <c:v>6</c:v>
                </c:pt>
                <c:pt idx="139">
                  <c:v>33</c:v>
                </c:pt>
                <c:pt idx="140">
                  <c:v>31</c:v>
                </c:pt>
                <c:pt idx="141">
                  <c:v>48</c:v>
                </c:pt>
                <c:pt idx="142">
                  <c:v>31</c:v>
                </c:pt>
                <c:pt idx="143">
                  <c:v>18</c:v>
                </c:pt>
                <c:pt idx="144">
                  <c:v>12</c:v>
                </c:pt>
                <c:pt idx="145">
                  <c:v>14</c:v>
                </c:pt>
                <c:pt idx="146">
                  <c:v>14</c:v>
                </c:pt>
                <c:pt idx="147">
                  <c:v>11</c:v>
                </c:pt>
                <c:pt idx="148">
                  <c:v>53</c:v>
                </c:pt>
                <c:pt idx="149">
                  <c:v>40</c:v>
                </c:pt>
                <c:pt idx="150">
                  <c:v>8</c:v>
                </c:pt>
                <c:pt idx="151">
                  <c:v>35</c:v>
                </c:pt>
                <c:pt idx="152">
                  <c:v>31</c:v>
                </c:pt>
                <c:pt idx="153">
                  <c:v>8</c:v>
                </c:pt>
                <c:pt idx="154">
                  <c:v>27</c:v>
                </c:pt>
                <c:pt idx="155">
                  <c:v>18</c:v>
                </c:pt>
                <c:pt idx="156">
                  <c:v>13</c:v>
                </c:pt>
                <c:pt idx="157">
                  <c:v>36</c:v>
                </c:pt>
                <c:pt idx="158">
                  <c:v>41</c:v>
                </c:pt>
                <c:pt idx="159">
                  <c:v>27</c:v>
                </c:pt>
                <c:pt idx="160">
                  <c:v>57</c:v>
                </c:pt>
                <c:pt idx="161">
                  <c:v>55</c:v>
                </c:pt>
                <c:pt idx="162">
                  <c:v>59</c:v>
                </c:pt>
                <c:pt idx="163">
                  <c:v>34</c:v>
                </c:pt>
                <c:pt idx="164">
                  <c:v>36</c:v>
                </c:pt>
                <c:pt idx="165">
                  <c:v>34</c:v>
                </c:pt>
                <c:pt idx="166">
                  <c:v>36</c:v>
                </c:pt>
                <c:pt idx="167">
                  <c:v>54</c:v>
                </c:pt>
                <c:pt idx="168">
                  <c:v>59</c:v>
                </c:pt>
                <c:pt idx="169">
                  <c:v>60</c:v>
                </c:pt>
                <c:pt idx="170">
                  <c:v>28</c:v>
                </c:pt>
                <c:pt idx="171">
                  <c:v>36</c:v>
                </c:pt>
                <c:pt idx="172">
                  <c:v>35</c:v>
                </c:pt>
                <c:pt idx="173">
                  <c:v>47</c:v>
                </c:pt>
                <c:pt idx="174">
                  <c:v>24</c:v>
                </c:pt>
                <c:pt idx="175">
                  <c:v>34</c:v>
                </c:pt>
                <c:pt idx="176">
                  <c:v>33</c:v>
                </c:pt>
                <c:pt idx="177">
                  <c:v>36</c:v>
                </c:pt>
                <c:pt idx="178">
                  <c:v>34</c:v>
                </c:pt>
                <c:pt idx="179">
                  <c:v>36</c:v>
                </c:pt>
                <c:pt idx="180">
                  <c:v>34</c:v>
                </c:pt>
                <c:pt idx="181">
                  <c:v>32</c:v>
                </c:pt>
                <c:pt idx="182">
                  <c:v>32</c:v>
                </c:pt>
                <c:pt idx="183">
                  <c:v>31</c:v>
                </c:pt>
                <c:pt idx="184">
                  <c:v>40</c:v>
                </c:pt>
                <c:pt idx="185">
                  <c:v>31</c:v>
                </c:pt>
                <c:pt idx="186">
                  <c:v>33</c:v>
                </c:pt>
                <c:pt idx="187">
                  <c:v>34</c:v>
                </c:pt>
                <c:pt idx="188">
                  <c:v>58</c:v>
                </c:pt>
                <c:pt idx="189">
                  <c:v>41</c:v>
                </c:pt>
                <c:pt idx="190">
                  <c:v>41</c:v>
                </c:pt>
                <c:pt idx="191">
                  <c:v>36</c:v>
                </c:pt>
                <c:pt idx="192">
                  <c:v>46</c:v>
                </c:pt>
                <c:pt idx="193">
                  <c:v>58</c:v>
                </c:pt>
                <c:pt idx="194">
                  <c:v>34</c:v>
                </c:pt>
                <c:pt idx="195">
                  <c:v>31</c:v>
                </c:pt>
                <c:pt idx="196">
                  <c:v>42</c:v>
                </c:pt>
                <c:pt idx="197">
                  <c:v>34</c:v>
                </c:pt>
                <c:pt idx="198">
                  <c:v>46</c:v>
                </c:pt>
                <c:pt idx="199">
                  <c:v>46</c:v>
                </c:pt>
                <c:pt idx="200">
                  <c:v>33</c:v>
                </c:pt>
                <c:pt idx="201">
                  <c:v>32</c:v>
                </c:pt>
                <c:pt idx="202">
                  <c:v>28</c:v>
                </c:pt>
                <c:pt idx="203">
                  <c:v>29</c:v>
                </c:pt>
                <c:pt idx="204">
                  <c:v>28</c:v>
                </c:pt>
                <c:pt idx="205">
                  <c:v>30</c:v>
                </c:pt>
                <c:pt idx="206">
                  <c:v>28</c:v>
                </c:pt>
                <c:pt idx="207">
                  <c:v>28</c:v>
                </c:pt>
                <c:pt idx="208">
                  <c:v>32</c:v>
                </c:pt>
                <c:pt idx="209">
                  <c:v>44</c:v>
                </c:pt>
                <c:pt idx="210">
                  <c:v>36</c:v>
                </c:pt>
              </c:numCache>
            </c:numRef>
          </c:xVal>
          <c:yVal>
            <c:numRef>
              <c:f>curve!$M$4:$M$214</c:f>
              <c:numCache>
                <c:formatCode>0.00</c:formatCode>
                <c:ptCount val="211"/>
                <c:pt idx="0">
                  <c:v>3.0949999999999998</c:v>
                </c:pt>
                <c:pt idx="1">
                  <c:v>3.1937499999999996</c:v>
                </c:pt>
                <c:pt idx="2">
                  <c:v>2.9199999999999995</c:v>
                </c:pt>
                <c:pt idx="3">
                  <c:v>3.1287499999999997</c:v>
                </c:pt>
                <c:pt idx="4">
                  <c:v>3.1812499999999995</c:v>
                </c:pt>
                <c:pt idx="5">
                  <c:v>3.0962499999999999</c:v>
                </c:pt>
                <c:pt idx="6">
                  <c:v>2.7437500000000004</c:v>
                </c:pt>
                <c:pt idx="7">
                  <c:v>2.9350000000000005</c:v>
                </c:pt>
                <c:pt idx="8">
                  <c:v>2.7887499999999998</c:v>
                </c:pt>
                <c:pt idx="9">
                  <c:v>3.0150000000000001</c:v>
                </c:pt>
                <c:pt idx="10">
                  <c:v>2.6500000000000004</c:v>
                </c:pt>
                <c:pt idx="11">
                  <c:v>2.7537500000000001</c:v>
                </c:pt>
                <c:pt idx="12">
                  <c:v>2.7025000000000001</c:v>
                </c:pt>
                <c:pt idx="13">
                  <c:v>2.9499999999999993</c:v>
                </c:pt>
                <c:pt idx="14">
                  <c:v>2.9049999999999998</c:v>
                </c:pt>
                <c:pt idx="15">
                  <c:v>3.0037500000000001</c:v>
                </c:pt>
                <c:pt idx="16">
                  <c:v>2.6112500000000001</c:v>
                </c:pt>
                <c:pt idx="17">
                  <c:v>2.9037500000000001</c:v>
                </c:pt>
                <c:pt idx="18">
                  <c:v>3.03</c:v>
                </c:pt>
                <c:pt idx="19">
                  <c:v>2.8862500000000004</c:v>
                </c:pt>
                <c:pt idx="20">
                  <c:v>3.0687500000000001</c:v>
                </c:pt>
                <c:pt idx="21">
                  <c:v>3.0875000000000004</c:v>
                </c:pt>
                <c:pt idx="22">
                  <c:v>2.99125</c:v>
                </c:pt>
                <c:pt idx="23">
                  <c:v>2.93</c:v>
                </c:pt>
                <c:pt idx="24">
                  <c:v>2.96</c:v>
                </c:pt>
                <c:pt idx="25">
                  <c:v>2.9737499999999999</c:v>
                </c:pt>
                <c:pt idx="26">
                  <c:v>3.0212500000000002</c:v>
                </c:pt>
                <c:pt idx="27">
                  <c:v>2.9050000000000002</c:v>
                </c:pt>
                <c:pt idx="28">
                  <c:v>2.6512499999999997</c:v>
                </c:pt>
                <c:pt idx="29">
                  <c:v>2.5987499999999999</c:v>
                </c:pt>
                <c:pt idx="30">
                  <c:v>2.8475000000000006</c:v>
                </c:pt>
                <c:pt idx="31">
                  <c:v>2.7349999999999999</c:v>
                </c:pt>
                <c:pt idx="32">
                  <c:v>3.01</c:v>
                </c:pt>
                <c:pt idx="33">
                  <c:v>2.84375</c:v>
                </c:pt>
                <c:pt idx="34">
                  <c:v>2.5750000000000002</c:v>
                </c:pt>
                <c:pt idx="35">
                  <c:v>2.5612500000000002</c:v>
                </c:pt>
                <c:pt idx="36">
                  <c:v>2.4774999999999996</c:v>
                </c:pt>
                <c:pt idx="37">
                  <c:v>2.6875</c:v>
                </c:pt>
                <c:pt idx="38">
                  <c:v>2.9675000000000002</c:v>
                </c:pt>
                <c:pt idx="39">
                  <c:v>2.8387500000000001</c:v>
                </c:pt>
                <c:pt idx="40">
                  <c:v>2.82375</c:v>
                </c:pt>
                <c:pt idx="41">
                  <c:v>2.9662499999999996</c:v>
                </c:pt>
                <c:pt idx="42">
                  <c:v>2.5387499999999998</c:v>
                </c:pt>
                <c:pt idx="43">
                  <c:v>3.0212500000000002</c:v>
                </c:pt>
                <c:pt idx="44">
                  <c:v>2.9887499999999996</c:v>
                </c:pt>
                <c:pt idx="45">
                  <c:v>2.9862500000000001</c:v>
                </c:pt>
                <c:pt idx="46">
                  <c:v>2.8787499999999993</c:v>
                </c:pt>
                <c:pt idx="47">
                  <c:v>2.7775000000000003</c:v>
                </c:pt>
                <c:pt idx="48">
                  <c:v>2.7012499999999999</c:v>
                </c:pt>
                <c:pt idx="49">
                  <c:v>3.0925000000000002</c:v>
                </c:pt>
                <c:pt idx="50">
                  <c:v>2.8162499999999997</c:v>
                </c:pt>
                <c:pt idx="51">
                  <c:v>2.6462500000000002</c:v>
                </c:pt>
                <c:pt idx="52">
                  <c:v>2.7225000000000001</c:v>
                </c:pt>
                <c:pt idx="53">
                  <c:v>2.6462500000000002</c:v>
                </c:pt>
                <c:pt idx="54">
                  <c:v>2.8612500000000001</c:v>
                </c:pt>
                <c:pt idx="55">
                  <c:v>2.9550000000000001</c:v>
                </c:pt>
                <c:pt idx="56">
                  <c:v>3.0525000000000002</c:v>
                </c:pt>
                <c:pt idx="57">
                  <c:v>3.0825</c:v>
                </c:pt>
                <c:pt idx="58">
                  <c:v>3.0825</c:v>
                </c:pt>
                <c:pt idx="59">
                  <c:v>2.68</c:v>
                </c:pt>
                <c:pt idx="60">
                  <c:v>3.0387499999999998</c:v>
                </c:pt>
                <c:pt idx="61">
                  <c:v>2.9512500000000004</c:v>
                </c:pt>
                <c:pt idx="62">
                  <c:v>3.11375</c:v>
                </c:pt>
                <c:pt idx="63">
                  <c:v>3.05125</c:v>
                </c:pt>
                <c:pt idx="64">
                  <c:v>2.9424999999999999</c:v>
                </c:pt>
                <c:pt idx="65">
                  <c:v>3.1225000000000001</c:v>
                </c:pt>
                <c:pt idx="66">
                  <c:v>3.0162499999999999</c:v>
                </c:pt>
                <c:pt idx="67">
                  <c:v>3.1274999999999999</c:v>
                </c:pt>
                <c:pt idx="68">
                  <c:v>2.9600000000000004</c:v>
                </c:pt>
                <c:pt idx="69">
                  <c:v>3.0387499999999998</c:v>
                </c:pt>
                <c:pt idx="70">
                  <c:v>2.9037500000000001</c:v>
                </c:pt>
                <c:pt idx="71">
                  <c:v>2.9162499999999998</c:v>
                </c:pt>
                <c:pt idx="72">
                  <c:v>2.9662500000000005</c:v>
                </c:pt>
                <c:pt idx="73">
                  <c:v>2.7012499999999999</c:v>
                </c:pt>
                <c:pt idx="74">
                  <c:v>2.8137499999999998</c:v>
                </c:pt>
                <c:pt idx="75">
                  <c:v>2.6812499999999999</c:v>
                </c:pt>
                <c:pt idx="76">
                  <c:v>2.71875</c:v>
                </c:pt>
                <c:pt idx="77">
                  <c:v>2.8887499999999999</c:v>
                </c:pt>
                <c:pt idx="78">
                  <c:v>2.86625</c:v>
                </c:pt>
                <c:pt idx="79">
                  <c:v>2.6112500000000001</c:v>
                </c:pt>
                <c:pt idx="80">
                  <c:v>2.7487500000000007</c:v>
                </c:pt>
                <c:pt idx="81">
                  <c:v>3.0349999999999997</c:v>
                </c:pt>
                <c:pt idx="82">
                  <c:v>2.6462500000000002</c:v>
                </c:pt>
                <c:pt idx="83">
                  <c:v>2.8475000000000001</c:v>
                </c:pt>
                <c:pt idx="84">
                  <c:v>2.8424999999999994</c:v>
                </c:pt>
                <c:pt idx="85">
                  <c:v>2.74125</c:v>
                </c:pt>
                <c:pt idx="86">
                  <c:v>3.03</c:v>
                </c:pt>
                <c:pt idx="87">
                  <c:v>2.9375</c:v>
                </c:pt>
                <c:pt idx="88">
                  <c:v>2.9149999999999996</c:v>
                </c:pt>
                <c:pt idx="89">
                  <c:v>3.0225</c:v>
                </c:pt>
                <c:pt idx="90">
                  <c:v>2.8424999999999998</c:v>
                </c:pt>
                <c:pt idx="91">
                  <c:v>2.8287499999999999</c:v>
                </c:pt>
                <c:pt idx="92">
                  <c:v>2.9812500000000002</c:v>
                </c:pt>
                <c:pt idx="93">
                  <c:v>2.7725</c:v>
                </c:pt>
                <c:pt idx="94">
                  <c:v>2.8800000000000003</c:v>
                </c:pt>
                <c:pt idx="95">
                  <c:v>2.75875</c:v>
                </c:pt>
                <c:pt idx="96">
                  <c:v>2.9549999999999996</c:v>
                </c:pt>
                <c:pt idx="97">
                  <c:v>2.8362500000000002</c:v>
                </c:pt>
                <c:pt idx="98">
                  <c:v>2.7712499999999998</c:v>
                </c:pt>
                <c:pt idx="99">
                  <c:v>2.9075000000000006</c:v>
                </c:pt>
                <c:pt idx="100">
                  <c:v>2.8787500000000001</c:v>
                </c:pt>
                <c:pt idx="101">
                  <c:v>2.9474999999999998</c:v>
                </c:pt>
                <c:pt idx="102">
                  <c:v>2.9275000000000002</c:v>
                </c:pt>
                <c:pt idx="103">
                  <c:v>3.01125</c:v>
                </c:pt>
                <c:pt idx="104">
                  <c:v>2.9874999999999998</c:v>
                </c:pt>
                <c:pt idx="105">
                  <c:v>2.6349999999999998</c:v>
                </c:pt>
                <c:pt idx="106">
                  <c:v>2.7550000000000003</c:v>
                </c:pt>
                <c:pt idx="107">
                  <c:v>2.8074999999999997</c:v>
                </c:pt>
                <c:pt idx="108">
                  <c:v>2.84</c:v>
                </c:pt>
                <c:pt idx="109">
                  <c:v>3.1325000000000003</c:v>
                </c:pt>
                <c:pt idx="110">
                  <c:v>2.8099999999999996</c:v>
                </c:pt>
                <c:pt idx="111">
                  <c:v>2.9824999999999999</c:v>
                </c:pt>
                <c:pt idx="112">
                  <c:v>2.9037499999999996</c:v>
                </c:pt>
                <c:pt idx="113">
                  <c:v>2.6025</c:v>
                </c:pt>
                <c:pt idx="114">
                  <c:v>2.7237500000000003</c:v>
                </c:pt>
                <c:pt idx="115">
                  <c:v>2.94</c:v>
                </c:pt>
                <c:pt idx="116">
                  <c:v>2.855</c:v>
                </c:pt>
                <c:pt idx="117">
                  <c:v>2.6174999999999997</c:v>
                </c:pt>
                <c:pt idx="118">
                  <c:v>2.68</c:v>
                </c:pt>
                <c:pt idx="119">
                  <c:v>2.7787500000000001</c:v>
                </c:pt>
                <c:pt idx="120">
                  <c:v>2.6950000000000003</c:v>
                </c:pt>
                <c:pt idx="121">
                  <c:v>2.8687499999999995</c:v>
                </c:pt>
                <c:pt idx="122">
                  <c:v>2.5387499999999998</c:v>
                </c:pt>
                <c:pt idx="123">
                  <c:v>2.5387499999999994</c:v>
                </c:pt>
                <c:pt idx="124">
                  <c:v>2.7275</c:v>
                </c:pt>
                <c:pt idx="125">
                  <c:v>2.7575000000000003</c:v>
                </c:pt>
                <c:pt idx="126">
                  <c:v>2.6675</c:v>
                </c:pt>
                <c:pt idx="127">
                  <c:v>2.9762500000000003</c:v>
                </c:pt>
                <c:pt idx="128">
                  <c:v>2.8937500000000003</c:v>
                </c:pt>
                <c:pt idx="129">
                  <c:v>2.6924999999999999</c:v>
                </c:pt>
                <c:pt idx="130">
                  <c:v>2.6150000000000002</c:v>
                </c:pt>
                <c:pt idx="131">
                  <c:v>3.0012500000000002</c:v>
                </c:pt>
                <c:pt idx="132">
                  <c:v>2.7349999999999999</c:v>
                </c:pt>
                <c:pt idx="133">
                  <c:v>2.7925</c:v>
                </c:pt>
                <c:pt idx="134">
                  <c:v>2.8912499999999999</c:v>
                </c:pt>
                <c:pt idx="135">
                  <c:v>2.9474999999999998</c:v>
                </c:pt>
                <c:pt idx="136">
                  <c:v>2.3725000000000001</c:v>
                </c:pt>
                <c:pt idx="137">
                  <c:v>2.6737499999999996</c:v>
                </c:pt>
                <c:pt idx="138">
                  <c:v>3.1325000000000003</c:v>
                </c:pt>
                <c:pt idx="139">
                  <c:v>2.8937500000000003</c:v>
                </c:pt>
                <c:pt idx="140">
                  <c:v>2.6187499999999999</c:v>
                </c:pt>
                <c:pt idx="141">
                  <c:v>2.7137500000000001</c:v>
                </c:pt>
                <c:pt idx="142">
                  <c:v>2.7712500000000002</c:v>
                </c:pt>
                <c:pt idx="143">
                  <c:v>2.6949999999999998</c:v>
                </c:pt>
                <c:pt idx="144">
                  <c:v>2.7537500000000001</c:v>
                </c:pt>
                <c:pt idx="145">
                  <c:v>2.625</c:v>
                </c:pt>
                <c:pt idx="146">
                  <c:v>2.76</c:v>
                </c:pt>
                <c:pt idx="147">
                  <c:v>2.7637499999999999</c:v>
                </c:pt>
                <c:pt idx="148">
                  <c:v>2.8674999999999997</c:v>
                </c:pt>
                <c:pt idx="149">
                  <c:v>2.8825000000000003</c:v>
                </c:pt>
                <c:pt idx="150">
                  <c:v>2.7537500000000001</c:v>
                </c:pt>
                <c:pt idx="151">
                  <c:v>3.0337499999999999</c:v>
                </c:pt>
                <c:pt idx="152">
                  <c:v>2.2875000000000001</c:v>
                </c:pt>
                <c:pt idx="153">
                  <c:v>2.67625</c:v>
                </c:pt>
                <c:pt idx="154">
                  <c:v>2.6624999999999996</c:v>
                </c:pt>
                <c:pt idx="155">
                  <c:v>2.9124999999999996</c:v>
                </c:pt>
                <c:pt idx="156">
                  <c:v>2.95</c:v>
                </c:pt>
                <c:pt idx="157">
                  <c:v>2.7324999999999999</c:v>
                </c:pt>
                <c:pt idx="158">
                  <c:v>2.7374999999999998</c:v>
                </c:pt>
                <c:pt idx="159">
                  <c:v>2.665</c:v>
                </c:pt>
                <c:pt idx="160">
                  <c:v>2.8987499999999997</c:v>
                </c:pt>
                <c:pt idx="161">
                  <c:v>2.7567500000000003</c:v>
                </c:pt>
                <c:pt idx="162">
                  <c:v>2.8062500000000004</c:v>
                </c:pt>
                <c:pt idx="163">
                  <c:v>2.4537499999999999</c:v>
                </c:pt>
                <c:pt idx="164">
                  <c:v>2.6599999999999997</c:v>
                </c:pt>
                <c:pt idx="165">
                  <c:v>2.0612499999999998</c:v>
                </c:pt>
                <c:pt idx="166">
                  <c:v>2.8562499999999997</c:v>
                </c:pt>
                <c:pt idx="167">
                  <c:v>2.7600000000000002</c:v>
                </c:pt>
                <c:pt idx="168">
                  <c:v>2.9237500000000001</c:v>
                </c:pt>
                <c:pt idx="169">
                  <c:v>2.82</c:v>
                </c:pt>
                <c:pt idx="170">
                  <c:v>2.7275</c:v>
                </c:pt>
                <c:pt idx="171">
                  <c:v>2.5300000000000002</c:v>
                </c:pt>
                <c:pt idx="172">
                  <c:v>2.7275</c:v>
                </c:pt>
                <c:pt idx="173">
                  <c:v>2.8087499999999999</c:v>
                </c:pt>
                <c:pt idx="174">
                  <c:v>1.8699999999999997</c:v>
                </c:pt>
                <c:pt idx="175">
                  <c:v>2.2450000000000001</c:v>
                </c:pt>
                <c:pt idx="176">
                  <c:v>2.7837499999999995</c:v>
                </c:pt>
                <c:pt idx="177">
                  <c:v>2.6362500000000004</c:v>
                </c:pt>
                <c:pt idx="178">
                  <c:v>2.7549999999999999</c:v>
                </c:pt>
                <c:pt idx="179">
                  <c:v>2.7225000000000001</c:v>
                </c:pt>
                <c:pt idx="180">
                  <c:v>2.80125</c:v>
                </c:pt>
                <c:pt idx="181">
                  <c:v>2.1087499999999997</c:v>
                </c:pt>
                <c:pt idx="182">
                  <c:v>2.48</c:v>
                </c:pt>
                <c:pt idx="183">
                  <c:v>1.8362499999999999</c:v>
                </c:pt>
                <c:pt idx="184">
                  <c:v>2.6100000000000003</c:v>
                </c:pt>
                <c:pt idx="185">
                  <c:v>2.3087499999999999</c:v>
                </c:pt>
                <c:pt idx="186">
                  <c:v>2.2537500000000001</c:v>
                </c:pt>
                <c:pt idx="187">
                  <c:v>2.27</c:v>
                </c:pt>
                <c:pt idx="188">
                  <c:v>2.4362500000000002</c:v>
                </c:pt>
                <c:pt idx="189">
                  <c:v>2.8387500000000001</c:v>
                </c:pt>
                <c:pt idx="190">
                  <c:v>2.7725</c:v>
                </c:pt>
                <c:pt idx="191">
                  <c:v>2.6687499999999997</c:v>
                </c:pt>
                <c:pt idx="192">
                  <c:v>2.61375</c:v>
                </c:pt>
                <c:pt idx="193">
                  <c:v>2.8100000000000005</c:v>
                </c:pt>
                <c:pt idx="194">
                  <c:v>2.52</c:v>
                </c:pt>
                <c:pt idx="195">
                  <c:v>2.63375</c:v>
                </c:pt>
                <c:pt idx="196">
                  <c:v>2.7587499999999996</c:v>
                </c:pt>
                <c:pt idx="197">
                  <c:v>2.4877500000000001</c:v>
                </c:pt>
                <c:pt idx="198">
                  <c:v>2.6875</c:v>
                </c:pt>
                <c:pt idx="199">
                  <c:v>2.96875</c:v>
                </c:pt>
                <c:pt idx="200">
                  <c:v>2.7524999999999999</c:v>
                </c:pt>
                <c:pt idx="201">
                  <c:v>2.6862500000000002</c:v>
                </c:pt>
                <c:pt idx="202">
                  <c:v>2.8412500000000001</c:v>
                </c:pt>
                <c:pt idx="203">
                  <c:v>3.0250000000000004</c:v>
                </c:pt>
                <c:pt idx="204">
                  <c:v>2.9887499999999996</c:v>
                </c:pt>
                <c:pt idx="205">
                  <c:v>2.8687500000000004</c:v>
                </c:pt>
                <c:pt idx="206">
                  <c:v>2.50875</c:v>
                </c:pt>
                <c:pt idx="207">
                  <c:v>3.0175000000000001</c:v>
                </c:pt>
                <c:pt idx="208">
                  <c:v>2.82125</c:v>
                </c:pt>
                <c:pt idx="209">
                  <c:v>2.4925000000000002</c:v>
                </c:pt>
                <c:pt idx="210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B-419B-ABFC-22DA7996D3AD}"/>
            </c:ext>
          </c:extLst>
        </c:ser>
        <c:ser>
          <c:idx val="1"/>
          <c:order val="1"/>
          <c:tx>
            <c:v>Inspected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19050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5AB-419B-ABFC-22DA7996D3AD}"/>
              </c:ext>
            </c:extLst>
          </c:dPt>
          <c:xVal>
            <c:numRef>
              <c:f>curve!$O$4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curve!$P$4</c:f>
              <c:numCache>
                <c:formatCode>0.00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AB-419B-ABFC-22DA7996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817599"/>
        <c:axId val="1617989951"/>
      </c:scatterChart>
      <c:valAx>
        <c:axId val="170181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89951"/>
        <c:crosses val="autoZero"/>
        <c:crossBetween val="midCat"/>
        <c:majorUnit val="10"/>
      </c:valAx>
      <c:valAx>
        <c:axId val="161798995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817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Inspected vs Existing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curve!$D$4:$D$214</c:f>
              <c:numCache>
                <c:formatCode>General</c:formatCode>
                <c:ptCount val="211"/>
                <c:pt idx="0">
                  <c:v>15</c:v>
                </c:pt>
                <c:pt idx="1">
                  <c:v>41</c:v>
                </c:pt>
                <c:pt idx="2">
                  <c:v>40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45</c:v>
                </c:pt>
                <c:pt idx="7">
                  <c:v>40</c:v>
                </c:pt>
                <c:pt idx="8">
                  <c:v>35</c:v>
                </c:pt>
                <c:pt idx="9">
                  <c:v>7</c:v>
                </c:pt>
                <c:pt idx="10">
                  <c:v>34</c:v>
                </c:pt>
                <c:pt idx="11">
                  <c:v>34</c:v>
                </c:pt>
                <c:pt idx="12">
                  <c:v>16</c:v>
                </c:pt>
                <c:pt idx="13">
                  <c:v>24</c:v>
                </c:pt>
                <c:pt idx="14">
                  <c:v>24</c:v>
                </c:pt>
                <c:pt idx="15">
                  <c:v>6</c:v>
                </c:pt>
                <c:pt idx="16">
                  <c:v>23</c:v>
                </c:pt>
                <c:pt idx="17">
                  <c:v>7</c:v>
                </c:pt>
                <c:pt idx="18">
                  <c:v>11</c:v>
                </c:pt>
                <c:pt idx="19">
                  <c:v>22</c:v>
                </c:pt>
                <c:pt idx="20">
                  <c:v>6</c:v>
                </c:pt>
                <c:pt idx="21">
                  <c:v>7</c:v>
                </c:pt>
                <c:pt idx="22">
                  <c:v>14</c:v>
                </c:pt>
                <c:pt idx="23">
                  <c:v>22</c:v>
                </c:pt>
                <c:pt idx="24">
                  <c:v>35</c:v>
                </c:pt>
                <c:pt idx="25">
                  <c:v>19</c:v>
                </c:pt>
                <c:pt idx="26">
                  <c:v>16</c:v>
                </c:pt>
                <c:pt idx="27">
                  <c:v>12</c:v>
                </c:pt>
                <c:pt idx="28">
                  <c:v>20</c:v>
                </c:pt>
                <c:pt idx="29">
                  <c:v>15</c:v>
                </c:pt>
                <c:pt idx="30">
                  <c:v>15</c:v>
                </c:pt>
                <c:pt idx="31">
                  <c:v>23</c:v>
                </c:pt>
                <c:pt idx="32">
                  <c:v>13</c:v>
                </c:pt>
                <c:pt idx="33">
                  <c:v>46</c:v>
                </c:pt>
                <c:pt idx="34">
                  <c:v>34</c:v>
                </c:pt>
                <c:pt idx="35">
                  <c:v>45</c:v>
                </c:pt>
                <c:pt idx="36">
                  <c:v>17</c:v>
                </c:pt>
                <c:pt idx="37">
                  <c:v>22</c:v>
                </c:pt>
                <c:pt idx="38">
                  <c:v>6</c:v>
                </c:pt>
                <c:pt idx="39">
                  <c:v>3</c:v>
                </c:pt>
                <c:pt idx="40">
                  <c:v>31</c:v>
                </c:pt>
                <c:pt idx="41">
                  <c:v>34</c:v>
                </c:pt>
                <c:pt idx="42">
                  <c:v>30</c:v>
                </c:pt>
                <c:pt idx="43">
                  <c:v>34</c:v>
                </c:pt>
                <c:pt idx="44">
                  <c:v>18</c:v>
                </c:pt>
                <c:pt idx="45">
                  <c:v>11</c:v>
                </c:pt>
                <c:pt idx="46">
                  <c:v>29</c:v>
                </c:pt>
                <c:pt idx="47">
                  <c:v>35</c:v>
                </c:pt>
                <c:pt idx="48">
                  <c:v>35</c:v>
                </c:pt>
                <c:pt idx="49">
                  <c:v>16</c:v>
                </c:pt>
                <c:pt idx="50">
                  <c:v>3</c:v>
                </c:pt>
                <c:pt idx="51">
                  <c:v>18</c:v>
                </c:pt>
                <c:pt idx="52">
                  <c:v>31</c:v>
                </c:pt>
                <c:pt idx="53">
                  <c:v>23</c:v>
                </c:pt>
                <c:pt idx="54">
                  <c:v>14</c:v>
                </c:pt>
                <c:pt idx="55">
                  <c:v>12</c:v>
                </c:pt>
                <c:pt idx="56">
                  <c:v>19</c:v>
                </c:pt>
                <c:pt idx="57">
                  <c:v>14</c:v>
                </c:pt>
                <c:pt idx="58">
                  <c:v>35</c:v>
                </c:pt>
                <c:pt idx="59">
                  <c:v>27</c:v>
                </c:pt>
                <c:pt idx="60">
                  <c:v>16</c:v>
                </c:pt>
                <c:pt idx="61">
                  <c:v>12</c:v>
                </c:pt>
                <c:pt idx="62">
                  <c:v>12</c:v>
                </c:pt>
                <c:pt idx="63">
                  <c:v>18</c:v>
                </c:pt>
                <c:pt idx="64">
                  <c:v>18</c:v>
                </c:pt>
                <c:pt idx="65">
                  <c:v>16</c:v>
                </c:pt>
                <c:pt idx="66">
                  <c:v>11</c:v>
                </c:pt>
                <c:pt idx="67">
                  <c:v>8</c:v>
                </c:pt>
                <c:pt idx="68">
                  <c:v>20</c:v>
                </c:pt>
                <c:pt idx="69">
                  <c:v>12</c:v>
                </c:pt>
                <c:pt idx="70">
                  <c:v>16</c:v>
                </c:pt>
                <c:pt idx="71">
                  <c:v>22</c:v>
                </c:pt>
                <c:pt idx="72">
                  <c:v>19</c:v>
                </c:pt>
                <c:pt idx="73">
                  <c:v>33</c:v>
                </c:pt>
                <c:pt idx="74">
                  <c:v>36</c:v>
                </c:pt>
                <c:pt idx="75">
                  <c:v>52</c:v>
                </c:pt>
                <c:pt idx="76">
                  <c:v>33</c:v>
                </c:pt>
                <c:pt idx="77">
                  <c:v>19</c:v>
                </c:pt>
                <c:pt idx="78">
                  <c:v>15</c:v>
                </c:pt>
                <c:pt idx="79">
                  <c:v>17</c:v>
                </c:pt>
                <c:pt idx="80">
                  <c:v>56</c:v>
                </c:pt>
                <c:pt idx="81">
                  <c:v>16</c:v>
                </c:pt>
                <c:pt idx="82">
                  <c:v>14</c:v>
                </c:pt>
                <c:pt idx="83">
                  <c:v>11</c:v>
                </c:pt>
                <c:pt idx="84">
                  <c:v>17</c:v>
                </c:pt>
                <c:pt idx="85">
                  <c:v>10</c:v>
                </c:pt>
                <c:pt idx="86">
                  <c:v>9</c:v>
                </c:pt>
                <c:pt idx="87">
                  <c:v>11</c:v>
                </c:pt>
                <c:pt idx="88">
                  <c:v>46</c:v>
                </c:pt>
                <c:pt idx="89">
                  <c:v>10</c:v>
                </c:pt>
                <c:pt idx="90">
                  <c:v>34</c:v>
                </c:pt>
                <c:pt idx="91">
                  <c:v>26</c:v>
                </c:pt>
                <c:pt idx="92">
                  <c:v>19</c:v>
                </c:pt>
                <c:pt idx="93">
                  <c:v>41</c:v>
                </c:pt>
                <c:pt idx="94">
                  <c:v>13</c:v>
                </c:pt>
                <c:pt idx="95">
                  <c:v>28</c:v>
                </c:pt>
                <c:pt idx="96">
                  <c:v>11</c:v>
                </c:pt>
                <c:pt idx="97">
                  <c:v>20</c:v>
                </c:pt>
                <c:pt idx="98">
                  <c:v>34</c:v>
                </c:pt>
                <c:pt idx="99">
                  <c:v>11</c:v>
                </c:pt>
                <c:pt idx="100">
                  <c:v>16</c:v>
                </c:pt>
                <c:pt idx="101">
                  <c:v>17</c:v>
                </c:pt>
                <c:pt idx="102">
                  <c:v>35</c:v>
                </c:pt>
                <c:pt idx="103">
                  <c:v>11</c:v>
                </c:pt>
                <c:pt idx="104">
                  <c:v>8</c:v>
                </c:pt>
                <c:pt idx="105">
                  <c:v>35</c:v>
                </c:pt>
                <c:pt idx="106">
                  <c:v>21</c:v>
                </c:pt>
                <c:pt idx="107">
                  <c:v>26</c:v>
                </c:pt>
                <c:pt idx="108">
                  <c:v>24</c:v>
                </c:pt>
                <c:pt idx="109">
                  <c:v>16</c:v>
                </c:pt>
                <c:pt idx="110">
                  <c:v>54</c:v>
                </c:pt>
                <c:pt idx="111">
                  <c:v>30</c:v>
                </c:pt>
                <c:pt idx="112">
                  <c:v>24</c:v>
                </c:pt>
                <c:pt idx="113">
                  <c:v>47</c:v>
                </c:pt>
                <c:pt idx="114">
                  <c:v>31</c:v>
                </c:pt>
                <c:pt idx="115">
                  <c:v>7</c:v>
                </c:pt>
                <c:pt idx="116">
                  <c:v>7</c:v>
                </c:pt>
                <c:pt idx="117">
                  <c:v>31</c:v>
                </c:pt>
                <c:pt idx="118">
                  <c:v>20</c:v>
                </c:pt>
                <c:pt idx="119">
                  <c:v>7</c:v>
                </c:pt>
                <c:pt idx="120">
                  <c:v>4</c:v>
                </c:pt>
                <c:pt idx="121">
                  <c:v>4</c:v>
                </c:pt>
                <c:pt idx="122">
                  <c:v>56</c:v>
                </c:pt>
                <c:pt idx="123">
                  <c:v>43</c:v>
                </c:pt>
                <c:pt idx="124">
                  <c:v>13</c:v>
                </c:pt>
                <c:pt idx="125">
                  <c:v>14</c:v>
                </c:pt>
                <c:pt idx="126">
                  <c:v>31</c:v>
                </c:pt>
                <c:pt idx="127">
                  <c:v>6</c:v>
                </c:pt>
                <c:pt idx="128">
                  <c:v>15</c:v>
                </c:pt>
                <c:pt idx="129">
                  <c:v>34</c:v>
                </c:pt>
                <c:pt idx="130">
                  <c:v>15</c:v>
                </c:pt>
                <c:pt idx="131">
                  <c:v>18</c:v>
                </c:pt>
                <c:pt idx="132">
                  <c:v>17</c:v>
                </c:pt>
                <c:pt idx="133">
                  <c:v>22</c:v>
                </c:pt>
                <c:pt idx="134">
                  <c:v>8</c:v>
                </c:pt>
                <c:pt idx="135">
                  <c:v>6</c:v>
                </c:pt>
                <c:pt idx="136">
                  <c:v>35</c:v>
                </c:pt>
                <c:pt idx="137">
                  <c:v>19</c:v>
                </c:pt>
                <c:pt idx="138">
                  <c:v>6</c:v>
                </c:pt>
                <c:pt idx="139">
                  <c:v>33</c:v>
                </c:pt>
                <c:pt idx="140">
                  <c:v>31</c:v>
                </c:pt>
                <c:pt idx="141">
                  <c:v>48</c:v>
                </c:pt>
                <c:pt idx="142">
                  <c:v>31</c:v>
                </c:pt>
                <c:pt idx="143">
                  <c:v>18</c:v>
                </c:pt>
                <c:pt idx="144">
                  <c:v>12</c:v>
                </c:pt>
                <c:pt idx="145">
                  <c:v>14</c:v>
                </c:pt>
                <c:pt idx="146">
                  <c:v>14</c:v>
                </c:pt>
                <c:pt idx="147">
                  <c:v>11</c:v>
                </c:pt>
                <c:pt idx="148">
                  <c:v>53</c:v>
                </c:pt>
                <c:pt idx="149">
                  <c:v>40</c:v>
                </c:pt>
                <c:pt idx="150">
                  <c:v>8</c:v>
                </c:pt>
                <c:pt idx="151">
                  <c:v>35</c:v>
                </c:pt>
                <c:pt idx="152">
                  <c:v>31</c:v>
                </c:pt>
                <c:pt idx="153">
                  <c:v>8</c:v>
                </c:pt>
                <c:pt idx="154">
                  <c:v>27</c:v>
                </c:pt>
                <c:pt idx="155">
                  <c:v>18</c:v>
                </c:pt>
                <c:pt idx="156">
                  <c:v>13</c:v>
                </c:pt>
                <c:pt idx="157">
                  <c:v>36</c:v>
                </c:pt>
                <c:pt idx="158">
                  <c:v>41</c:v>
                </c:pt>
                <c:pt idx="159">
                  <c:v>27</c:v>
                </c:pt>
                <c:pt idx="160">
                  <c:v>57</c:v>
                </c:pt>
                <c:pt idx="161">
                  <c:v>55</c:v>
                </c:pt>
                <c:pt idx="162">
                  <c:v>59</c:v>
                </c:pt>
                <c:pt idx="163">
                  <c:v>34</c:v>
                </c:pt>
                <c:pt idx="164">
                  <c:v>36</c:v>
                </c:pt>
                <c:pt idx="165">
                  <c:v>34</c:v>
                </c:pt>
                <c:pt idx="166">
                  <c:v>36</c:v>
                </c:pt>
                <c:pt idx="167">
                  <c:v>54</c:v>
                </c:pt>
                <c:pt idx="168">
                  <c:v>59</c:v>
                </c:pt>
                <c:pt idx="169">
                  <c:v>60</c:v>
                </c:pt>
                <c:pt idx="170">
                  <c:v>28</c:v>
                </c:pt>
                <c:pt idx="171">
                  <c:v>36</c:v>
                </c:pt>
                <c:pt idx="172">
                  <c:v>35</c:v>
                </c:pt>
                <c:pt idx="173">
                  <c:v>47</c:v>
                </c:pt>
                <c:pt idx="174">
                  <c:v>24</c:v>
                </c:pt>
                <c:pt idx="175">
                  <c:v>34</c:v>
                </c:pt>
                <c:pt idx="176">
                  <c:v>33</c:v>
                </c:pt>
                <c:pt idx="177">
                  <c:v>36</c:v>
                </c:pt>
                <c:pt idx="178">
                  <c:v>34</c:v>
                </c:pt>
                <c:pt idx="179">
                  <c:v>36</c:v>
                </c:pt>
                <c:pt idx="180">
                  <c:v>34</c:v>
                </c:pt>
                <c:pt idx="181">
                  <c:v>32</c:v>
                </c:pt>
                <c:pt idx="182">
                  <c:v>32</c:v>
                </c:pt>
                <c:pt idx="183">
                  <c:v>31</c:v>
                </c:pt>
                <c:pt idx="184">
                  <c:v>40</c:v>
                </c:pt>
                <c:pt idx="185">
                  <c:v>31</c:v>
                </c:pt>
                <c:pt idx="186">
                  <c:v>33</c:v>
                </c:pt>
                <c:pt idx="187">
                  <c:v>34</c:v>
                </c:pt>
                <c:pt idx="188">
                  <c:v>58</c:v>
                </c:pt>
                <c:pt idx="189">
                  <c:v>41</c:v>
                </c:pt>
                <c:pt idx="190">
                  <c:v>41</c:v>
                </c:pt>
                <c:pt idx="191">
                  <c:v>36</c:v>
                </c:pt>
                <c:pt idx="192">
                  <c:v>46</c:v>
                </c:pt>
                <c:pt idx="193">
                  <c:v>58</c:v>
                </c:pt>
                <c:pt idx="194">
                  <c:v>34</c:v>
                </c:pt>
                <c:pt idx="195">
                  <c:v>31</c:v>
                </c:pt>
                <c:pt idx="196">
                  <c:v>42</c:v>
                </c:pt>
                <c:pt idx="197">
                  <c:v>34</c:v>
                </c:pt>
                <c:pt idx="198">
                  <c:v>46</c:v>
                </c:pt>
                <c:pt idx="199">
                  <c:v>46</c:v>
                </c:pt>
                <c:pt idx="200">
                  <c:v>33</c:v>
                </c:pt>
                <c:pt idx="201">
                  <c:v>32</c:v>
                </c:pt>
                <c:pt idx="202">
                  <c:v>28</c:v>
                </c:pt>
                <c:pt idx="203">
                  <c:v>29</c:v>
                </c:pt>
                <c:pt idx="204">
                  <c:v>28</c:v>
                </c:pt>
                <c:pt idx="205">
                  <c:v>30</c:v>
                </c:pt>
                <c:pt idx="206">
                  <c:v>28</c:v>
                </c:pt>
                <c:pt idx="207">
                  <c:v>28</c:v>
                </c:pt>
                <c:pt idx="208">
                  <c:v>32</c:v>
                </c:pt>
                <c:pt idx="209">
                  <c:v>44</c:v>
                </c:pt>
                <c:pt idx="210">
                  <c:v>36</c:v>
                </c:pt>
              </c:numCache>
            </c:numRef>
          </c:xVal>
          <c:yVal>
            <c:numRef>
              <c:f>curve!$M$4:$M$214</c:f>
              <c:numCache>
                <c:formatCode>0.00</c:formatCode>
                <c:ptCount val="211"/>
                <c:pt idx="0">
                  <c:v>3.0949999999999998</c:v>
                </c:pt>
                <c:pt idx="1">
                  <c:v>3.1937499999999996</c:v>
                </c:pt>
                <c:pt idx="2">
                  <c:v>2.9199999999999995</c:v>
                </c:pt>
                <c:pt idx="3">
                  <c:v>3.1287499999999997</c:v>
                </c:pt>
                <c:pt idx="4">
                  <c:v>3.1812499999999995</c:v>
                </c:pt>
                <c:pt idx="5">
                  <c:v>3.0962499999999999</c:v>
                </c:pt>
                <c:pt idx="6">
                  <c:v>2.7437500000000004</c:v>
                </c:pt>
                <c:pt idx="7">
                  <c:v>2.9350000000000005</c:v>
                </c:pt>
                <c:pt idx="8">
                  <c:v>2.7887499999999998</c:v>
                </c:pt>
                <c:pt idx="9">
                  <c:v>3.0150000000000001</c:v>
                </c:pt>
                <c:pt idx="10">
                  <c:v>2.6500000000000004</c:v>
                </c:pt>
                <c:pt idx="11">
                  <c:v>2.7537500000000001</c:v>
                </c:pt>
                <c:pt idx="12">
                  <c:v>2.7025000000000001</c:v>
                </c:pt>
                <c:pt idx="13">
                  <c:v>2.9499999999999993</c:v>
                </c:pt>
                <c:pt idx="14">
                  <c:v>2.9049999999999998</c:v>
                </c:pt>
                <c:pt idx="15">
                  <c:v>3.0037500000000001</c:v>
                </c:pt>
                <c:pt idx="16">
                  <c:v>2.6112500000000001</c:v>
                </c:pt>
                <c:pt idx="17">
                  <c:v>2.9037500000000001</c:v>
                </c:pt>
                <c:pt idx="18">
                  <c:v>3.03</c:v>
                </c:pt>
                <c:pt idx="19">
                  <c:v>2.8862500000000004</c:v>
                </c:pt>
                <c:pt idx="20">
                  <c:v>3.0687500000000001</c:v>
                </c:pt>
                <c:pt idx="21">
                  <c:v>3.0875000000000004</c:v>
                </c:pt>
                <c:pt idx="22">
                  <c:v>2.99125</c:v>
                </c:pt>
                <c:pt idx="23">
                  <c:v>2.93</c:v>
                </c:pt>
                <c:pt idx="24">
                  <c:v>2.96</c:v>
                </c:pt>
                <c:pt idx="25">
                  <c:v>2.9737499999999999</c:v>
                </c:pt>
                <c:pt idx="26">
                  <c:v>3.0212500000000002</c:v>
                </c:pt>
                <c:pt idx="27">
                  <c:v>2.9050000000000002</c:v>
                </c:pt>
                <c:pt idx="28">
                  <c:v>2.6512499999999997</c:v>
                </c:pt>
                <c:pt idx="29">
                  <c:v>2.5987499999999999</c:v>
                </c:pt>
                <c:pt idx="30">
                  <c:v>2.8475000000000006</c:v>
                </c:pt>
                <c:pt idx="31">
                  <c:v>2.7349999999999999</c:v>
                </c:pt>
                <c:pt idx="32">
                  <c:v>3.01</c:v>
                </c:pt>
                <c:pt idx="33">
                  <c:v>2.84375</c:v>
                </c:pt>
                <c:pt idx="34">
                  <c:v>2.5750000000000002</c:v>
                </c:pt>
                <c:pt idx="35">
                  <c:v>2.5612500000000002</c:v>
                </c:pt>
                <c:pt idx="36">
                  <c:v>2.4774999999999996</c:v>
                </c:pt>
                <c:pt idx="37">
                  <c:v>2.6875</c:v>
                </c:pt>
                <c:pt idx="38">
                  <c:v>2.9675000000000002</c:v>
                </c:pt>
                <c:pt idx="39">
                  <c:v>2.8387500000000001</c:v>
                </c:pt>
                <c:pt idx="40">
                  <c:v>2.82375</c:v>
                </c:pt>
                <c:pt idx="41">
                  <c:v>2.9662499999999996</c:v>
                </c:pt>
                <c:pt idx="42">
                  <c:v>2.5387499999999998</c:v>
                </c:pt>
                <c:pt idx="43">
                  <c:v>3.0212500000000002</c:v>
                </c:pt>
                <c:pt idx="44">
                  <c:v>2.9887499999999996</c:v>
                </c:pt>
                <c:pt idx="45">
                  <c:v>2.9862500000000001</c:v>
                </c:pt>
                <c:pt idx="46">
                  <c:v>2.8787499999999993</c:v>
                </c:pt>
                <c:pt idx="47">
                  <c:v>2.7775000000000003</c:v>
                </c:pt>
                <c:pt idx="48">
                  <c:v>2.7012499999999999</c:v>
                </c:pt>
                <c:pt idx="49">
                  <c:v>3.0925000000000002</c:v>
                </c:pt>
                <c:pt idx="50">
                  <c:v>2.8162499999999997</c:v>
                </c:pt>
                <c:pt idx="51">
                  <c:v>2.6462500000000002</c:v>
                </c:pt>
                <c:pt idx="52">
                  <c:v>2.7225000000000001</c:v>
                </c:pt>
                <c:pt idx="53">
                  <c:v>2.6462500000000002</c:v>
                </c:pt>
                <c:pt idx="54">
                  <c:v>2.8612500000000001</c:v>
                </c:pt>
                <c:pt idx="55">
                  <c:v>2.9550000000000001</c:v>
                </c:pt>
                <c:pt idx="56">
                  <c:v>3.0525000000000002</c:v>
                </c:pt>
                <c:pt idx="57">
                  <c:v>3.0825</c:v>
                </c:pt>
                <c:pt idx="58">
                  <c:v>3.0825</c:v>
                </c:pt>
                <c:pt idx="59">
                  <c:v>2.68</c:v>
                </c:pt>
                <c:pt idx="60">
                  <c:v>3.0387499999999998</c:v>
                </c:pt>
                <c:pt idx="61">
                  <c:v>2.9512500000000004</c:v>
                </c:pt>
                <c:pt idx="62">
                  <c:v>3.11375</c:v>
                </c:pt>
                <c:pt idx="63">
                  <c:v>3.05125</c:v>
                </c:pt>
                <c:pt idx="64">
                  <c:v>2.9424999999999999</c:v>
                </c:pt>
                <c:pt idx="65">
                  <c:v>3.1225000000000001</c:v>
                </c:pt>
                <c:pt idx="66">
                  <c:v>3.0162499999999999</c:v>
                </c:pt>
                <c:pt idx="67">
                  <c:v>3.1274999999999999</c:v>
                </c:pt>
                <c:pt idx="68">
                  <c:v>2.9600000000000004</c:v>
                </c:pt>
                <c:pt idx="69">
                  <c:v>3.0387499999999998</c:v>
                </c:pt>
                <c:pt idx="70">
                  <c:v>2.9037500000000001</c:v>
                </c:pt>
                <c:pt idx="71">
                  <c:v>2.9162499999999998</c:v>
                </c:pt>
                <c:pt idx="72">
                  <c:v>2.9662500000000005</c:v>
                </c:pt>
                <c:pt idx="73">
                  <c:v>2.7012499999999999</c:v>
                </c:pt>
                <c:pt idx="74">
                  <c:v>2.8137499999999998</c:v>
                </c:pt>
                <c:pt idx="75">
                  <c:v>2.6812499999999999</c:v>
                </c:pt>
                <c:pt idx="76">
                  <c:v>2.71875</c:v>
                </c:pt>
                <c:pt idx="77">
                  <c:v>2.8887499999999999</c:v>
                </c:pt>
                <c:pt idx="78">
                  <c:v>2.86625</c:v>
                </c:pt>
                <c:pt idx="79">
                  <c:v>2.6112500000000001</c:v>
                </c:pt>
                <c:pt idx="80">
                  <c:v>2.7487500000000007</c:v>
                </c:pt>
                <c:pt idx="81">
                  <c:v>3.0349999999999997</c:v>
                </c:pt>
                <c:pt idx="82">
                  <c:v>2.6462500000000002</c:v>
                </c:pt>
                <c:pt idx="83">
                  <c:v>2.8475000000000001</c:v>
                </c:pt>
                <c:pt idx="84">
                  <c:v>2.8424999999999994</c:v>
                </c:pt>
                <c:pt idx="85">
                  <c:v>2.74125</c:v>
                </c:pt>
                <c:pt idx="86">
                  <c:v>3.03</c:v>
                </c:pt>
                <c:pt idx="87">
                  <c:v>2.9375</c:v>
                </c:pt>
                <c:pt idx="88">
                  <c:v>2.9149999999999996</c:v>
                </c:pt>
                <c:pt idx="89">
                  <c:v>3.0225</c:v>
                </c:pt>
                <c:pt idx="90">
                  <c:v>2.8424999999999998</c:v>
                </c:pt>
                <c:pt idx="91">
                  <c:v>2.8287499999999999</c:v>
                </c:pt>
                <c:pt idx="92">
                  <c:v>2.9812500000000002</c:v>
                </c:pt>
                <c:pt idx="93">
                  <c:v>2.7725</c:v>
                </c:pt>
                <c:pt idx="94">
                  <c:v>2.8800000000000003</c:v>
                </c:pt>
                <c:pt idx="95">
                  <c:v>2.75875</c:v>
                </c:pt>
                <c:pt idx="96">
                  <c:v>2.9549999999999996</c:v>
                </c:pt>
                <c:pt idx="97">
                  <c:v>2.8362500000000002</c:v>
                </c:pt>
                <c:pt idx="98">
                  <c:v>2.7712499999999998</c:v>
                </c:pt>
                <c:pt idx="99">
                  <c:v>2.9075000000000006</c:v>
                </c:pt>
                <c:pt idx="100">
                  <c:v>2.8787500000000001</c:v>
                </c:pt>
                <c:pt idx="101">
                  <c:v>2.9474999999999998</c:v>
                </c:pt>
                <c:pt idx="102">
                  <c:v>2.9275000000000002</c:v>
                </c:pt>
                <c:pt idx="103">
                  <c:v>3.01125</c:v>
                </c:pt>
                <c:pt idx="104">
                  <c:v>2.9874999999999998</c:v>
                </c:pt>
                <c:pt idx="105">
                  <c:v>2.6349999999999998</c:v>
                </c:pt>
                <c:pt idx="106">
                  <c:v>2.7550000000000003</c:v>
                </c:pt>
                <c:pt idx="107">
                  <c:v>2.8074999999999997</c:v>
                </c:pt>
                <c:pt idx="108">
                  <c:v>2.84</c:v>
                </c:pt>
                <c:pt idx="109">
                  <c:v>3.1325000000000003</c:v>
                </c:pt>
                <c:pt idx="110">
                  <c:v>2.8099999999999996</c:v>
                </c:pt>
                <c:pt idx="111">
                  <c:v>2.9824999999999999</c:v>
                </c:pt>
                <c:pt idx="112">
                  <c:v>2.9037499999999996</c:v>
                </c:pt>
                <c:pt idx="113">
                  <c:v>2.6025</c:v>
                </c:pt>
                <c:pt idx="114">
                  <c:v>2.7237500000000003</c:v>
                </c:pt>
                <c:pt idx="115">
                  <c:v>2.94</c:v>
                </c:pt>
                <c:pt idx="116">
                  <c:v>2.855</c:v>
                </c:pt>
                <c:pt idx="117">
                  <c:v>2.6174999999999997</c:v>
                </c:pt>
                <c:pt idx="118">
                  <c:v>2.68</c:v>
                </c:pt>
                <c:pt idx="119">
                  <c:v>2.7787500000000001</c:v>
                </c:pt>
                <c:pt idx="120">
                  <c:v>2.6950000000000003</c:v>
                </c:pt>
                <c:pt idx="121">
                  <c:v>2.8687499999999995</c:v>
                </c:pt>
                <c:pt idx="122">
                  <c:v>2.5387499999999998</c:v>
                </c:pt>
                <c:pt idx="123">
                  <c:v>2.5387499999999994</c:v>
                </c:pt>
                <c:pt idx="124">
                  <c:v>2.7275</c:v>
                </c:pt>
                <c:pt idx="125">
                  <c:v>2.7575000000000003</c:v>
                </c:pt>
                <c:pt idx="126">
                  <c:v>2.6675</c:v>
                </c:pt>
                <c:pt idx="127">
                  <c:v>2.9762500000000003</c:v>
                </c:pt>
                <c:pt idx="128">
                  <c:v>2.8937500000000003</c:v>
                </c:pt>
                <c:pt idx="129">
                  <c:v>2.6924999999999999</c:v>
                </c:pt>
                <c:pt idx="130">
                  <c:v>2.6150000000000002</c:v>
                </c:pt>
                <c:pt idx="131">
                  <c:v>3.0012500000000002</c:v>
                </c:pt>
                <c:pt idx="132">
                  <c:v>2.7349999999999999</c:v>
                </c:pt>
                <c:pt idx="133">
                  <c:v>2.7925</c:v>
                </c:pt>
                <c:pt idx="134">
                  <c:v>2.8912499999999999</c:v>
                </c:pt>
                <c:pt idx="135">
                  <c:v>2.9474999999999998</c:v>
                </c:pt>
                <c:pt idx="136">
                  <c:v>2.3725000000000001</c:v>
                </c:pt>
                <c:pt idx="137">
                  <c:v>2.6737499999999996</c:v>
                </c:pt>
                <c:pt idx="138">
                  <c:v>3.1325000000000003</c:v>
                </c:pt>
                <c:pt idx="139">
                  <c:v>2.8937500000000003</c:v>
                </c:pt>
                <c:pt idx="140">
                  <c:v>2.6187499999999999</c:v>
                </c:pt>
                <c:pt idx="141">
                  <c:v>2.7137500000000001</c:v>
                </c:pt>
                <c:pt idx="142">
                  <c:v>2.7712500000000002</c:v>
                </c:pt>
                <c:pt idx="143">
                  <c:v>2.6949999999999998</c:v>
                </c:pt>
                <c:pt idx="144">
                  <c:v>2.7537500000000001</c:v>
                </c:pt>
                <c:pt idx="145">
                  <c:v>2.625</c:v>
                </c:pt>
                <c:pt idx="146">
                  <c:v>2.76</c:v>
                </c:pt>
                <c:pt idx="147">
                  <c:v>2.7637499999999999</c:v>
                </c:pt>
                <c:pt idx="148">
                  <c:v>2.8674999999999997</c:v>
                </c:pt>
                <c:pt idx="149">
                  <c:v>2.8825000000000003</c:v>
                </c:pt>
                <c:pt idx="150">
                  <c:v>2.7537500000000001</c:v>
                </c:pt>
                <c:pt idx="151">
                  <c:v>3.0337499999999999</c:v>
                </c:pt>
                <c:pt idx="152">
                  <c:v>2.2875000000000001</c:v>
                </c:pt>
                <c:pt idx="153">
                  <c:v>2.67625</c:v>
                </c:pt>
                <c:pt idx="154">
                  <c:v>2.6624999999999996</c:v>
                </c:pt>
                <c:pt idx="155">
                  <c:v>2.9124999999999996</c:v>
                </c:pt>
                <c:pt idx="156">
                  <c:v>2.95</c:v>
                </c:pt>
                <c:pt idx="157">
                  <c:v>2.7324999999999999</c:v>
                </c:pt>
                <c:pt idx="158">
                  <c:v>2.7374999999999998</c:v>
                </c:pt>
                <c:pt idx="159">
                  <c:v>2.665</c:v>
                </c:pt>
                <c:pt idx="160">
                  <c:v>2.8987499999999997</c:v>
                </c:pt>
                <c:pt idx="161">
                  <c:v>2.7567500000000003</c:v>
                </c:pt>
                <c:pt idx="162">
                  <c:v>2.8062500000000004</c:v>
                </c:pt>
                <c:pt idx="163">
                  <c:v>2.4537499999999999</c:v>
                </c:pt>
                <c:pt idx="164">
                  <c:v>2.6599999999999997</c:v>
                </c:pt>
                <c:pt idx="165">
                  <c:v>2.0612499999999998</c:v>
                </c:pt>
                <c:pt idx="166">
                  <c:v>2.8562499999999997</c:v>
                </c:pt>
                <c:pt idx="167">
                  <c:v>2.7600000000000002</c:v>
                </c:pt>
                <c:pt idx="168">
                  <c:v>2.9237500000000001</c:v>
                </c:pt>
                <c:pt idx="169">
                  <c:v>2.82</c:v>
                </c:pt>
                <c:pt idx="170">
                  <c:v>2.7275</c:v>
                </c:pt>
                <c:pt idx="171">
                  <c:v>2.5300000000000002</c:v>
                </c:pt>
                <c:pt idx="172">
                  <c:v>2.7275</c:v>
                </c:pt>
                <c:pt idx="173">
                  <c:v>2.8087499999999999</c:v>
                </c:pt>
                <c:pt idx="174">
                  <c:v>1.8699999999999997</c:v>
                </c:pt>
                <c:pt idx="175">
                  <c:v>2.2450000000000001</c:v>
                </c:pt>
                <c:pt idx="176">
                  <c:v>2.7837499999999995</c:v>
                </c:pt>
                <c:pt idx="177">
                  <c:v>2.6362500000000004</c:v>
                </c:pt>
                <c:pt idx="178">
                  <c:v>2.7549999999999999</c:v>
                </c:pt>
                <c:pt idx="179">
                  <c:v>2.7225000000000001</c:v>
                </c:pt>
                <c:pt idx="180">
                  <c:v>2.80125</c:v>
                </c:pt>
                <c:pt idx="181">
                  <c:v>2.1087499999999997</c:v>
                </c:pt>
                <c:pt idx="182">
                  <c:v>2.48</c:v>
                </c:pt>
                <c:pt idx="183">
                  <c:v>1.8362499999999999</c:v>
                </c:pt>
                <c:pt idx="184">
                  <c:v>2.6100000000000003</c:v>
                </c:pt>
                <c:pt idx="185">
                  <c:v>2.3087499999999999</c:v>
                </c:pt>
                <c:pt idx="186">
                  <c:v>2.2537500000000001</c:v>
                </c:pt>
                <c:pt idx="187">
                  <c:v>2.27</c:v>
                </c:pt>
                <c:pt idx="188">
                  <c:v>2.4362500000000002</c:v>
                </c:pt>
                <c:pt idx="189">
                  <c:v>2.8387500000000001</c:v>
                </c:pt>
                <c:pt idx="190">
                  <c:v>2.7725</c:v>
                </c:pt>
                <c:pt idx="191">
                  <c:v>2.6687499999999997</c:v>
                </c:pt>
                <c:pt idx="192">
                  <c:v>2.61375</c:v>
                </c:pt>
                <c:pt idx="193">
                  <c:v>2.8100000000000005</c:v>
                </c:pt>
                <c:pt idx="194">
                  <c:v>2.52</c:v>
                </c:pt>
                <c:pt idx="195">
                  <c:v>2.63375</c:v>
                </c:pt>
                <c:pt idx="196">
                  <c:v>2.7587499999999996</c:v>
                </c:pt>
                <c:pt idx="197">
                  <c:v>2.4877500000000001</c:v>
                </c:pt>
                <c:pt idx="198">
                  <c:v>2.6875</c:v>
                </c:pt>
                <c:pt idx="199">
                  <c:v>2.96875</c:v>
                </c:pt>
                <c:pt idx="200">
                  <c:v>2.7524999999999999</c:v>
                </c:pt>
                <c:pt idx="201">
                  <c:v>2.6862500000000002</c:v>
                </c:pt>
                <c:pt idx="202">
                  <c:v>2.8412500000000001</c:v>
                </c:pt>
                <c:pt idx="203">
                  <c:v>3.0250000000000004</c:v>
                </c:pt>
                <c:pt idx="204">
                  <c:v>2.9887499999999996</c:v>
                </c:pt>
                <c:pt idx="205">
                  <c:v>2.8687500000000004</c:v>
                </c:pt>
                <c:pt idx="206">
                  <c:v>2.50875</c:v>
                </c:pt>
                <c:pt idx="207">
                  <c:v>3.0175000000000001</c:v>
                </c:pt>
                <c:pt idx="208">
                  <c:v>2.82125</c:v>
                </c:pt>
                <c:pt idx="209">
                  <c:v>2.4925000000000002</c:v>
                </c:pt>
                <c:pt idx="210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7-47EC-B119-069DC411898B}"/>
            </c:ext>
          </c:extLst>
        </c:ser>
        <c:ser>
          <c:idx val="1"/>
          <c:order val="1"/>
          <c:tx>
            <c:v>Inspected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c:spPr>
            </c:marker>
            <c:bubble3D val="0"/>
            <c:spPr>
              <a:ln w="19050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77-47EC-B119-069DC411898B}"/>
              </c:ext>
            </c:extLst>
          </c:dPt>
          <c:xVal>
            <c:numRef>
              <c:f>curve!$O$4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curve!$P$4</c:f>
              <c:numCache>
                <c:formatCode>0.00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7-47EC-B119-069DC411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817599"/>
        <c:axId val="1617989951"/>
      </c:scatterChart>
      <c:valAx>
        <c:axId val="170181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89951"/>
        <c:crosses val="autoZero"/>
        <c:crossBetween val="midCat"/>
        <c:majorUnit val="10"/>
      </c:valAx>
      <c:valAx>
        <c:axId val="161798995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817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5</xdr:row>
      <xdr:rowOff>38100</xdr:rowOff>
    </xdr:from>
    <xdr:to>
      <xdr:col>22</xdr:col>
      <xdr:colOff>561975</xdr:colOff>
      <xdr:row>23</xdr:row>
      <xdr:rowOff>38100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B5A78EC7-A1FD-404F-B641-255E34EE6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47625</xdr:rowOff>
    </xdr:from>
    <xdr:to>
      <xdr:col>12</xdr:col>
      <xdr:colOff>809625</xdr:colOff>
      <xdr:row>15</xdr:row>
      <xdr:rowOff>171450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FB74F2EB-52F0-4B57-9220-B2F8F72124DF}"/>
            </a:ext>
            <a:ext uri="{147F2762-F138-4A5C-976F-8EAC2B608ADB}">
              <a16:predDERef xmlns:a16="http://schemas.microsoft.com/office/drawing/2014/main" pred="{C611D1DC-85DE-48C6-A61F-A4FE8F143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B1:G1003"/>
  <sheetViews>
    <sheetView topLeftCell="B1" workbookViewId="0">
      <selection activeCell="B2" sqref="B2"/>
    </sheetView>
  </sheetViews>
  <sheetFormatPr defaultColWidth="12.7109375" defaultRowHeight="15.75" customHeight="1"/>
  <cols>
    <col min="1" max="1" width="6.28515625" customWidth="1"/>
    <col min="2" max="2" width="16" customWidth="1"/>
    <col min="3" max="3" width="37" customWidth="1"/>
    <col min="4" max="7" width="24.140625" customWidth="1"/>
  </cols>
  <sheetData>
    <row r="1" spans="2:7" ht="13.15">
      <c r="B1" s="1"/>
      <c r="C1" s="195"/>
      <c r="D1" s="195"/>
      <c r="E1" s="195"/>
      <c r="F1" s="195"/>
      <c r="G1" s="195"/>
    </row>
    <row r="2" spans="2:7" ht="15.75" customHeight="1">
      <c r="B2" s="2" t="s">
        <v>0</v>
      </c>
      <c r="C2" s="3"/>
      <c r="D2" s="3"/>
      <c r="E2" s="3"/>
      <c r="F2" s="3"/>
      <c r="G2" s="195"/>
    </row>
    <row r="3" spans="2:7" ht="13.15">
      <c r="B3" s="1"/>
      <c r="C3" s="195"/>
      <c r="D3" s="195"/>
      <c r="E3" s="195"/>
      <c r="F3" s="195"/>
      <c r="G3" s="195"/>
    </row>
    <row r="4" spans="2:7" ht="17.45">
      <c r="B4" s="220" t="s">
        <v>1</v>
      </c>
      <c r="C4" s="220" t="s">
        <v>2</v>
      </c>
      <c r="D4" s="222" t="s">
        <v>3</v>
      </c>
      <c r="E4" s="223"/>
      <c r="F4" s="223"/>
      <c r="G4" s="224"/>
    </row>
    <row r="5" spans="2:7" ht="17.45">
      <c r="B5" s="221"/>
      <c r="C5" s="221"/>
      <c r="D5" s="5">
        <v>1</v>
      </c>
      <c r="E5" s="5">
        <v>2</v>
      </c>
      <c r="F5" s="5">
        <v>3</v>
      </c>
      <c r="G5" s="5">
        <v>4</v>
      </c>
    </row>
    <row r="6" spans="2:7" ht="45">
      <c r="B6" s="6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</row>
    <row r="7" spans="2:7" ht="17.45">
      <c r="B7" s="6"/>
      <c r="C7" s="8"/>
      <c r="D7" s="8"/>
      <c r="E7" s="8"/>
      <c r="F7" s="8"/>
      <c r="G7" s="8"/>
    </row>
    <row r="8" spans="2:7" ht="90">
      <c r="B8" s="225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</row>
    <row r="9" spans="2:7" ht="15">
      <c r="B9" s="226"/>
      <c r="C9" s="7" t="s">
        <v>16</v>
      </c>
      <c r="D9" s="7"/>
      <c r="E9" s="7"/>
      <c r="F9" s="7"/>
      <c r="G9" s="7"/>
    </row>
    <row r="10" spans="2:7" ht="60">
      <c r="B10" s="226"/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</row>
    <row r="11" spans="2:7" ht="45">
      <c r="B11" s="226"/>
      <c r="C11" s="7" t="s">
        <v>22</v>
      </c>
      <c r="D11" s="7" t="s">
        <v>23</v>
      </c>
      <c r="E11" s="7" t="s">
        <v>24</v>
      </c>
      <c r="F11" s="7" t="s">
        <v>25</v>
      </c>
      <c r="G11" s="7" t="s">
        <v>26</v>
      </c>
    </row>
    <row r="12" spans="2:7" ht="45">
      <c r="B12" s="221"/>
      <c r="C12" s="12" t="s">
        <v>27</v>
      </c>
      <c r="D12" s="12" t="s">
        <v>28</v>
      </c>
      <c r="E12" s="12" t="s">
        <v>29</v>
      </c>
      <c r="F12" s="12" t="s">
        <v>30</v>
      </c>
      <c r="G12" s="12" t="s">
        <v>26</v>
      </c>
    </row>
    <row r="13" spans="2:7" ht="17.45">
      <c r="B13" s="6"/>
      <c r="C13" s="8"/>
      <c r="D13" s="8"/>
      <c r="E13" s="8"/>
      <c r="F13" s="8"/>
      <c r="G13" s="8"/>
    </row>
    <row r="14" spans="2:7" ht="60">
      <c r="B14" s="225" t="s">
        <v>31</v>
      </c>
      <c r="C14" s="7" t="s">
        <v>32</v>
      </c>
      <c r="D14" s="7" t="s">
        <v>33</v>
      </c>
      <c r="E14" s="7" t="s">
        <v>34</v>
      </c>
      <c r="F14" s="7" t="s">
        <v>35</v>
      </c>
      <c r="G14" s="7" t="s">
        <v>36</v>
      </c>
    </row>
    <row r="15" spans="2:7" ht="75">
      <c r="B15" s="226"/>
      <c r="C15" s="7" t="s">
        <v>37</v>
      </c>
      <c r="D15" s="7" t="s">
        <v>38</v>
      </c>
      <c r="E15" s="7" t="s">
        <v>39</v>
      </c>
      <c r="F15" s="7" t="s">
        <v>40</v>
      </c>
      <c r="G15" s="7" t="s">
        <v>36</v>
      </c>
    </row>
    <row r="16" spans="2:7" ht="60">
      <c r="B16" s="221"/>
      <c r="C16" s="7" t="s">
        <v>41</v>
      </c>
      <c r="D16" s="7" t="s">
        <v>42</v>
      </c>
      <c r="E16" s="7" t="s">
        <v>43</v>
      </c>
      <c r="F16" s="7" t="s">
        <v>44</v>
      </c>
      <c r="G16" s="7" t="s">
        <v>36</v>
      </c>
    </row>
    <row r="17" spans="2:7" ht="13.15">
      <c r="B17" s="229" t="s">
        <v>45</v>
      </c>
      <c r="C17" s="230"/>
      <c r="D17" s="13"/>
      <c r="E17" s="13"/>
      <c r="F17" s="14"/>
      <c r="G17" s="14"/>
    </row>
    <row r="18" spans="2:7" ht="13.15">
      <c r="B18" s="195"/>
      <c r="C18" s="195"/>
      <c r="D18" s="14"/>
      <c r="E18" s="14"/>
      <c r="F18" s="14"/>
      <c r="G18" s="14"/>
    </row>
    <row r="19" spans="2:7" ht="13.15">
      <c r="B19" s="1"/>
      <c r="C19" s="14"/>
      <c r="D19" s="14"/>
      <c r="E19" s="14"/>
      <c r="F19" s="14"/>
      <c r="G19" s="14"/>
    </row>
    <row r="20" spans="2:7" ht="17.45">
      <c r="B20" s="2" t="s">
        <v>46</v>
      </c>
      <c r="C20" s="14"/>
      <c r="D20" s="14"/>
      <c r="E20" s="14"/>
      <c r="F20" s="14"/>
      <c r="G20" s="14"/>
    </row>
    <row r="21" spans="2:7" ht="13.15">
      <c r="B21" s="1"/>
      <c r="C21" s="14"/>
      <c r="D21" s="14"/>
      <c r="E21" s="14"/>
      <c r="F21" s="14"/>
      <c r="G21" s="14"/>
    </row>
    <row r="22" spans="2:7" ht="17.45">
      <c r="B22" s="220" t="s">
        <v>1</v>
      </c>
      <c r="C22" s="220" t="s">
        <v>2</v>
      </c>
      <c r="D22" s="222" t="s">
        <v>3</v>
      </c>
      <c r="E22" s="223"/>
      <c r="F22" s="223"/>
      <c r="G22" s="224"/>
    </row>
    <row r="23" spans="2:7" ht="17.45">
      <c r="B23" s="221"/>
      <c r="C23" s="221"/>
      <c r="D23" s="5">
        <v>1</v>
      </c>
      <c r="E23" s="5">
        <v>2</v>
      </c>
      <c r="F23" s="5">
        <v>3</v>
      </c>
      <c r="G23" s="5">
        <v>4</v>
      </c>
    </row>
    <row r="24" spans="2:7" ht="75">
      <c r="B24" s="225" t="s">
        <v>47</v>
      </c>
      <c r="C24" s="228" t="s">
        <v>48</v>
      </c>
      <c r="D24" s="7" t="s">
        <v>49</v>
      </c>
      <c r="E24" s="7" t="s">
        <v>50</v>
      </c>
      <c r="F24" s="7" t="s">
        <v>51</v>
      </c>
      <c r="G24" s="7" t="s">
        <v>52</v>
      </c>
    </row>
    <row r="25" spans="2:7" ht="75">
      <c r="B25" s="226"/>
      <c r="C25" s="221"/>
      <c r="D25" s="7" t="s">
        <v>53</v>
      </c>
      <c r="E25" s="227" t="s">
        <v>54</v>
      </c>
      <c r="F25" s="223"/>
      <c r="G25" s="224"/>
    </row>
    <row r="26" spans="2:7" ht="45">
      <c r="B26" s="221"/>
      <c r="C26" s="7" t="s">
        <v>55</v>
      </c>
      <c r="D26" s="7" t="s">
        <v>56</v>
      </c>
      <c r="E26" s="7" t="s">
        <v>57</v>
      </c>
      <c r="F26" s="7" t="s">
        <v>58</v>
      </c>
      <c r="G26" s="7" t="s">
        <v>59</v>
      </c>
    </row>
    <row r="27" spans="2:7" ht="17.45">
      <c r="B27" s="6"/>
      <c r="C27" s="8"/>
      <c r="D27" s="8"/>
      <c r="E27" s="8"/>
      <c r="F27" s="8"/>
      <c r="G27" s="8"/>
    </row>
    <row r="28" spans="2:7" ht="13.15">
      <c r="B28" s="1"/>
      <c r="C28" s="14"/>
      <c r="D28" s="14"/>
      <c r="E28" s="14"/>
      <c r="F28" s="14"/>
      <c r="G28" s="14"/>
    </row>
    <row r="29" spans="2:7" ht="13.15">
      <c r="B29" s="1"/>
      <c r="C29" s="14"/>
      <c r="D29" s="14"/>
      <c r="E29" s="14"/>
      <c r="F29" s="14"/>
      <c r="G29" s="14"/>
    </row>
    <row r="30" spans="2:7" ht="13.15">
      <c r="B30" s="1"/>
      <c r="C30" s="14"/>
      <c r="D30" s="14"/>
      <c r="E30" s="14"/>
      <c r="F30" s="14"/>
      <c r="G30" s="14"/>
    </row>
    <row r="31" spans="2:7" ht="13.15">
      <c r="B31" s="1"/>
      <c r="C31" s="195"/>
      <c r="D31" s="195"/>
      <c r="E31" s="195"/>
      <c r="F31" s="195"/>
      <c r="G31" s="195"/>
    </row>
    <row r="32" spans="2:7" ht="13.15">
      <c r="B32" s="1"/>
      <c r="C32" s="195"/>
      <c r="D32" s="195"/>
      <c r="E32" s="195"/>
      <c r="F32" s="195"/>
      <c r="G32" s="195"/>
    </row>
    <row r="33" spans="2:2" ht="13.15">
      <c r="B33" s="1"/>
    </row>
    <row r="34" spans="2:2" ht="13.15">
      <c r="B34" s="1"/>
    </row>
    <row r="35" spans="2:2" ht="13.15">
      <c r="B35" s="1"/>
    </row>
    <row r="36" spans="2:2" ht="13.15">
      <c r="B36" s="1"/>
    </row>
    <row r="37" spans="2:2" ht="13.15">
      <c r="B37" s="1"/>
    </row>
    <row r="38" spans="2:2" ht="13.15">
      <c r="B38" s="1"/>
    </row>
    <row r="39" spans="2:2" ht="13.15">
      <c r="B39" s="1"/>
    </row>
    <row r="40" spans="2:2" ht="13.15">
      <c r="B40" s="1"/>
    </row>
    <row r="41" spans="2:2" ht="13.15">
      <c r="B41" s="1"/>
    </row>
    <row r="42" spans="2:2" ht="13.15">
      <c r="B42" s="1"/>
    </row>
    <row r="43" spans="2:2" ht="13.15">
      <c r="B43" s="1"/>
    </row>
    <row r="44" spans="2:2" ht="13.15">
      <c r="B44" s="1"/>
    </row>
    <row r="45" spans="2:2" ht="13.15">
      <c r="B45" s="1"/>
    </row>
    <row r="46" spans="2:2" ht="13.15">
      <c r="B46" s="1"/>
    </row>
    <row r="47" spans="2:2" ht="13.15">
      <c r="B47" s="1"/>
    </row>
    <row r="48" spans="2:2" ht="13.15">
      <c r="B48" s="1"/>
    </row>
    <row r="49" spans="2:2" ht="13.15">
      <c r="B49" s="1"/>
    </row>
    <row r="50" spans="2:2" ht="13.15">
      <c r="B50" s="1"/>
    </row>
    <row r="51" spans="2:2" ht="13.15">
      <c r="B51" s="1"/>
    </row>
    <row r="52" spans="2:2" ht="13.15">
      <c r="B52" s="1"/>
    </row>
    <row r="53" spans="2:2" ht="13.15">
      <c r="B53" s="1"/>
    </row>
    <row r="54" spans="2:2" ht="13.15">
      <c r="B54" s="1"/>
    </row>
    <row r="55" spans="2:2" ht="13.15">
      <c r="B55" s="1"/>
    </row>
    <row r="56" spans="2:2" ht="13.15">
      <c r="B56" s="1"/>
    </row>
    <row r="57" spans="2:2" ht="13.15">
      <c r="B57" s="1"/>
    </row>
    <row r="58" spans="2:2" ht="13.15">
      <c r="B58" s="1"/>
    </row>
    <row r="59" spans="2:2" ht="13.15">
      <c r="B59" s="1"/>
    </row>
    <row r="60" spans="2:2" ht="13.15">
      <c r="B60" s="1"/>
    </row>
    <row r="61" spans="2:2" ht="13.15">
      <c r="B61" s="1"/>
    </row>
    <row r="62" spans="2:2" ht="13.15">
      <c r="B62" s="1"/>
    </row>
    <row r="63" spans="2:2" ht="13.15">
      <c r="B63" s="1"/>
    </row>
    <row r="64" spans="2:2" ht="13.15">
      <c r="B64" s="1"/>
    </row>
    <row r="65" spans="2:2" ht="13.15">
      <c r="B65" s="1"/>
    </row>
    <row r="66" spans="2:2" ht="13.15">
      <c r="B66" s="1"/>
    </row>
    <row r="67" spans="2:2" ht="13.15">
      <c r="B67" s="1"/>
    </row>
    <row r="68" spans="2:2" ht="13.15">
      <c r="B68" s="1"/>
    </row>
    <row r="69" spans="2:2" ht="13.15">
      <c r="B69" s="1"/>
    </row>
    <row r="70" spans="2:2" ht="13.15">
      <c r="B70" s="1"/>
    </row>
    <row r="71" spans="2:2" ht="13.15">
      <c r="B71" s="1"/>
    </row>
    <row r="72" spans="2:2" ht="13.15">
      <c r="B72" s="1"/>
    </row>
    <row r="73" spans="2:2" ht="13.15">
      <c r="B73" s="1"/>
    </row>
    <row r="74" spans="2:2" ht="13.15">
      <c r="B74" s="1"/>
    </row>
    <row r="75" spans="2:2" ht="13.15">
      <c r="B75" s="1"/>
    </row>
    <row r="76" spans="2:2" ht="13.15">
      <c r="B76" s="1"/>
    </row>
    <row r="77" spans="2:2" ht="13.15">
      <c r="B77" s="1"/>
    </row>
    <row r="78" spans="2:2" ht="13.15">
      <c r="B78" s="1"/>
    </row>
    <row r="79" spans="2:2" ht="13.15">
      <c r="B79" s="1"/>
    </row>
    <row r="80" spans="2:2" ht="13.15">
      <c r="B80" s="1"/>
    </row>
    <row r="81" spans="2:2" ht="13.15">
      <c r="B81" s="1"/>
    </row>
    <row r="82" spans="2:2" ht="13.15">
      <c r="B82" s="1"/>
    </row>
    <row r="83" spans="2:2" ht="13.15">
      <c r="B83" s="1"/>
    </row>
    <row r="84" spans="2:2" ht="13.15">
      <c r="B84" s="1"/>
    </row>
    <row r="85" spans="2:2" ht="13.15">
      <c r="B85" s="1"/>
    </row>
    <row r="86" spans="2:2" ht="13.15">
      <c r="B86" s="1"/>
    </row>
    <row r="87" spans="2:2" ht="13.15">
      <c r="B87" s="1"/>
    </row>
    <row r="88" spans="2:2" ht="13.15">
      <c r="B88" s="1"/>
    </row>
    <row r="89" spans="2:2" ht="13.15">
      <c r="B89" s="1"/>
    </row>
    <row r="90" spans="2:2" ht="13.15">
      <c r="B90" s="1"/>
    </row>
    <row r="91" spans="2:2" ht="13.15">
      <c r="B91" s="1"/>
    </row>
    <row r="92" spans="2:2" ht="13.15">
      <c r="B92" s="1"/>
    </row>
    <row r="93" spans="2:2" ht="13.15">
      <c r="B93" s="1"/>
    </row>
    <row r="94" spans="2:2" ht="13.15">
      <c r="B94" s="1"/>
    </row>
    <row r="95" spans="2:2" ht="13.15">
      <c r="B95" s="1"/>
    </row>
    <row r="96" spans="2:2" ht="13.15">
      <c r="B96" s="1"/>
    </row>
    <row r="97" spans="2:2" ht="13.15">
      <c r="B97" s="1"/>
    </row>
    <row r="98" spans="2:2" ht="13.15">
      <c r="B98" s="1"/>
    </row>
    <row r="99" spans="2:2" ht="13.15">
      <c r="B99" s="1"/>
    </row>
    <row r="100" spans="2:2" ht="13.15">
      <c r="B100" s="1"/>
    </row>
    <row r="101" spans="2:2" ht="13.15">
      <c r="B101" s="1"/>
    </row>
    <row r="102" spans="2:2" ht="13.15">
      <c r="B102" s="1"/>
    </row>
    <row r="103" spans="2:2" ht="13.15">
      <c r="B103" s="1"/>
    </row>
    <row r="104" spans="2:2" ht="13.15">
      <c r="B104" s="1"/>
    </row>
    <row r="105" spans="2:2" ht="13.15">
      <c r="B105" s="1"/>
    </row>
    <row r="106" spans="2:2" ht="13.15">
      <c r="B106" s="1"/>
    </row>
    <row r="107" spans="2:2" ht="13.15">
      <c r="B107" s="1"/>
    </row>
    <row r="108" spans="2:2" ht="13.15">
      <c r="B108" s="1"/>
    </row>
    <row r="109" spans="2:2" ht="13.15">
      <c r="B109" s="1"/>
    </row>
    <row r="110" spans="2:2" ht="13.15">
      <c r="B110" s="1"/>
    </row>
    <row r="111" spans="2:2" ht="13.15">
      <c r="B111" s="1"/>
    </row>
    <row r="112" spans="2:2" ht="13.15">
      <c r="B112" s="1"/>
    </row>
    <row r="113" spans="2:2" ht="13.15">
      <c r="B113" s="1"/>
    </row>
    <row r="114" spans="2:2" ht="13.15">
      <c r="B114" s="1"/>
    </row>
    <row r="115" spans="2:2" ht="13.15">
      <c r="B115" s="1"/>
    </row>
    <row r="116" spans="2:2" ht="13.15">
      <c r="B116" s="1"/>
    </row>
    <row r="117" spans="2:2" ht="13.15">
      <c r="B117" s="1"/>
    </row>
    <row r="118" spans="2:2" ht="13.15">
      <c r="B118" s="1"/>
    </row>
    <row r="119" spans="2:2" ht="13.15">
      <c r="B119" s="1"/>
    </row>
    <row r="120" spans="2:2" ht="13.15">
      <c r="B120" s="1"/>
    </row>
    <row r="121" spans="2:2" ht="13.15">
      <c r="B121" s="1"/>
    </row>
    <row r="122" spans="2:2" ht="13.15">
      <c r="B122" s="1"/>
    </row>
    <row r="123" spans="2:2" ht="13.15">
      <c r="B123" s="1"/>
    </row>
    <row r="124" spans="2:2" ht="13.15">
      <c r="B124" s="1"/>
    </row>
    <row r="125" spans="2:2" ht="13.15">
      <c r="B125" s="1"/>
    </row>
    <row r="126" spans="2:2" ht="13.15">
      <c r="B126" s="1"/>
    </row>
    <row r="127" spans="2:2" ht="13.15">
      <c r="B127" s="1"/>
    </row>
    <row r="128" spans="2:2" ht="13.15">
      <c r="B128" s="1"/>
    </row>
    <row r="129" spans="2:2" ht="13.15">
      <c r="B129" s="1"/>
    </row>
    <row r="130" spans="2:2" ht="13.15">
      <c r="B130" s="1"/>
    </row>
    <row r="131" spans="2:2" ht="13.15">
      <c r="B131" s="1"/>
    </row>
    <row r="132" spans="2:2" ht="13.15">
      <c r="B132" s="1"/>
    </row>
    <row r="133" spans="2:2" ht="13.15">
      <c r="B133" s="1"/>
    </row>
    <row r="134" spans="2:2" ht="13.15">
      <c r="B134" s="1"/>
    </row>
    <row r="135" spans="2:2" ht="13.15">
      <c r="B135" s="1"/>
    </row>
    <row r="136" spans="2:2" ht="13.15">
      <c r="B136" s="1"/>
    </row>
    <row r="137" spans="2:2" ht="13.15">
      <c r="B137" s="1"/>
    </row>
    <row r="138" spans="2:2" ht="13.15">
      <c r="B138" s="1"/>
    </row>
    <row r="139" spans="2:2" ht="13.15">
      <c r="B139" s="1"/>
    </row>
    <row r="140" spans="2:2" ht="13.15">
      <c r="B140" s="1"/>
    </row>
    <row r="141" spans="2:2" ht="13.15">
      <c r="B141" s="1"/>
    </row>
    <row r="142" spans="2:2" ht="13.15">
      <c r="B142" s="1"/>
    </row>
    <row r="143" spans="2:2" ht="13.15">
      <c r="B143" s="1"/>
    </row>
    <row r="144" spans="2:2" ht="13.15">
      <c r="B144" s="1"/>
    </row>
    <row r="145" spans="2:2" ht="13.15">
      <c r="B145" s="1"/>
    </row>
    <row r="146" spans="2:2" ht="13.15">
      <c r="B146" s="1"/>
    </row>
    <row r="147" spans="2:2" ht="13.15">
      <c r="B147" s="1"/>
    </row>
    <row r="148" spans="2:2" ht="13.15">
      <c r="B148" s="1"/>
    </row>
    <row r="149" spans="2:2" ht="13.15">
      <c r="B149" s="1"/>
    </row>
    <row r="150" spans="2:2" ht="13.15">
      <c r="B150" s="1"/>
    </row>
    <row r="151" spans="2:2" ht="13.15">
      <c r="B151" s="1"/>
    </row>
    <row r="152" spans="2:2" ht="13.15">
      <c r="B152" s="1"/>
    </row>
    <row r="153" spans="2:2" ht="13.15">
      <c r="B153" s="1"/>
    </row>
    <row r="154" spans="2:2" ht="13.15">
      <c r="B154" s="1"/>
    </row>
    <row r="155" spans="2:2" ht="13.15">
      <c r="B155" s="1"/>
    </row>
    <row r="156" spans="2:2" ht="13.15">
      <c r="B156" s="1"/>
    </row>
    <row r="157" spans="2:2" ht="13.15">
      <c r="B157" s="1"/>
    </row>
    <row r="158" spans="2:2" ht="13.15">
      <c r="B158" s="1"/>
    </row>
    <row r="159" spans="2:2" ht="13.15">
      <c r="B159" s="1"/>
    </row>
    <row r="160" spans="2:2" ht="13.15">
      <c r="B160" s="1"/>
    </row>
    <row r="161" spans="2:2" ht="13.15">
      <c r="B161" s="1"/>
    </row>
    <row r="162" spans="2:2" ht="13.15">
      <c r="B162" s="1"/>
    </row>
    <row r="163" spans="2:2" ht="13.15">
      <c r="B163" s="1"/>
    </row>
    <row r="164" spans="2:2" ht="13.15">
      <c r="B164" s="1"/>
    </row>
    <row r="165" spans="2:2" ht="13.15">
      <c r="B165" s="1"/>
    </row>
    <row r="166" spans="2:2" ht="13.15">
      <c r="B166" s="1"/>
    </row>
    <row r="167" spans="2:2" ht="13.15">
      <c r="B167" s="1"/>
    </row>
    <row r="168" spans="2:2" ht="13.15">
      <c r="B168" s="1"/>
    </row>
    <row r="169" spans="2:2" ht="13.15">
      <c r="B169" s="1"/>
    </row>
    <row r="170" spans="2:2" ht="13.15">
      <c r="B170" s="1"/>
    </row>
    <row r="171" spans="2:2" ht="13.15">
      <c r="B171" s="1"/>
    </row>
    <row r="172" spans="2:2" ht="13.15">
      <c r="B172" s="1"/>
    </row>
    <row r="173" spans="2:2" ht="13.15">
      <c r="B173" s="1"/>
    </row>
    <row r="174" spans="2:2" ht="13.15">
      <c r="B174" s="1"/>
    </row>
    <row r="175" spans="2:2" ht="13.15">
      <c r="B175" s="1"/>
    </row>
    <row r="176" spans="2:2" ht="13.15">
      <c r="B176" s="1"/>
    </row>
    <row r="177" spans="2:2" ht="13.15">
      <c r="B177" s="1"/>
    </row>
    <row r="178" spans="2:2" ht="13.15">
      <c r="B178" s="1"/>
    </row>
    <row r="179" spans="2:2" ht="13.15">
      <c r="B179" s="1"/>
    </row>
    <row r="180" spans="2:2" ht="13.15">
      <c r="B180" s="1"/>
    </row>
    <row r="181" spans="2:2" ht="13.15">
      <c r="B181" s="1"/>
    </row>
    <row r="182" spans="2:2" ht="13.15">
      <c r="B182" s="1"/>
    </row>
    <row r="183" spans="2:2" ht="13.15">
      <c r="B183" s="1"/>
    </row>
    <row r="184" spans="2:2" ht="13.15">
      <c r="B184" s="1"/>
    </row>
    <row r="185" spans="2:2" ht="13.15">
      <c r="B185" s="1"/>
    </row>
    <row r="186" spans="2:2" ht="13.15">
      <c r="B186" s="1"/>
    </row>
    <row r="187" spans="2:2" ht="13.15">
      <c r="B187" s="1"/>
    </row>
    <row r="188" spans="2:2" ht="13.15">
      <c r="B188" s="1"/>
    </row>
    <row r="189" spans="2:2" ht="13.15">
      <c r="B189" s="1"/>
    </row>
    <row r="190" spans="2:2" ht="13.15">
      <c r="B190" s="1"/>
    </row>
    <row r="191" spans="2:2" ht="13.15">
      <c r="B191" s="1"/>
    </row>
    <row r="192" spans="2:2" ht="13.15">
      <c r="B192" s="1"/>
    </row>
    <row r="193" spans="2:2" ht="13.15">
      <c r="B193" s="1"/>
    </row>
    <row r="194" spans="2:2" ht="13.15">
      <c r="B194" s="1"/>
    </row>
    <row r="195" spans="2:2" ht="13.15">
      <c r="B195" s="1"/>
    </row>
    <row r="196" spans="2:2" ht="13.15">
      <c r="B196" s="1"/>
    </row>
    <row r="197" spans="2:2" ht="13.15">
      <c r="B197" s="1"/>
    </row>
    <row r="198" spans="2:2" ht="13.15">
      <c r="B198" s="1"/>
    </row>
    <row r="199" spans="2:2" ht="13.15">
      <c r="B199" s="1"/>
    </row>
    <row r="200" spans="2:2" ht="13.15">
      <c r="B200" s="1"/>
    </row>
    <row r="201" spans="2:2" ht="13.15">
      <c r="B201" s="1"/>
    </row>
    <row r="202" spans="2:2" ht="13.15">
      <c r="B202" s="1"/>
    </row>
    <row r="203" spans="2:2" ht="13.15">
      <c r="B203" s="1"/>
    </row>
    <row r="204" spans="2:2" ht="13.15">
      <c r="B204" s="1"/>
    </row>
    <row r="205" spans="2:2" ht="13.15">
      <c r="B205" s="1"/>
    </row>
    <row r="206" spans="2:2" ht="13.15">
      <c r="B206" s="1"/>
    </row>
    <row r="207" spans="2:2" ht="13.15">
      <c r="B207" s="1"/>
    </row>
    <row r="208" spans="2:2" ht="13.15">
      <c r="B208" s="1"/>
    </row>
    <row r="209" spans="2:2" ht="13.15">
      <c r="B209" s="1"/>
    </row>
    <row r="210" spans="2:2" ht="13.15">
      <c r="B210" s="1"/>
    </row>
    <row r="211" spans="2:2" ht="13.15">
      <c r="B211" s="1"/>
    </row>
    <row r="212" spans="2:2" ht="13.15">
      <c r="B212" s="1"/>
    </row>
    <row r="213" spans="2:2" ht="13.15">
      <c r="B213" s="1"/>
    </row>
    <row r="214" spans="2:2" ht="13.15">
      <c r="B214" s="1"/>
    </row>
    <row r="215" spans="2:2" ht="13.15">
      <c r="B215" s="1"/>
    </row>
    <row r="216" spans="2:2" ht="13.15">
      <c r="B216" s="1"/>
    </row>
    <row r="217" spans="2:2" ht="13.15">
      <c r="B217" s="1"/>
    </row>
    <row r="218" spans="2:2" ht="13.15">
      <c r="B218" s="1"/>
    </row>
    <row r="219" spans="2:2" ht="13.15">
      <c r="B219" s="1"/>
    </row>
    <row r="220" spans="2:2" ht="13.15">
      <c r="B220" s="1"/>
    </row>
    <row r="221" spans="2:2" ht="13.15">
      <c r="B221" s="1"/>
    </row>
    <row r="222" spans="2:2" ht="13.15">
      <c r="B222" s="1"/>
    </row>
    <row r="223" spans="2:2" ht="13.15">
      <c r="B223" s="1"/>
    </row>
    <row r="224" spans="2:2" ht="13.15">
      <c r="B224" s="1"/>
    </row>
    <row r="225" spans="2:2" ht="13.15">
      <c r="B225" s="1"/>
    </row>
    <row r="226" spans="2:2" ht="13.15">
      <c r="B226" s="1"/>
    </row>
    <row r="227" spans="2:2" ht="13.15">
      <c r="B227" s="1"/>
    </row>
    <row r="228" spans="2:2" ht="13.15">
      <c r="B228" s="1"/>
    </row>
    <row r="229" spans="2:2" ht="13.15">
      <c r="B229" s="1"/>
    </row>
    <row r="230" spans="2:2" ht="13.15">
      <c r="B230" s="1"/>
    </row>
    <row r="231" spans="2:2" ht="13.15">
      <c r="B231" s="1"/>
    </row>
    <row r="232" spans="2:2" ht="13.15">
      <c r="B232" s="1"/>
    </row>
    <row r="233" spans="2:2" ht="13.15">
      <c r="B233" s="1"/>
    </row>
    <row r="234" spans="2:2" ht="13.15">
      <c r="B234" s="1"/>
    </row>
    <row r="235" spans="2:2" ht="13.15">
      <c r="B235" s="1"/>
    </row>
    <row r="236" spans="2:2" ht="13.15">
      <c r="B236" s="1"/>
    </row>
    <row r="237" spans="2:2" ht="13.15">
      <c r="B237" s="1"/>
    </row>
    <row r="238" spans="2:2" ht="13.15">
      <c r="B238" s="1"/>
    </row>
    <row r="239" spans="2:2" ht="13.15">
      <c r="B239" s="1"/>
    </row>
    <row r="240" spans="2:2" ht="13.15">
      <c r="B240" s="1"/>
    </row>
    <row r="241" spans="2:2" ht="13.15">
      <c r="B241" s="1"/>
    </row>
    <row r="242" spans="2:2" ht="13.15">
      <c r="B242" s="1"/>
    </row>
    <row r="243" spans="2:2" ht="13.15">
      <c r="B243" s="1"/>
    </row>
    <row r="244" spans="2:2" ht="13.15">
      <c r="B244" s="1"/>
    </row>
    <row r="245" spans="2:2" ht="13.15">
      <c r="B245" s="1"/>
    </row>
    <row r="246" spans="2:2" ht="13.15">
      <c r="B246" s="1"/>
    </row>
    <row r="247" spans="2:2" ht="13.15">
      <c r="B247" s="1"/>
    </row>
    <row r="248" spans="2:2" ht="13.15">
      <c r="B248" s="1"/>
    </row>
    <row r="249" spans="2:2" ht="13.15">
      <c r="B249" s="1"/>
    </row>
    <row r="250" spans="2:2" ht="13.15">
      <c r="B250" s="1"/>
    </row>
    <row r="251" spans="2:2" ht="13.15">
      <c r="B251" s="1"/>
    </row>
    <row r="252" spans="2:2" ht="13.15">
      <c r="B252" s="1"/>
    </row>
    <row r="253" spans="2:2" ht="13.15">
      <c r="B253" s="1"/>
    </row>
    <row r="254" spans="2:2" ht="13.15">
      <c r="B254" s="1"/>
    </row>
    <row r="255" spans="2:2" ht="13.15">
      <c r="B255" s="1"/>
    </row>
    <row r="256" spans="2:2" ht="13.15">
      <c r="B256" s="1"/>
    </row>
    <row r="257" spans="2:2" ht="13.15">
      <c r="B257" s="1"/>
    </row>
    <row r="258" spans="2:2" ht="13.15">
      <c r="B258" s="1"/>
    </row>
    <row r="259" spans="2:2" ht="13.15">
      <c r="B259" s="1"/>
    </row>
    <row r="260" spans="2:2" ht="13.15">
      <c r="B260" s="1"/>
    </row>
    <row r="261" spans="2:2" ht="13.15">
      <c r="B261" s="1"/>
    </row>
    <row r="262" spans="2:2" ht="13.15">
      <c r="B262" s="1"/>
    </row>
    <row r="263" spans="2:2" ht="13.15">
      <c r="B263" s="1"/>
    </row>
    <row r="264" spans="2:2" ht="13.15">
      <c r="B264" s="1"/>
    </row>
    <row r="265" spans="2:2" ht="13.15">
      <c r="B265" s="1"/>
    </row>
    <row r="266" spans="2:2" ht="13.15">
      <c r="B266" s="1"/>
    </row>
    <row r="267" spans="2:2" ht="13.15">
      <c r="B267" s="1"/>
    </row>
    <row r="268" spans="2:2" ht="13.15">
      <c r="B268" s="1"/>
    </row>
    <row r="269" spans="2:2" ht="13.15">
      <c r="B269" s="1"/>
    </row>
    <row r="270" spans="2:2" ht="13.15">
      <c r="B270" s="1"/>
    </row>
    <row r="271" spans="2:2" ht="13.15">
      <c r="B271" s="1"/>
    </row>
    <row r="272" spans="2:2" ht="13.15">
      <c r="B272" s="1"/>
    </row>
    <row r="273" spans="2:2" ht="13.15">
      <c r="B273" s="1"/>
    </row>
    <row r="274" spans="2:2" ht="13.15">
      <c r="B274" s="1"/>
    </row>
    <row r="275" spans="2:2" ht="13.15">
      <c r="B275" s="1"/>
    </row>
    <row r="276" spans="2:2" ht="13.15">
      <c r="B276" s="1"/>
    </row>
    <row r="277" spans="2:2" ht="13.15">
      <c r="B277" s="1"/>
    </row>
    <row r="278" spans="2:2" ht="13.15">
      <c r="B278" s="1"/>
    </row>
    <row r="279" spans="2:2" ht="13.15">
      <c r="B279" s="1"/>
    </row>
    <row r="280" spans="2:2" ht="13.15">
      <c r="B280" s="1"/>
    </row>
    <row r="281" spans="2:2" ht="13.15">
      <c r="B281" s="1"/>
    </row>
    <row r="282" spans="2:2" ht="13.15">
      <c r="B282" s="1"/>
    </row>
    <row r="283" spans="2:2" ht="13.15">
      <c r="B283" s="1"/>
    </row>
    <row r="284" spans="2:2" ht="13.15">
      <c r="B284" s="1"/>
    </row>
    <row r="285" spans="2:2" ht="13.15">
      <c r="B285" s="1"/>
    </row>
    <row r="286" spans="2:2" ht="13.15">
      <c r="B286" s="1"/>
    </row>
    <row r="287" spans="2:2" ht="13.15">
      <c r="B287" s="1"/>
    </row>
    <row r="288" spans="2:2" ht="13.15">
      <c r="B288" s="1"/>
    </row>
    <row r="289" spans="2:2" ht="13.15">
      <c r="B289" s="1"/>
    </row>
    <row r="290" spans="2:2" ht="13.15">
      <c r="B290" s="1"/>
    </row>
    <row r="291" spans="2:2" ht="13.15">
      <c r="B291" s="1"/>
    </row>
    <row r="292" spans="2:2" ht="13.15">
      <c r="B292" s="1"/>
    </row>
    <row r="293" spans="2:2" ht="13.15">
      <c r="B293" s="1"/>
    </row>
    <row r="294" spans="2:2" ht="13.15">
      <c r="B294" s="1"/>
    </row>
    <row r="295" spans="2:2" ht="13.15">
      <c r="B295" s="1"/>
    </row>
    <row r="296" spans="2:2" ht="13.15">
      <c r="B296" s="1"/>
    </row>
    <row r="297" spans="2:2" ht="13.15">
      <c r="B297" s="1"/>
    </row>
    <row r="298" spans="2:2" ht="13.15">
      <c r="B298" s="1"/>
    </row>
    <row r="299" spans="2:2" ht="13.15">
      <c r="B299" s="1"/>
    </row>
    <row r="300" spans="2:2" ht="13.15">
      <c r="B300" s="1"/>
    </row>
    <row r="301" spans="2:2" ht="13.15">
      <c r="B301" s="1"/>
    </row>
    <row r="302" spans="2:2" ht="13.15">
      <c r="B302" s="1"/>
    </row>
    <row r="303" spans="2:2" ht="13.15">
      <c r="B303" s="1"/>
    </row>
    <row r="304" spans="2:2" ht="13.15">
      <c r="B304" s="1"/>
    </row>
    <row r="305" spans="2:2" ht="13.15">
      <c r="B305" s="1"/>
    </row>
    <row r="306" spans="2:2" ht="13.15">
      <c r="B306" s="1"/>
    </row>
    <row r="307" spans="2:2" ht="13.15">
      <c r="B307" s="1"/>
    </row>
    <row r="308" spans="2:2" ht="13.15">
      <c r="B308" s="1"/>
    </row>
    <row r="309" spans="2:2" ht="13.15">
      <c r="B309" s="1"/>
    </row>
    <row r="310" spans="2:2" ht="13.15">
      <c r="B310" s="1"/>
    </row>
    <row r="311" spans="2:2" ht="13.15">
      <c r="B311" s="1"/>
    </row>
    <row r="312" spans="2:2" ht="13.15">
      <c r="B312" s="1"/>
    </row>
    <row r="313" spans="2:2" ht="13.15">
      <c r="B313" s="1"/>
    </row>
    <row r="314" spans="2:2" ht="13.15">
      <c r="B314" s="1"/>
    </row>
    <row r="315" spans="2:2" ht="13.15">
      <c r="B315" s="1"/>
    </row>
    <row r="316" spans="2:2" ht="13.15">
      <c r="B316" s="1"/>
    </row>
    <row r="317" spans="2:2" ht="13.15">
      <c r="B317" s="1"/>
    </row>
    <row r="318" spans="2:2" ht="13.15">
      <c r="B318" s="1"/>
    </row>
    <row r="319" spans="2:2" ht="13.15">
      <c r="B319" s="1"/>
    </row>
    <row r="320" spans="2:2" ht="13.15">
      <c r="B320" s="1"/>
    </row>
    <row r="321" spans="2:2" ht="13.15">
      <c r="B321" s="1"/>
    </row>
    <row r="322" spans="2:2" ht="13.15">
      <c r="B322" s="1"/>
    </row>
    <row r="323" spans="2:2" ht="13.15">
      <c r="B323" s="1"/>
    </row>
    <row r="324" spans="2:2" ht="13.15">
      <c r="B324" s="1"/>
    </row>
    <row r="325" spans="2:2" ht="13.15">
      <c r="B325" s="1"/>
    </row>
    <row r="326" spans="2:2" ht="13.15">
      <c r="B326" s="1"/>
    </row>
    <row r="327" spans="2:2" ht="13.15">
      <c r="B327" s="1"/>
    </row>
    <row r="328" spans="2:2" ht="13.15">
      <c r="B328" s="1"/>
    </row>
    <row r="329" spans="2:2" ht="13.15">
      <c r="B329" s="1"/>
    </row>
    <row r="330" spans="2:2" ht="13.15">
      <c r="B330" s="1"/>
    </row>
    <row r="331" spans="2:2" ht="13.15">
      <c r="B331" s="1"/>
    </row>
    <row r="332" spans="2:2" ht="13.15">
      <c r="B332" s="1"/>
    </row>
    <row r="333" spans="2:2" ht="13.15">
      <c r="B333" s="1"/>
    </row>
    <row r="334" spans="2:2" ht="13.15">
      <c r="B334" s="1"/>
    </row>
    <row r="335" spans="2:2" ht="13.15">
      <c r="B335" s="1"/>
    </row>
    <row r="336" spans="2:2" ht="13.15">
      <c r="B336" s="1"/>
    </row>
    <row r="337" spans="2:2" ht="13.15">
      <c r="B337" s="1"/>
    </row>
    <row r="338" spans="2:2" ht="13.15">
      <c r="B338" s="1"/>
    </row>
    <row r="339" spans="2:2" ht="13.15">
      <c r="B339" s="1"/>
    </row>
    <row r="340" spans="2:2" ht="13.15">
      <c r="B340" s="1"/>
    </row>
    <row r="341" spans="2:2" ht="13.15">
      <c r="B341" s="1"/>
    </row>
    <row r="342" spans="2:2" ht="13.15">
      <c r="B342" s="1"/>
    </row>
    <row r="343" spans="2:2" ht="13.15">
      <c r="B343" s="1"/>
    </row>
    <row r="344" spans="2:2" ht="13.15">
      <c r="B344" s="1"/>
    </row>
    <row r="345" spans="2:2" ht="13.15">
      <c r="B345" s="1"/>
    </row>
    <row r="346" spans="2:2" ht="13.15">
      <c r="B346" s="1"/>
    </row>
    <row r="347" spans="2:2" ht="13.15">
      <c r="B347" s="1"/>
    </row>
    <row r="348" spans="2:2" ht="13.15">
      <c r="B348" s="1"/>
    </row>
    <row r="349" spans="2:2" ht="13.15">
      <c r="B349" s="1"/>
    </row>
    <row r="350" spans="2:2" ht="13.15">
      <c r="B350" s="1"/>
    </row>
    <row r="351" spans="2:2" ht="13.15">
      <c r="B351" s="1"/>
    </row>
    <row r="352" spans="2:2" ht="13.15">
      <c r="B352" s="1"/>
    </row>
    <row r="353" spans="2:2" ht="13.15">
      <c r="B353" s="1"/>
    </row>
    <row r="354" spans="2:2" ht="13.15">
      <c r="B354" s="1"/>
    </row>
    <row r="355" spans="2:2" ht="13.15">
      <c r="B355" s="1"/>
    </row>
    <row r="356" spans="2:2" ht="13.15">
      <c r="B356" s="1"/>
    </row>
    <row r="357" spans="2:2" ht="13.15">
      <c r="B357" s="1"/>
    </row>
    <row r="358" spans="2:2" ht="13.15">
      <c r="B358" s="1"/>
    </row>
    <row r="359" spans="2:2" ht="13.15">
      <c r="B359" s="1"/>
    </row>
    <row r="360" spans="2:2" ht="13.15">
      <c r="B360" s="1"/>
    </row>
    <row r="361" spans="2:2" ht="13.15">
      <c r="B361" s="1"/>
    </row>
    <row r="362" spans="2:2" ht="13.15">
      <c r="B362" s="1"/>
    </row>
    <row r="363" spans="2:2" ht="13.15">
      <c r="B363" s="1"/>
    </row>
    <row r="364" spans="2:2" ht="13.15">
      <c r="B364" s="1"/>
    </row>
    <row r="365" spans="2:2" ht="13.15">
      <c r="B365" s="1"/>
    </row>
    <row r="366" spans="2:2" ht="13.15">
      <c r="B366" s="1"/>
    </row>
    <row r="367" spans="2:2" ht="13.15">
      <c r="B367" s="1"/>
    </row>
    <row r="368" spans="2:2" ht="13.15">
      <c r="B368" s="1"/>
    </row>
    <row r="369" spans="2:2" ht="13.15">
      <c r="B369" s="1"/>
    </row>
    <row r="370" spans="2:2" ht="13.15">
      <c r="B370" s="1"/>
    </row>
    <row r="371" spans="2:2" ht="13.15">
      <c r="B371" s="1"/>
    </row>
    <row r="372" spans="2:2" ht="13.15">
      <c r="B372" s="1"/>
    </row>
    <row r="373" spans="2:2" ht="13.15">
      <c r="B373" s="1"/>
    </row>
    <row r="374" spans="2:2" ht="13.15">
      <c r="B374" s="1"/>
    </row>
    <row r="375" spans="2:2" ht="13.15">
      <c r="B375" s="1"/>
    </row>
    <row r="376" spans="2:2" ht="13.15">
      <c r="B376" s="1"/>
    </row>
    <row r="377" spans="2:2" ht="13.15">
      <c r="B377" s="1"/>
    </row>
    <row r="378" spans="2:2" ht="13.15">
      <c r="B378" s="1"/>
    </row>
    <row r="379" spans="2:2" ht="13.15">
      <c r="B379" s="1"/>
    </row>
    <row r="380" spans="2:2" ht="13.15">
      <c r="B380" s="1"/>
    </row>
    <row r="381" spans="2:2" ht="13.15">
      <c r="B381" s="1"/>
    </row>
    <row r="382" spans="2:2" ht="13.15">
      <c r="B382" s="1"/>
    </row>
    <row r="383" spans="2:2" ht="13.15">
      <c r="B383" s="1"/>
    </row>
    <row r="384" spans="2:2" ht="13.15">
      <c r="B384" s="1"/>
    </row>
    <row r="385" spans="2:2" ht="13.15">
      <c r="B385" s="1"/>
    </row>
    <row r="386" spans="2:2" ht="13.15">
      <c r="B386" s="1"/>
    </row>
    <row r="387" spans="2:2" ht="13.15">
      <c r="B387" s="1"/>
    </row>
    <row r="388" spans="2:2" ht="13.15">
      <c r="B388" s="1"/>
    </row>
    <row r="389" spans="2:2" ht="13.15">
      <c r="B389" s="1"/>
    </row>
    <row r="390" spans="2:2" ht="13.15">
      <c r="B390" s="1"/>
    </row>
    <row r="391" spans="2:2" ht="13.15">
      <c r="B391" s="1"/>
    </row>
    <row r="392" spans="2:2" ht="13.15">
      <c r="B392" s="1"/>
    </row>
    <row r="393" spans="2:2" ht="13.15">
      <c r="B393" s="1"/>
    </row>
    <row r="394" spans="2:2" ht="13.15">
      <c r="B394" s="1"/>
    </row>
    <row r="395" spans="2:2" ht="13.15">
      <c r="B395" s="1"/>
    </row>
    <row r="396" spans="2:2" ht="13.15">
      <c r="B396" s="1"/>
    </row>
    <row r="397" spans="2:2" ht="13.15">
      <c r="B397" s="1"/>
    </row>
    <row r="398" spans="2:2" ht="13.15">
      <c r="B398" s="1"/>
    </row>
    <row r="399" spans="2:2" ht="13.15">
      <c r="B399" s="1"/>
    </row>
    <row r="400" spans="2:2" ht="13.15">
      <c r="B400" s="1"/>
    </row>
    <row r="401" spans="2:2" ht="13.15">
      <c r="B401" s="1"/>
    </row>
    <row r="402" spans="2:2" ht="13.15">
      <c r="B402" s="1"/>
    </row>
    <row r="403" spans="2:2" ht="13.15">
      <c r="B403" s="1"/>
    </row>
    <row r="404" spans="2:2" ht="13.15">
      <c r="B404" s="1"/>
    </row>
    <row r="405" spans="2:2" ht="13.15">
      <c r="B405" s="1"/>
    </row>
    <row r="406" spans="2:2" ht="13.15">
      <c r="B406" s="1"/>
    </row>
    <row r="407" spans="2:2" ht="13.15">
      <c r="B407" s="1"/>
    </row>
    <row r="408" spans="2:2" ht="13.15">
      <c r="B408" s="1"/>
    </row>
    <row r="409" spans="2:2" ht="13.15">
      <c r="B409" s="1"/>
    </row>
    <row r="410" spans="2:2" ht="13.15">
      <c r="B410" s="1"/>
    </row>
    <row r="411" spans="2:2" ht="13.15">
      <c r="B411" s="1"/>
    </row>
    <row r="412" spans="2:2" ht="13.15">
      <c r="B412" s="1"/>
    </row>
    <row r="413" spans="2:2" ht="13.15">
      <c r="B413" s="1"/>
    </row>
    <row r="414" spans="2:2" ht="13.15">
      <c r="B414" s="1"/>
    </row>
    <row r="415" spans="2:2" ht="13.15">
      <c r="B415" s="1"/>
    </row>
    <row r="416" spans="2:2" ht="13.15">
      <c r="B416" s="1"/>
    </row>
    <row r="417" spans="2:2" ht="13.15">
      <c r="B417" s="1"/>
    </row>
    <row r="418" spans="2:2" ht="13.15">
      <c r="B418" s="1"/>
    </row>
    <row r="419" spans="2:2" ht="13.15">
      <c r="B419" s="1"/>
    </row>
    <row r="420" spans="2:2" ht="13.15">
      <c r="B420" s="1"/>
    </row>
    <row r="421" spans="2:2" ht="13.15">
      <c r="B421" s="1"/>
    </row>
    <row r="422" spans="2:2" ht="13.15">
      <c r="B422" s="1"/>
    </row>
    <row r="423" spans="2:2" ht="13.15">
      <c r="B423" s="1"/>
    </row>
    <row r="424" spans="2:2" ht="13.15">
      <c r="B424" s="1"/>
    </row>
    <row r="425" spans="2:2" ht="13.15">
      <c r="B425" s="1"/>
    </row>
    <row r="426" spans="2:2" ht="13.15">
      <c r="B426" s="1"/>
    </row>
    <row r="427" spans="2:2" ht="13.15">
      <c r="B427" s="1"/>
    </row>
    <row r="428" spans="2:2" ht="13.15">
      <c r="B428" s="1"/>
    </row>
    <row r="429" spans="2:2" ht="13.15">
      <c r="B429" s="1"/>
    </row>
    <row r="430" spans="2:2" ht="13.15">
      <c r="B430" s="1"/>
    </row>
    <row r="431" spans="2:2" ht="13.15">
      <c r="B431" s="1"/>
    </row>
    <row r="432" spans="2:2" ht="13.15">
      <c r="B432" s="1"/>
    </row>
    <row r="433" spans="2:2" ht="13.15">
      <c r="B433" s="1"/>
    </row>
    <row r="434" spans="2:2" ht="13.15">
      <c r="B434" s="1"/>
    </row>
    <row r="435" spans="2:2" ht="13.15">
      <c r="B435" s="1"/>
    </row>
    <row r="436" spans="2:2" ht="13.15">
      <c r="B436" s="1"/>
    </row>
    <row r="437" spans="2:2" ht="13.15">
      <c r="B437" s="1"/>
    </row>
    <row r="438" spans="2:2" ht="13.15">
      <c r="B438" s="1"/>
    </row>
    <row r="439" spans="2:2" ht="13.15">
      <c r="B439" s="1"/>
    </row>
    <row r="440" spans="2:2" ht="13.15">
      <c r="B440" s="1"/>
    </row>
    <row r="441" spans="2:2" ht="13.15">
      <c r="B441" s="1"/>
    </row>
    <row r="442" spans="2:2" ht="13.15">
      <c r="B442" s="1"/>
    </row>
    <row r="443" spans="2:2" ht="13.15">
      <c r="B443" s="1"/>
    </row>
    <row r="444" spans="2:2" ht="13.15">
      <c r="B444" s="1"/>
    </row>
    <row r="445" spans="2:2" ht="13.15">
      <c r="B445" s="1"/>
    </row>
    <row r="446" spans="2:2" ht="13.15">
      <c r="B446" s="1"/>
    </row>
    <row r="447" spans="2:2" ht="13.15">
      <c r="B447" s="1"/>
    </row>
    <row r="448" spans="2:2" ht="13.15">
      <c r="B448" s="1"/>
    </row>
    <row r="449" spans="2:2" ht="13.15">
      <c r="B449" s="1"/>
    </row>
    <row r="450" spans="2:2" ht="13.15">
      <c r="B450" s="1"/>
    </row>
    <row r="451" spans="2:2" ht="13.15">
      <c r="B451" s="1"/>
    </row>
    <row r="452" spans="2:2" ht="13.15">
      <c r="B452" s="1"/>
    </row>
    <row r="453" spans="2:2" ht="13.15">
      <c r="B453" s="1"/>
    </row>
    <row r="454" spans="2:2" ht="13.15">
      <c r="B454" s="1"/>
    </row>
    <row r="455" spans="2:2" ht="13.15">
      <c r="B455" s="1"/>
    </row>
    <row r="456" spans="2:2" ht="13.15">
      <c r="B456" s="1"/>
    </row>
    <row r="457" spans="2:2" ht="13.15">
      <c r="B457" s="1"/>
    </row>
    <row r="458" spans="2:2" ht="13.15">
      <c r="B458" s="1"/>
    </row>
    <row r="459" spans="2:2" ht="13.15">
      <c r="B459" s="1"/>
    </row>
    <row r="460" spans="2:2" ht="13.15">
      <c r="B460" s="1"/>
    </row>
    <row r="461" spans="2:2" ht="13.15">
      <c r="B461" s="1"/>
    </row>
    <row r="462" spans="2:2" ht="13.15">
      <c r="B462" s="1"/>
    </row>
    <row r="463" spans="2:2" ht="13.15">
      <c r="B463" s="1"/>
    </row>
    <row r="464" spans="2:2" ht="13.15">
      <c r="B464" s="1"/>
    </row>
    <row r="465" spans="2:2" ht="13.15">
      <c r="B465" s="1"/>
    </row>
    <row r="466" spans="2:2" ht="13.15">
      <c r="B466" s="1"/>
    </row>
    <row r="467" spans="2:2" ht="13.15">
      <c r="B467" s="1"/>
    </row>
    <row r="468" spans="2:2" ht="13.15">
      <c r="B468" s="1"/>
    </row>
    <row r="469" spans="2:2" ht="13.15">
      <c r="B469" s="1"/>
    </row>
    <row r="470" spans="2:2" ht="13.15">
      <c r="B470" s="1"/>
    </row>
    <row r="471" spans="2:2" ht="13.15">
      <c r="B471" s="1"/>
    </row>
    <row r="472" spans="2:2" ht="13.15">
      <c r="B472" s="1"/>
    </row>
    <row r="473" spans="2:2" ht="13.15">
      <c r="B473" s="1"/>
    </row>
    <row r="474" spans="2:2" ht="13.15">
      <c r="B474" s="1"/>
    </row>
    <row r="475" spans="2:2" ht="13.15">
      <c r="B475" s="1"/>
    </row>
    <row r="476" spans="2:2" ht="13.15">
      <c r="B476" s="1"/>
    </row>
    <row r="477" spans="2:2" ht="13.15">
      <c r="B477" s="1"/>
    </row>
    <row r="478" spans="2:2" ht="13.15">
      <c r="B478" s="1"/>
    </row>
    <row r="479" spans="2:2" ht="13.15">
      <c r="B479" s="1"/>
    </row>
    <row r="480" spans="2:2" ht="13.15">
      <c r="B480" s="1"/>
    </row>
    <row r="481" spans="2:2" ht="13.15">
      <c r="B481" s="1"/>
    </row>
    <row r="482" spans="2:2" ht="13.15">
      <c r="B482" s="1"/>
    </row>
    <row r="483" spans="2:2" ht="13.15">
      <c r="B483" s="1"/>
    </row>
    <row r="484" spans="2:2" ht="13.15">
      <c r="B484" s="1"/>
    </row>
    <row r="485" spans="2:2" ht="13.15">
      <c r="B485" s="1"/>
    </row>
    <row r="486" spans="2:2" ht="13.15">
      <c r="B486" s="1"/>
    </row>
    <row r="487" spans="2:2" ht="13.15">
      <c r="B487" s="1"/>
    </row>
    <row r="488" spans="2:2" ht="13.15">
      <c r="B488" s="1"/>
    </row>
    <row r="489" spans="2:2" ht="13.15">
      <c r="B489" s="1"/>
    </row>
    <row r="490" spans="2:2" ht="13.15">
      <c r="B490" s="1"/>
    </row>
    <row r="491" spans="2:2" ht="13.15">
      <c r="B491" s="1"/>
    </row>
    <row r="492" spans="2:2" ht="13.15">
      <c r="B492" s="1"/>
    </row>
    <row r="493" spans="2:2" ht="13.15">
      <c r="B493" s="1"/>
    </row>
    <row r="494" spans="2:2" ht="13.15">
      <c r="B494" s="1"/>
    </row>
    <row r="495" spans="2:2" ht="13.15">
      <c r="B495" s="1"/>
    </row>
    <row r="496" spans="2:2" ht="13.15">
      <c r="B496" s="1"/>
    </row>
    <row r="497" spans="2:2" ht="13.15">
      <c r="B497" s="1"/>
    </row>
    <row r="498" spans="2:2" ht="13.15">
      <c r="B498" s="1"/>
    </row>
    <row r="499" spans="2:2" ht="13.15">
      <c r="B499" s="1"/>
    </row>
    <row r="500" spans="2:2" ht="13.15">
      <c r="B500" s="1"/>
    </row>
    <row r="501" spans="2:2" ht="13.15">
      <c r="B501" s="1"/>
    </row>
    <row r="502" spans="2:2" ht="13.15">
      <c r="B502" s="1"/>
    </row>
    <row r="503" spans="2:2" ht="13.15">
      <c r="B503" s="1"/>
    </row>
    <row r="504" spans="2:2" ht="13.15">
      <c r="B504" s="1"/>
    </row>
    <row r="505" spans="2:2" ht="13.15">
      <c r="B505" s="1"/>
    </row>
    <row r="506" spans="2:2" ht="13.15">
      <c r="B506" s="1"/>
    </row>
    <row r="507" spans="2:2" ht="13.15">
      <c r="B507" s="1"/>
    </row>
    <row r="508" spans="2:2" ht="13.15">
      <c r="B508" s="1"/>
    </row>
    <row r="509" spans="2:2" ht="13.15">
      <c r="B509" s="1"/>
    </row>
    <row r="510" spans="2:2" ht="13.15">
      <c r="B510" s="1"/>
    </row>
    <row r="511" spans="2:2" ht="13.15">
      <c r="B511" s="1"/>
    </row>
    <row r="512" spans="2:2" ht="13.15">
      <c r="B512" s="1"/>
    </row>
    <row r="513" spans="2:2" ht="13.15">
      <c r="B513" s="1"/>
    </row>
    <row r="514" spans="2:2" ht="13.15">
      <c r="B514" s="1"/>
    </row>
    <row r="515" spans="2:2" ht="13.15">
      <c r="B515" s="1"/>
    </row>
    <row r="516" spans="2:2" ht="13.15">
      <c r="B516" s="1"/>
    </row>
    <row r="517" spans="2:2" ht="13.15">
      <c r="B517" s="1"/>
    </row>
    <row r="518" spans="2:2" ht="13.15">
      <c r="B518" s="1"/>
    </row>
    <row r="519" spans="2:2" ht="13.15">
      <c r="B519" s="1"/>
    </row>
    <row r="520" spans="2:2" ht="13.15">
      <c r="B520" s="1"/>
    </row>
    <row r="521" spans="2:2" ht="13.15">
      <c r="B521" s="1"/>
    </row>
    <row r="522" spans="2:2" ht="13.15">
      <c r="B522" s="1"/>
    </row>
    <row r="523" spans="2:2" ht="13.15">
      <c r="B523" s="1"/>
    </row>
    <row r="524" spans="2:2" ht="13.15">
      <c r="B524" s="1"/>
    </row>
    <row r="525" spans="2:2" ht="13.15">
      <c r="B525" s="1"/>
    </row>
    <row r="526" spans="2:2" ht="13.15">
      <c r="B526" s="1"/>
    </row>
    <row r="527" spans="2:2" ht="13.15">
      <c r="B527" s="1"/>
    </row>
    <row r="528" spans="2:2" ht="13.15">
      <c r="B528" s="1"/>
    </row>
    <row r="529" spans="2:2" ht="13.15">
      <c r="B529" s="1"/>
    </row>
    <row r="530" spans="2:2" ht="13.15">
      <c r="B530" s="1"/>
    </row>
    <row r="531" spans="2:2" ht="13.15">
      <c r="B531" s="1"/>
    </row>
    <row r="532" spans="2:2" ht="13.15">
      <c r="B532" s="1"/>
    </row>
    <row r="533" spans="2:2" ht="13.15">
      <c r="B533" s="1"/>
    </row>
    <row r="534" spans="2:2" ht="13.15">
      <c r="B534" s="1"/>
    </row>
    <row r="535" spans="2:2" ht="13.15">
      <c r="B535" s="1"/>
    </row>
    <row r="536" spans="2:2" ht="13.15">
      <c r="B536" s="1"/>
    </row>
    <row r="537" spans="2:2" ht="13.15">
      <c r="B537" s="1"/>
    </row>
    <row r="538" spans="2:2" ht="13.15">
      <c r="B538" s="1"/>
    </row>
    <row r="539" spans="2:2" ht="13.15">
      <c r="B539" s="1"/>
    </row>
    <row r="540" spans="2:2" ht="13.15">
      <c r="B540" s="1"/>
    </row>
    <row r="541" spans="2:2" ht="13.15">
      <c r="B541" s="1"/>
    </row>
    <row r="542" spans="2:2" ht="13.15">
      <c r="B542" s="1"/>
    </row>
    <row r="543" spans="2:2" ht="13.15">
      <c r="B543" s="1"/>
    </row>
    <row r="544" spans="2:2" ht="13.15">
      <c r="B544" s="1"/>
    </row>
    <row r="545" spans="2:2" ht="13.15">
      <c r="B545" s="1"/>
    </row>
    <row r="546" spans="2:2" ht="13.15">
      <c r="B546" s="1"/>
    </row>
    <row r="547" spans="2:2" ht="13.15">
      <c r="B547" s="1"/>
    </row>
    <row r="548" spans="2:2" ht="13.15">
      <c r="B548" s="1"/>
    </row>
    <row r="549" spans="2:2" ht="13.15">
      <c r="B549" s="1"/>
    </row>
    <row r="550" spans="2:2" ht="13.15">
      <c r="B550" s="1"/>
    </row>
    <row r="551" spans="2:2" ht="13.15">
      <c r="B551" s="1"/>
    </row>
    <row r="552" spans="2:2" ht="13.15">
      <c r="B552" s="1"/>
    </row>
    <row r="553" spans="2:2" ht="13.15">
      <c r="B553" s="1"/>
    </row>
    <row r="554" spans="2:2" ht="13.15">
      <c r="B554" s="1"/>
    </row>
    <row r="555" spans="2:2" ht="13.15">
      <c r="B555" s="1"/>
    </row>
    <row r="556" spans="2:2" ht="13.15">
      <c r="B556" s="1"/>
    </row>
    <row r="557" spans="2:2" ht="13.15">
      <c r="B557" s="1"/>
    </row>
    <row r="558" spans="2:2" ht="13.15">
      <c r="B558" s="1"/>
    </row>
    <row r="559" spans="2:2" ht="13.15">
      <c r="B559" s="1"/>
    </row>
    <row r="560" spans="2:2" ht="13.15">
      <c r="B560" s="1"/>
    </row>
    <row r="561" spans="2:2" ht="13.15">
      <c r="B561" s="1"/>
    </row>
    <row r="562" spans="2:2" ht="13.15">
      <c r="B562" s="1"/>
    </row>
    <row r="563" spans="2:2" ht="13.15">
      <c r="B563" s="1"/>
    </row>
    <row r="564" spans="2:2" ht="13.15">
      <c r="B564" s="1"/>
    </row>
    <row r="565" spans="2:2" ht="13.15">
      <c r="B565" s="1"/>
    </row>
    <row r="566" spans="2:2" ht="13.15">
      <c r="B566" s="1"/>
    </row>
    <row r="567" spans="2:2" ht="13.15">
      <c r="B567" s="1"/>
    </row>
    <row r="568" spans="2:2" ht="13.15">
      <c r="B568" s="1"/>
    </row>
    <row r="569" spans="2:2" ht="13.15">
      <c r="B569" s="1"/>
    </row>
    <row r="570" spans="2:2" ht="13.15">
      <c r="B570" s="1"/>
    </row>
    <row r="571" spans="2:2" ht="13.15">
      <c r="B571" s="1"/>
    </row>
    <row r="572" spans="2:2" ht="13.15">
      <c r="B572" s="1"/>
    </row>
    <row r="573" spans="2:2" ht="13.15">
      <c r="B573" s="1"/>
    </row>
    <row r="574" spans="2:2" ht="13.15">
      <c r="B574" s="1"/>
    </row>
    <row r="575" spans="2:2" ht="13.15">
      <c r="B575" s="1"/>
    </row>
    <row r="576" spans="2:2" ht="13.15">
      <c r="B576" s="1"/>
    </row>
    <row r="577" spans="2:2" ht="13.15">
      <c r="B577" s="1"/>
    </row>
    <row r="578" spans="2:2" ht="13.15">
      <c r="B578" s="1"/>
    </row>
    <row r="579" spans="2:2" ht="13.15">
      <c r="B579" s="1"/>
    </row>
    <row r="580" spans="2:2" ht="13.15">
      <c r="B580" s="1"/>
    </row>
    <row r="581" spans="2:2" ht="13.15">
      <c r="B581" s="1"/>
    </row>
    <row r="582" spans="2:2" ht="13.15">
      <c r="B582" s="1"/>
    </row>
    <row r="583" spans="2:2" ht="13.15">
      <c r="B583" s="1"/>
    </row>
    <row r="584" spans="2:2" ht="13.15">
      <c r="B584" s="1"/>
    </row>
    <row r="585" spans="2:2" ht="13.15">
      <c r="B585" s="1"/>
    </row>
    <row r="586" spans="2:2" ht="13.15">
      <c r="B586" s="1"/>
    </row>
    <row r="587" spans="2:2" ht="13.15">
      <c r="B587" s="1"/>
    </row>
    <row r="588" spans="2:2" ht="13.15">
      <c r="B588" s="1"/>
    </row>
    <row r="589" spans="2:2" ht="13.15">
      <c r="B589" s="1"/>
    </row>
    <row r="590" spans="2:2" ht="13.15">
      <c r="B590" s="1"/>
    </row>
    <row r="591" spans="2:2" ht="13.15">
      <c r="B591" s="1"/>
    </row>
    <row r="592" spans="2:2" ht="13.15">
      <c r="B592" s="1"/>
    </row>
    <row r="593" spans="2:2" ht="13.15">
      <c r="B593" s="1"/>
    </row>
    <row r="594" spans="2:2" ht="13.15">
      <c r="B594" s="1"/>
    </row>
    <row r="595" spans="2:2" ht="13.15">
      <c r="B595" s="1"/>
    </row>
    <row r="596" spans="2:2" ht="13.15">
      <c r="B596" s="1"/>
    </row>
    <row r="597" spans="2:2" ht="13.15">
      <c r="B597" s="1"/>
    </row>
    <row r="598" spans="2:2" ht="13.15">
      <c r="B598" s="1"/>
    </row>
    <row r="599" spans="2:2" ht="13.15">
      <c r="B599" s="1"/>
    </row>
    <row r="600" spans="2:2" ht="13.15">
      <c r="B600" s="1"/>
    </row>
    <row r="601" spans="2:2" ht="13.15">
      <c r="B601" s="1"/>
    </row>
    <row r="602" spans="2:2" ht="13.15">
      <c r="B602" s="1"/>
    </row>
    <row r="603" spans="2:2" ht="13.15">
      <c r="B603" s="1"/>
    </row>
    <row r="604" spans="2:2" ht="13.15">
      <c r="B604" s="1"/>
    </row>
    <row r="605" spans="2:2" ht="13.15">
      <c r="B605" s="1"/>
    </row>
    <row r="606" spans="2:2" ht="13.15">
      <c r="B606" s="1"/>
    </row>
    <row r="607" spans="2:2" ht="13.15">
      <c r="B607" s="1"/>
    </row>
    <row r="608" spans="2:2" ht="13.15">
      <c r="B608" s="1"/>
    </row>
    <row r="609" spans="2:2" ht="13.15">
      <c r="B609" s="1"/>
    </row>
    <row r="610" spans="2:2" ht="13.15">
      <c r="B610" s="1"/>
    </row>
    <row r="611" spans="2:2" ht="13.15">
      <c r="B611" s="1"/>
    </row>
    <row r="612" spans="2:2" ht="13.15">
      <c r="B612" s="1"/>
    </row>
    <row r="613" spans="2:2" ht="13.15">
      <c r="B613" s="1"/>
    </row>
    <row r="614" spans="2:2" ht="13.15">
      <c r="B614" s="1"/>
    </row>
    <row r="615" spans="2:2" ht="13.15">
      <c r="B615" s="1"/>
    </row>
    <row r="616" spans="2:2" ht="13.15">
      <c r="B616" s="1"/>
    </row>
    <row r="617" spans="2:2" ht="13.15">
      <c r="B617" s="1"/>
    </row>
    <row r="618" spans="2:2" ht="13.15">
      <c r="B618" s="1"/>
    </row>
    <row r="619" spans="2:2" ht="13.15">
      <c r="B619" s="1"/>
    </row>
    <row r="620" spans="2:2" ht="13.15">
      <c r="B620" s="1"/>
    </row>
    <row r="621" spans="2:2" ht="13.15">
      <c r="B621" s="1"/>
    </row>
    <row r="622" spans="2:2" ht="13.15">
      <c r="B622" s="1"/>
    </row>
    <row r="623" spans="2:2" ht="13.15">
      <c r="B623" s="1"/>
    </row>
    <row r="624" spans="2:2" ht="13.15">
      <c r="B624" s="1"/>
    </row>
    <row r="625" spans="2:2" ht="13.15">
      <c r="B625" s="1"/>
    </row>
    <row r="626" spans="2:2" ht="13.15">
      <c r="B626" s="1"/>
    </row>
    <row r="627" spans="2:2" ht="13.15">
      <c r="B627" s="1"/>
    </row>
    <row r="628" spans="2:2" ht="13.15">
      <c r="B628" s="1"/>
    </row>
    <row r="629" spans="2:2" ht="13.15">
      <c r="B629" s="1"/>
    </row>
    <row r="630" spans="2:2" ht="13.15">
      <c r="B630" s="1"/>
    </row>
    <row r="631" spans="2:2" ht="13.15">
      <c r="B631" s="1"/>
    </row>
    <row r="632" spans="2:2" ht="13.15">
      <c r="B632" s="1"/>
    </row>
    <row r="633" spans="2:2" ht="13.15">
      <c r="B633" s="1"/>
    </row>
    <row r="634" spans="2:2" ht="13.15">
      <c r="B634" s="1"/>
    </row>
    <row r="635" spans="2:2" ht="13.15">
      <c r="B635" s="1"/>
    </row>
    <row r="636" spans="2:2" ht="13.15">
      <c r="B636" s="1"/>
    </row>
    <row r="637" spans="2:2" ht="13.15">
      <c r="B637" s="1"/>
    </row>
    <row r="638" spans="2:2" ht="13.15">
      <c r="B638" s="1"/>
    </row>
    <row r="639" spans="2:2" ht="13.15">
      <c r="B639" s="1"/>
    </row>
    <row r="640" spans="2:2" ht="13.15">
      <c r="B640" s="1"/>
    </row>
    <row r="641" spans="2:2" ht="13.15">
      <c r="B641" s="1"/>
    </row>
    <row r="642" spans="2:2" ht="13.15">
      <c r="B642" s="1"/>
    </row>
    <row r="643" spans="2:2" ht="13.15">
      <c r="B643" s="1"/>
    </row>
    <row r="644" spans="2:2" ht="13.15">
      <c r="B644" s="1"/>
    </row>
    <row r="645" spans="2:2" ht="13.15">
      <c r="B645" s="1"/>
    </row>
    <row r="646" spans="2:2" ht="13.15">
      <c r="B646" s="1"/>
    </row>
    <row r="647" spans="2:2" ht="13.15">
      <c r="B647" s="1"/>
    </row>
    <row r="648" spans="2:2" ht="13.15">
      <c r="B648" s="1"/>
    </row>
    <row r="649" spans="2:2" ht="13.15">
      <c r="B649" s="1"/>
    </row>
    <row r="650" spans="2:2" ht="13.15">
      <c r="B650" s="1"/>
    </row>
    <row r="651" spans="2:2" ht="13.15">
      <c r="B651" s="1"/>
    </row>
    <row r="652" spans="2:2" ht="13.15">
      <c r="B652" s="1"/>
    </row>
    <row r="653" spans="2:2" ht="13.15">
      <c r="B653" s="1"/>
    </row>
    <row r="654" spans="2:2" ht="13.15">
      <c r="B654" s="1"/>
    </row>
    <row r="655" spans="2:2" ht="13.15">
      <c r="B655" s="1"/>
    </row>
    <row r="656" spans="2:2" ht="13.15">
      <c r="B656" s="1"/>
    </row>
    <row r="657" spans="2:2" ht="13.15">
      <c r="B657" s="1"/>
    </row>
    <row r="658" spans="2:2" ht="13.15">
      <c r="B658" s="1"/>
    </row>
    <row r="659" spans="2:2" ht="13.15">
      <c r="B659" s="1"/>
    </row>
    <row r="660" spans="2:2" ht="13.15">
      <c r="B660" s="1"/>
    </row>
    <row r="661" spans="2:2" ht="13.15">
      <c r="B661" s="1"/>
    </row>
    <row r="662" spans="2:2" ht="13.15">
      <c r="B662" s="1"/>
    </row>
    <row r="663" spans="2:2" ht="13.15">
      <c r="B663" s="1"/>
    </row>
    <row r="664" spans="2:2" ht="13.15">
      <c r="B664" s="1"/>
    </row>
    <row r="665" spans="2:2" ht="13.15">
      <c r="B665" s="1"/>
    </row>
    <row r="666" spans="2:2" ht="13.15">
      <c r="B666" s="1"/>
    </row>
    <row r="667" spans="2:2" ht="13.15">
      <c r="B667" s="1"/>
    </row>
    <row r="668" spans="2:2" ht="13.15">
      <c r="B668" s="1"/>
    </row>
    <row r="669" spans="2:2" ht="13.15">
      <c r="B669" s="1"/>
    </row>
    <row r="670" spans="2:2" ht="13.15">
      <c r="B670" s="1"/>
    </row>
    <row r="671" spans="2:2" ht="13.15">
      <c r="B671" s="1"/>
    </row>
    <row r="672" spans="2:2" ht="13.15">
      <c r="B672" s="1"/>
    </row>
    <row r="673" spans="2:2" ht="13.15">
      <c r="B673" s="1"/>
    </row>
    <row r="674" spans="2:2" ht="13.15">
      <c r="B674" s="1"/>
    </row>
    <row r="675" spans="2:2" ht="13.15">
      <c r="B675" s="1"/>
    </row>
    <row r="676" spans="2:2" ht="13.15">
      <c r="B676" s="1"/>
    </row>
    <row r="677" spans="2:2" ht="13.15">
      <c r="B677" s="1"/>
    </row>
    <row r="678" spans="2:2" ht="13.15">
      <c r="B678" s="1"/>
    </row>
    <row r="679" spans="2:2" ht="13.15">
      <c r="B679" s="1"/>
    </row>
    <row r="680" spans="2:2" ht="13.15">
      <c r="B680" s="1"/>
    </row>
    <row r="681" spans="2:2" ht="13.15">
      <c r="B681" s="1"/>
    </row>
    <row r="682" spans="2:2" ht="13.15">
      <c r="B682" s="1"/>
    </row>
    <row r="683" spans="2:2" ht="13.15">
      <c r="B683" s="1"/>
    </row>
    <row r="684" spans="2:2" ht="13.15">
      <c r="B684" s="1"/>
    </row>
    <row r="685" spans="2:2" ht="13.15">
      <c r="B685" s="1"/>
    </row>
    <row r="686" spans="2:2" ht="13.15">
      <c r="B686" s="1"/>
    </row>
    <row r="687" spans="2:2" ht="13.15">
      <c r="B687" s="1"/>
    </row>
    <row r="688" spans="2:2" ht="13.15">
      <c r="B688" s="1"/>
    </row>
    <row r="689" spans="2:2" ht="13.15">
      <c r="B689" s="1"/>
    </row>
    <row r="690" spans="2:2" ht="13.15">
      <c r="B690" s="1"/>
    </row>
    <row r="691" spans="2:2" ht="13.15">
      <c r="B691" s="1"/>
    </row>
    <row r="692" spans="2:2" ht="13.15">
      <c r="B692" s="1"/>
    </row>
    <row r="693" spans="2:2" ht="13.15">
      <c r="B693" s="1"/>
    </row>
    <row r="694" spans="2:2" ht="13.15">
      <c r="B694" s="1"/>
    </row>
    <row r="695" spans="2:2" ht="13.15">
      <c r="B695" s="1"/>
    </row>
    <row r="696" spans="2:2" ht="13.15">
      <c r="B696" s="1"/>
    </row>
    <row r="697" spans="2:2" ht="13.15">
      <c r="B697" s="1"/>
    </row>
    <row r="698" spans="2:2" ht="13.15">
      <c r="B698" s="1"/>
    </row>
    <row r="699" spans="2:2" ht="13.15">
      <c r="B699" s="1"/>
    </row>
    <row r="700" spans="2:2" ht="13.15">
      <c r="B700" s="1"/>
    </row>
    <row r="701" spans="2:2" ht="13.15">
      <c r="B701" s="1"/>
    </row>
    <row r="702" spans="2:2" ht="13.15">
      <c r="B702" s="1"/>
    </row>
    <row r="703" spans="2:2" ht="13.15">
      <c r="B703" s="1"/>
    </row>
    <row r="704" spans="2:2" ht="13.15">
      <c r="B704" s="1"/>
    </row>
    <row r="705" spans="2:2" ht="13.15">
      <c r="B705" s="1"/>
    </row>
    <row r="706" spans="2:2" ht="13.15">
      <c r="B706" s="1"/>
    </row>
    <row r="707" spans="2:2" ht="13.15">
      <c r="B707" s="1"/>
    </row>
    <row r="708" spans="2:2" ht="13.15">
      <c r="B708" s="1"/>
    </row>
    <row r="709" spans="2:2" ht="13.15">
      <c r="B709" s="1"/>
    </row>
    <row r="710" spans="2:2" ht="13.15">
      <c r="B710" s="1"/>
    </row>
    <row r="711" spans="2:2" ht="13.15">
      <c r="B711" s="1"/>
    </row>
    <row r="712" spans="2:2" ht="13.15">
      <c r="B712" s="1"/>
    </row>
    <row r="713" spans="2:2" ht="13.15">
      <c r="B713" s="1"/>
    </row>
    <row r="714" spans="2:2" ht="13.15">
      <c r="B714" s="1"/>
    </row>
    <row r="715" spans="2:2" ht="13.15">
      <c r="B715" s="1"/>
    </row>
    <row r="716" spans="2:2" ht="13.15">
      <c r="B716" s="1"/>
    </row>
    <row r="717" spans="2:2" ht="13.15">
      <c r="B717" s="1"/>
    </row>
    <row r="718" spans="2:2" ht="13.15">
      <c r="B718" s="1"/>
    </row>
    <row r="719" spans="2:2" ht="13.15">
      <c r="B719" s="1"/>
    </row>
    <row r="720" spans="2:2" ht="13.15">
      <c r="B720" s="1"/>
    </row>
    <row r="721" spans="2:2" ht="13.15">
      <c r="B721" s="1"/>
    </row>
    <row r="722" spans="2:2" ht="13.15">
      <c r="B722" s="1"/>
    </row>
    <row r="723" spans="2:2" ht="13.15">
      <c r="B723" s="1"/>
    </row>
    <row r="724" spans="2:2" ht="13.15">
      <c r="B724" s="1"/>
    </row>
    <row r="725" spans="2:2" ht="13.15">
      <c r="B725" s="1"/>
    </row>
    <row r="726" spans="2:2" ht="13.15">
      <c r="B726" s="1"/>
    </row>
    <row r="727" spans="2:2" ht="13.15">
      <c r="B727" s="1"/>
    </row>
    <row r="728" spans="2:2" ht="13.15">
      <c r="B728" s="1"/>
    </row>
    <row r="729" spans="2:2" ht="13.15">
      <c r="B729" s="1"/>
    </row>
    <row r="730" spans="2:2" ht="13.15">
      <c r="B730" s="1"/>
    </row>
    <row r="731" spans="2:2" ht="13.15">
      <c r="B731" s="1"/>
    </row>
    <row r="732" spans="2:2" ht="13.15">
      <c r="B732" s="1"/>
    </row>
    <row r="733" spans="2:2" ht="13.15">
      <c r="B733" s="1"/>
    </row>
    <row r="734" spans="2:2" ht="13.15">
      <c r="B734" s="1"/>
    </row>
    <row r="735" spans="2:2" ht="13.15">
      <c r="B735" s="1"/>
    </row>
    <row r="736" spans="2:2" ht="13.15">
      <c r="B736" s="1"/>
    </row>
    <row r="737" spans="2:2" ht="13.15">
      <c r="B737" s="1"/>
    </row>
    <row r="738" spans="2:2" ht="13.15">
      <c r="B738" s="1"/>
    </row>
    <row r="739" spans="2:2" ht="13.15">
      <c r="B739" s="1"/>
    </row>
    <row r="740" spans="2:2" ht="13.15">
      <c r="B740" s="1"/>
    </row>
    <row r="741" spans="2:2" ht="13.15">
      <c r="B741" s="1"/>
    </row>
    <row r="742" spans="2:2" ht="13.15">
      <c r="B742" s="1"/>
    </row>
    <row r="743" spans="2:2" ht="13.15">
      <c r="B743" s="1"/>
    </row>
    <row r="744" spans="2:2" ht="13.15">
      <c r="B744" s="1"/>
    </row>
    <row r="745" spans="2:2" ht="13.15">
      <c r="B745" s="1"/>
    </row>
    <row r="746" spans="2:2" ht="13.15">
      <c r="B746" s="1"/>
    </row>
    <row r="747" spans="2:2" ht="13.15">
      <c r="B747" s="1"/>
    </row>
    <row r="748" spans="2:2" ht="13.15">
      <c r="B748" s="1"/>
    </row>
    <row r="749" spans="2:2" ht="13.15">
      <c r="B749" s="1"/>
    </row>
    <row r="750" spans="2:2" ht="13.15">
      <c r="B750" s="1"/>
    </row>
    <row r="751" spans="2:2" ht="13.15">
      <c r="B751" s="1"/>
    </row>
    <row r="752" spans="2:2" ht="13.15">
      <c r="B752" s="1"/>
    </row>
    <row r="753" spans="2:2" ht="13.15">
      <c r="B753" s="1"/>
    </row>
    <row r="754" spans="2:2" ht="13.15">
      <c r="B754" s="1"/>
    </row>
    <row r="755" spans="2:2" ht="13.15">
      <c r="B755" s="1"/>
    </row>
    <row r="756" spans="2:2" ht="13.15">
      <c r="B756" s="1"/>
    </row>
    <row r="757" spans="2:2" ht="13.15">
      <c r="B757" s="1"/>
    </row>
    <row r="758" spans="2:2" ht="13.15">
      <c r="B758" s="1"/>
    </row>
    <row r="759" spans="2:2" ht="13.15">
      <c r="B759" s="1"/>
    </row>
    <row r="760" spans="2:2" ht="13.15">
      <c r="B760" s="1"/>
    </row>
    <row r="761" spans="2:2" ht="13.15">
      <c r="B761" s="1"/>
    </row>
    <row r="762" spans="2:2" ht="13.15">
      <c r="B762" s="1"/>
    </row>
    <row r="763" spans="2:2" ht="13.15">
      <c r="B763" s="1"/>
    </row>
    <row r="764" spans="2:2" ht="13.15">
      <c r="B764" s="1"/>
    </row>
    <row r="765" spans="2:2" ht="13.15">
      <c r="B765" s="1"/>
    </row>
    <row r="766" spans="2:2" ht="13.15">
      <c r="B766" s="1"/>
    </row>
    <row r="767" spans="2:2" ht="13.15">
      <c r="B767" s="1"/>
    </row>
    <row r="768" spans="2:2" ht="13.15">
      <c r="B768" s="1"/>
    </row>
    <row r="769" spans="2:2" ht="13.15">
      <c r="B769" s="1"/>
    </row>
    <row r="770" spans="2:2" ht="13.15">
      <c r="B770" s="1"/>
    </row>
    <row r="771" spans="2:2" ht="13.15">
      <c r="B771" s="1"/>
    </row>
    <row r="772" spans="2:2" ht="13.15">
      <c r="B772" s="1"/>
    </row>
    <row r="773" spans="2:2" ht="13.15">
      <c r="B773" s="1"/>
    </row>
    <row r="774" spans="2:2" ht="13.15">
      <c r="B774" s="1"/>
    </row>
    <row r="775" spans="2:2" ht="13.15">
      <c r="B775" s="1"/>
    </row>
    <row r="776" spans="2:2" ht="13.15">
      <c r="B776" s="1"/>
    </row>
    <row r="777" spans="2:2" ht="13.15">
      <c r="B777" s="1"/>
    </row>
    <row r="778" spans="2:2" ht="13.15">
      <c r="B778" s="1"/>
    </row>
    <row r="779" spans="2:2" ht="13.15">
      <c r="B779" s="1"/>
    </row>
    <row r="780" spans="2:2" ht="13.15">
      <c r="B780" s="1"/>
    </row>
    <row r="781" spans="2:2" ht="13.15">
      <c r="B781" s="1"/>
    </row>
    <row r="782" spans="2:2" ht="13.15">
      <c r="B782" s="1"/>
    </row>
    <row r="783" spans="2:2" ht="13.15">
      <c r="B783" s="1"/>
    </row>
    <row r="784" spans="2:2" ht="13.15">
      <c r="B784" s="1"/>
    </row>
    <row r="785" spans="2:2" ht="13.15">
      <c r="B785" s="1"/>
    </row>
    <row r="786" spans="2:2" ht="13.15">
      <c r="B786" s="1"/>
    </row>
    <row r="787" spans="2:2" ht="13.15">
      <c r="B787" s="1"/>
    </row>
    <row r="788" spans="2:2" ht="13.15">
      <c r="B788" s="1"/>
    </row>
    <row r="789" spans="2:2" ht="13.15">
      <c r="B789" s="1"/>
    </row>
    <row r="790" spans="2:2" ht="13.15">
      <c r="B790" s="1"/>
    </row>
    <row r="791" spans="2:2" ht="13.15">
      <c r="B791" s="1"/>
    </row>
    <row r="792" spans="2:2" ht="13.15">
      <c r="B792" s="1"/>
    </row>
    <row r="793" spans="2:2" ht="13.15">
      <c r="B793" s="1"/>
    </row>
    <row r="794" spans="2:2" ht="13.15">
      <c r="B794" s="1"/>
    </row>
    <row r="795" spans="2:2" ht="13.15">
      <c r="B795" s="1"/>
    </row>
    <row r="796" spans="2:2" ht="13.15">
      <c r="B796" s="1"/>
    </row>
    <row r="797" spans="2:2" ht="13.15">
      <c r="B797" s="1"/>
    </row>
    <row r="798" spans="2:2" ht="13.15">
      <c r="B798" s="1"/>
    </row>
    <row r="799" spans="2:2" ht="13.15">
      <c r="B799" s="1"/>
    </row>
    <row r="800" spans="2:2" ht="13.15">
      <c r="B800" s="1"/>
    </row>
    <row r="801" spans="2:2" ht="13.15">
      <c r="B801" s="1"/>
    </row>
    <row r="802" spans="2:2" ht="13.15">
      <c r="B802" s="1"/>
    </row>
    <row r="803" spans="2:2" ht="13.15">
      <c r="B803" s="1"/>
    </row>
    <row r="804" spans="2:2" ht="13.15">
      <c r="B804" s="1"/>
    </row>
    <row r="805" spans="2:2" ht="13.15">
      <c r="B805" s="1"/>
    </row>
    <row r="806" spans="2:2" ht="13.15">
      <c r="B806" s="1"/>
    </row>
    <row r="807" spans="2:2" ht="13.15">
      <c r="B807" s="1"/>
    </row>
    <row r="808" spans="2:2" ht="13.15">
      <c r="B808" s="1"/>
    </row>
    <row r="809" spans="2:2" ht="13.15">
      <c r="B809" s="1"/>
    </row>
    <row r="810" spans="2:2" ht="13.15">
      <c r="B810" s="1"/>
    </row>
    <row r="811" spans="2:2" ht="13.15">
      <c r="B811" s="1"/>
    </row>
    <row r="812" spans="2:2" ht="13.15">
      <c r="B812" s="1"/>
    </row>
    <row r="813" spans="2:2" ht="13.15">
      <c r="B813" s="1"/>
    </row>
    <row r="814" spans="2:2" ht="13.15">
      <c r="B814" s="1"/>
    </row>
    <row r="815" spans="2:2" ht="13.15">
      <c r="B815" s="1"/>
    </row>
    <row r="816" spans="2:2" ht="13.15">
      <c r="B816" s="1"/>
    </row>
    <row r="817" spans="2:2" ht="13.15">
      <c r="B817" s="1"/>
    </row>
    <row r="818" spans="2:2" ht="13.15">
      <c r="B818" s="1"/>
    </row>
    <row r="819" spans="2:2" ht="13.15">
      <c r="B819" s="1"/>
    </row>
    <row r="820" spans="2:2" ht="13.15">
      <c r="B820" s="1"/>
    </row>
    <row r="821" spans="2:2" ht="13.15">
      <c r="B821" s="1"/>
    </row>
    <row r="822" spans="2:2" ht="13.15">
      <c r="B822" s="1"/>
    </row>
    <row r="823" spans="2:2" ht="13.15">
      <c r="B823" s="1"/>
    </row>
    <row r="824" spans="2:2" ht="13.15">
      <c r="B824" s="1"/>
    </row>
    <row r="825" spans="2:2" ht="13.15">
      <c r="B825" s="1"/>
    </row>
    <row r="826" spans="2:2" ht="13.15">
      <c r="B826" s="1"/>
    </row>
    <row r="827" spans="2:2" ht="13.15">
      <c r="B827" s="1"/>
    </row>
    <row r="828" spans="2:2" ht="13.15">
      <c r="B828" s="1"/>
    </row>
    <row r="829" spans="2:2" ht="13.15">
      <c r="B829" s="1"/>
    </row>
    <row r="830" spans="2:2" ht="13.15">
      <c r="B830" s="1"/>
    </row>
    <row r="831" spans="2:2" ht="13.15">
      <c r="B831" s="1"/>
    </row>
    <row r="832" spans="2:2" ht="13.15">
      <c r="B832" s="1"/>
    </row>
    <row r="833" spans="2:2" ht="13.15">
      <c r="B833" s="1"/>
    </row>
    <row r="834" spans="2:2" ht="13.15">
      <c r="B834" s="1"/>
    </row>
    <row r="835" spans="2:2" ht="13.15">
      <c r="B835" s="1"/>
    </row>
    <row r="836" spans="2:2" ht="13.15">
      <c r="B836" s="1"/>
    </row>
    <row r="837" spans="2:2" ht="13.15">
      <c r="B837" s="1"/>
    </row>
    <row r="838" spans="2:2" ht="13.15">
      <c r="B838" s="1"/>
    </row>
    <row r="839" spans="2:2" ht="13.15">
      <c r="B839" s="1"/>
    </row>
    <row r="840" spans="2:2" ht="13.15">
      <c r="B840" s="1"/>
    </row>
    <row r="841" spans="2:2" ht="13.15">
      <c r="B841" s="1"/>
    </row>
    <row r="842" spans="2:2" ht="13.15">
      <c r="B842" s="1"/>
    </row>
    <row r="843" spans="2:2" ht="13.15">
      <c r="B843" s="1"/>
    </row>
    <row r="844" spans="2:2" ht="13.15">
      <c r="B844" s="1"/>
    </row>
    <row r="845" spans="2:2" ht="13.15">
      <c r="B845" s="1"/>
    </row>
    <row r="846" spans="2:2" ht="13.15">
      <c r="B846" s="1"/>
    </row>
    <row r="847" spans="2:2" ht="13.15">
      <c r="B847" s="1"/>
    </row>
    <row r="848" spans="2:2" ht="13.15">
      <c r="B848" s="1"/>
    </row>
    <row r="849" spans="2:2" ht="13.15">
      <c r="B849" s="1"/>
    </row>
    <row r="850" spans="2:2" ht="13.15">
      <c r="B850" s="1"/>
    </row>
    <row r="851" spans="2:2" ht="13.15">
      <c r="B851" s="1"/>
    </row>
    <row r="852" spans="2:2" ht="13.15">
      <c r="B852" s="1"/>
    </row>
    <row r="853" spans="2:2" ht="13.15">
      <c r="B853" s="1"/>
    </row>
    <row r="854" spans="2:2" ht="13.15">
      <c r="B854" s="1"/>
    </row>
    <row r="855" spans="2:2" ht="13.15">
      <c r="B855" s="1"/>
    </row>
    <row r="856" spans="2:2" ht="13.15">
      <c r="B856" s="1"/>
    </row>
    <row r="857" spans="2:2" ht="13.15">
      <c r="B857" s="1"/>
    </row>
    <row r="858" spans="2:2" ht="13.15">
      <c r="B858" s="1"/>
    </row>
    <row r="859" spans="2:2" ht="13.15">
      <c r="B859" s="1"/>
    </row>
    <row r="860" spans="2:2" ht="13.15">
      <c r="B860" s="1"/>
    </row>
    <row r="861" spans="2:2" ht="13.15">
      <c r="B861" s="1"/>
    </row>
    <row r="862" spans="2:2" ht="13.15">
      <c r="B862" s="1"/>
    </row>
    <row r="863" spans="2:2" ht="13.15">
      <c r="B863" s="1"/>
    </row>
    <row r="864" spans="2:2" ht="13.15">
      <c r="B864" s="1"/>
    </row>
    <row r="865" spans="2:2" ht="13.15">
      <c r="B865" s="1"/>
    </row>
    <row r="866" spans="2:2" ht="13.15">
      <c r="B866" s="1"/>
    </row>
    <row r="867" spans="2:2" ht="13.15">
      <c r="B867" s="1"/>
    </row>
    <row r="868" spans="2:2" ht="13.15">
      <c r="B868" s="1"/>
    </row>
    <row r="869" spans="2:2" ht="13.15">
      <c r="B869" s="1"/>
    </row>
    <row r="870" spans="2:2" ht="13.15">
      <c r="B870" s="1"/>
    </row>
    <row r="871" spans="2:2" ht="13.15">
      <c r="B871" s="1"/>
    </row>
    <row r="872" spans="2:2" ht="13.15">
      <c r="B872" s="1"/>
    </row>
    <row r="873" spans="2:2" ht="13.15">
      <c r="B873" s="1"/>
    </row>
    <row r="874" spans="2:2" ht="13.15">
      <c r="B874" s="1"/>
    </row>
    <row r="875" spans="2:2" ht="13.15">
      <c r="B875" s="1"/>
    </row>
    <row r="876" spans="2:2" ht="13.15">
      <c r="B876" s="1"/>
    </row>
    <row r="877" spans="2:2" ht="13.15">
      <c r="B877" s="1"/>
    </row>
    <row r="878" spans="2:2" ht="13.15">
      <c r="B878" s="1"/>
    </row>
    <row r="879" spans="2:2" ht="13.15">
      <c r="B879" s="1"/>
    </row>
    <row r="880" spans="2:2" ht="13.15">
      <c r="B880" s="1"/>
    </row>
    <row r="881" spans="2:2" ht="13.15">
      <c r="B881" s="1"/>
    </row>
    <row r="882" spans="2:2" ht="13.15">
      <c r="B882" s="1"/>
    </row>
    <row r="883" spans="2:2" ht="13.15">
      <c r="B883" s="1"/>
    </row>
    <row r="884" spans="2:2" ht="13.15">
      <c r="B884" s="1"/>
    </row>
    <row r="885" spans="2:2" ht="13.15">
      <c r="B885" s="1"/>
    </row>
    <row r="886" spans="2:2" ht="13.15">
      <c r="B886" s="1"/>
    </row>
    <row r="887" spans="2:2" ht="13.15">
      <c r="B887" s="1"/>
    </row>
    <row r="888" spans="2:2" ht="13.15">
      <c r="B888" s="1"/>
    </row>
    <row r="889" spans="2:2" ht="13.15">
      <c r="B889" s="1"/>
    </row>
    <row r="890" spans="2:2" ht="13.15">
      <c r="B890" s="1"/>
    </row>
    <row r="891" spans="2:2" ht="13.15">
      <c r="B891" s="1"/>
    </row>
    <row r="892" spans="2:2" ht="13.15">
      <c r="B892" s="1"/>
    </row>
    <row r="893" spans="2:2" ht="13.15">
      <c r="B893" s="1"/>
    </row>
    <row r="894" spans="2:2" ht="13.15">
      <c r="B894" s="1"/>
    </row>
    <row r="895" spans="2:2" ht="13.15">
      <c r="B895" s="1"/>
    </row>
    <row r="896" spans="2:2" ht="13.15">
      <c r="B896" s="1"/>
    </row>
    <row r="897" spans="2:2" ht="13.15">
      <c r="B897" s="1"/>
    </row>
    <row r="898" spans="2:2" ht="13.15">
      <c r="B898" s="1"/>
    </row>
    <row r="899" spans="2:2" ht="13.15">
      <c r="B899" s="1"/>
    </row>
    <row r="900" spans="2:2" ht="13.15">
      <c r="B900" s="1"/>
    </row>
    <row r="901" spans="2:2" ht="13.15">
      <c r="B901" s="1"/>
    </row>
    <row r="902" spans="2:2" ht="13.15">
      <c r="B902" s="1"/>
    </row>
    <row r="903" spans="2:2" ht="13.15">
      <c r="B903" s="1"/>
    </row>
    <row r="904" spans="2:2" ht="13.15">
      <c r="B904" s="1"/>
    </row>
    <row r="905" spans="2:2" ht="13.15">
      <c r="B905" s="1"/>
    </row>
    <row r="906" spans="2:2" ht="13.15">
      <c r="B906" s="1"/>
    </row>
    <row r="907" spans="2:2" ht="13.15">
      <c r="B907" s="1"/>
    </row>
    <row r="908" spans="2:2" ht="13.15">
      <c r="B908" s="1"/>
    </row>
    <row r="909" spans="2:2" ht="13.15">
      <c r="B909" s="1"/>
    </row>
    <row r="910" spans="2:2" ht="13.15">
      <c r="B910" s="1"/>
    </row>
    <row r="911" spans="2:2" ht="13.15">
      <c r="B911" s="1"/>
    </row>
    <row r="912" spans="2:2" ht="13.15">
      <c r="B912" s="1"/>
    </row>
    <row r="913" spans="2:2" ht="13.15">
      <c r="B913" s="1"/>
    </row>
    <row r="914" spans="2:2" ht="13.15">
      <c r="B914" s="1"/>
    </row>
    <row r="915" spans="2:2" ht="13.15">
      <c r="B915" s="1"/>
    </row>
    <row r="916" spans="2:2" ht="13.15">
      <c r="B916" s="1"/>
    </row>
    <row r="917" spans="2:2" ht="13.15">
      <c r="B917" s="1"/>
    </row>
    <row r="918" spans="2:2" ht="13.15">
      <c r="B918" s="1"/>
    </row>
    <row r="919" spans="2:2" ht="13.15">
      <c r="B919" s="1"/>
    </row>
    <row r="920" spans="2:2" ht="13.15">
      <c r="B920" s="1"/>
    </row>
    <row r="921" spans="2:2" ht="13.15">
      <c r="B921" s="1"/>
    </row>
    <row r="922" spans="2:2" ht="13.15">
      <c r="B922" s="1"/>
    </row>
    <row r="923" spans="2:2" ht="13.15">
      <c r="B923" s="1"/>
    </row>
    <row r="924" spans="2:2" ht="13.15">
      <c r="B924" s="1"/>
    </row>
    <row r="925" spans="2:2" ht="13.15">
      <c r="B925" s="1"/>
    </row>
    <row r="926" spans="2:2" ht="13.15">
      <c r="B926" s="1"/>
    </row>
    <row r="927" spans="2:2" ht="13.15">
      <c r="B927" s="1"/>
    </row>
    <row r="928" spans="2:2" ht="13.15">
      <c r="B928" s="1"/>
    </row>
    <row r="929" spans="2:2" ht="13.15">
      <c r="B929" s="1"/>
    </row>
    <row r="930" spans="2:2" ht="13.15">
      <c r="B930" s="1"/>
    </row>
    <row r="931" spans="2:2" ht="13.15">
      <c r="B931" s="1"/>
    </row>
    <row r="932" spans="2:2" ht="13.15">
      <c r="B932" s="1"/>
    </row>
    <row r="933" spans="2:2" ht="13.15">
      <c r="B933" s="1"/>
    </row>
    <row r="934" spans="2:2" ht="13.15">
      <c r="B934" s="1"/>
    </row>
    <row r="935" spans="2:2" ht="13.15">
      <c r="B935" s="1"/>
    </row>
    <row r="936" spans="2:2" ht="13.15">
      <c r="B936" s="1"/>
    </row>
    <row r="937" spans="2:2" ht="13.15">
      <c r="B937" s="1"/>
    </row>
    <row r="938" spans="2:2" ht="13.15">
      <c r="B938" s="1"/>
    </row>
    <row r="939" spans="2:2" ht="13.15">
      <c r="B939" s="1"/>
    </row>
    <row r="940" spans="2:2" ht="13.15">
      <c r="B940" s="1"/>
    </row>
    <row r="941" spans="2:2" ht="13.15">
      <c r="B941" s="1"/>
    </row>
    <row r="942" spans="2:2" ht="13.15">
      <c r="B942" s="1"/>
    </row>
    <row r="943" spans="2:2" ht="13.15">
      <c r="B943" s="1"/>
    </row>
    <row r="944" spans="2:2" ht="13.15">
      <c r="B944" s="1"/>
    </row>
    <row r="945" spans="2:2" ht="13.15">
      <c r="B945" s="1"/>
    </row>
    <row r="946" spans="2:2" ht="13.15">
      <c r="B946" s="1"/>
    </row>
    <row r="947" spans="2:2" ht="13.15">
      <c r="B947" s="1"/>
    </row>
    <row r="948" spans="2:2" ht="13.15">
      <c r="B948" s="1"/>
    </row>
    <row r="949" spans="2:2" ht="13.15">
      <c r="B949" s="1"/>
    </row>
    <row r="950" spans="2:2" ht="13.15">
      <c r="B950" s="1"/>
    </row>
    <row r="951" spans="2:2" ht="13.15">
      <c r="B951" s="1"/>
    </row>
    <row r="952" spans="2:2" ht="13.15">
      <c r="B952" s="1"/>
    </row>
    <row r="953" spans="2:2" ht="13.15">
      <c r="B953" s="1"/>
    </row>
    <row r="954" spans="2:2" ht="13.15">
      <c r="B954" s="1"/>
    </row>
    <row r="955" spans="2:2" ht="13.15">
      <c r="B955" s="1"/>
    </row>
    <row r="956" spans="2:2" ht="13.15">
      <c r="B956" s="1"/>
    </row>
    <row r="957" spans="2:2" ht="13.15">
      <c r="B957" s="1"/>
    </row>
    <row r="958" spans="2:2" ht="13.15">
      <c r="B958" s="1"/>
    </row>
    <row r="959" spans="2:2" ht="13.15">
      <c r="B959" s="1"/>
    </row>
    <row r="960" spans="2:2" ht="13.15">
      <c r="B960" s="1"/>
    </row>
    <row r="961" spans="2:2" ht="13.15">
      <c r="B961" s="1"/>
    </row>
    <row r="962" spans="2:2" ht="13.15">
      <c r="B962" s="1"/>
    </row>
    <row r="963" spans="2:2" ht="13.15">
      <c r="B963" s="1"/>
    </row>
    <row r="964" spans="2:2" ht="13.15">
      <c r="B964" s="1"/>
    </row>
    <row r="965" spans="2:2" ht="13.15">
      <c r="B965" s="1"/>
    </row>
    <row r="966" spans="2:2" ht="13.15">
      <c r="B966" s="1"/>
    </row>
    <row r="967" spans="2:2" ht="13.15">
      <c r="B967" s="1"/>
    </row>
    <row r="968" spans="2:2" ht="13.15">
      <c r="B968" s="1"/>
    </row>
    <row r="969" spans="2:2" ht="13.15">
      <c r="B969" s="1"/>
    </row>
    <row r="970" spans="2:2" ht="13.15">
      <c r="B970" s="1"/>
    </row>
    <row r="971" spans="2:2" ht="13.15">
      <c r="B971" s="1"/>
    </row>
    <row r="972" spans="2:2" ht="13.15">
      <c r="B972" s="1"/>
    </row>
    <row r="973" spans="2:2" ht="13.15">
      <c r="B973" s="1"/>
    </row>
    <row r="974" spans="2:2" ht="13.15">
      <c r="B974" s="1"/>
    </row>
    <row r="975" spans="2:2" ht="13.15">
      <c r="B975" s="1"/>
    </row>
    <row r="976" spans="2:2" ht="13.15">
      <c r="B976" s="1"/>
    </row>
    <row r="977" spans="2:2" ht="13.15">
      <c r="B977" s="1"/>
    </row>
    <row r="978" spans="2:2" ht="13.15">
      <c r="B978" s="1"/>
    </row>
    <row r="979" spans="2:2" ht="13.15">
      <c r="B979" s="1"/>
    </row>
    <row r="980" spans="2:2" ht="13.15">
      <c r="B980" s="1"/>
    </row>
    <row r="981" spans="2:2" ht="13.15">
      <c r="B981" s="1"/>
    </row>
    <row r="982" spans="2:2" ht="13.15">
      <c r="B982" s="1"/>
    </row>
    <row r="983" spans="2:2" ht="13.15">
      <c r="B983" s="1"/>
    </row>
    <row r="984" spans="2:2" ht="13.15">
      <c r="B984" s="1"/>
    </row>
    <row r="985" spans="2:2" ht="13.15">
      <c r="B985" s="1"/>
    </row>
    <row r="986" spans="2:2" ht="13.15">
      <c r="B986" s="1"/>
    </row>
    <row r="987" spans="2:2" ht="13.15">
      <c r="B987" s="1"/>
    </row>
    <row r="988" spans="2:2" ht="13.15">
      <c r="B988" s="1"/>
    </row>
    <row r="989" spans="2:2" ht="13.15">
      <c r="B989" s="1"/>
    </row>
    <row r="990" spans="2:2" ht="13.15">
      <c r="B990" s="1"/>
    </row>
    <row r="991" spans="2:2" ht="13.15">
      <c r="B991" s="1"/>
    </row>
    <row r="992" spans="2:2" ht="13.15">
      <c r="B992" s="1"/>
    </row>
    <row r="993" spans="2:2" ht="13.15">
      <c r="B993" s="1"/>
    </row>
    <row r="994" spans="2:2" ht="13.15">
      <c r="B994" s="1"/>
    </row>
    <row r="995" spans="2:2" ht="13.15">
      <c r="B995" s="1"/>
    </row>
    <row r="996" spans="2:2" ht="13.15">
      <c r="B996" s="1"/>
    </row>
    <row r="997" spans="2:2" ht="13.15">
      <c r="B997" s="1"/>
    </row>
    <row r="998" spans="2:2" ht="13.15">
      <c r="B998" s="1"/>
    </row>
    <row r="999" spans="2:2" ht="13.15">
      <c r="B999" s="1"/>
    </row>
    <row r="1000" spans="2:2" ht="13.15">
      <c r="B1000" s="1"/>
    </row>
    <row r="1001" spans="2:2" ht="13.15">
      <c r="B1001" s="1"/>
    </row>
    <row r="1002" spans="2:2" ht="13.15">
      <c r="B1002" s="1"/>
    </row>
    <row r="1003" spans="2:2" ht="13.15">
      <c r="B1003" s="1"/>
    </row>
  </sheetData>
  <mergeCells count="12">
    <mergeCell ref="E25:G25"/>
    <mergeCell ref="B24:B26"/>
    <mergeCell ref="C24:C25"/>
    <mergeCell ref="B17:C17"/>
    <mergeCell ref="B22:B23"/>
    <mergeCell ref="C22:C23"/>
    <mergeCell ref="D22:G22"/>
    <mergeCell ref="B4:B5"/>
    <mergeCell ref="C4:C5"/>
    <mergeCell ref="D4:G4"/>
    <mergeCell ref="B8:B12"/>
    <mergeCell ref="B14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9E82-E6AA-46C5-B2EC-02E72223D26F}">
  <sheetPr>
    <tabColor rgb="FFFF0000"/>
  </sheetPr>
  <dimension ref="A1:W214"/>
  <sheetViews>
    <sheetView topLeftCell="N1" zoomScale="94" zoomScaleNormal="94" workbookViewId="0">
      <selection activeCell="P4" sqref="P4"/>
    </sheetView>
  </sheetViews>
  <sheetFormatPr defaultColWidth="8.85546875" defaultRowHeight="13.9"/>
  <cols>
    <col min="1" max="1" width="8.85546875" style="19" bestFit="1" customWidth="1"/>
    <col min="2" max="2" width="34.85546875" style="19" customWidth="1"/>
    <col min="3" max="3" width="8.85546875" style="49" customWidth="1"/>
    <col min="4" max="4" width="12.7109375" style="49" customWidth="1"/>
    <col min="5" max="12" width="15" style="19" customWidth="1"/>
    <col min="13" max="13" width="8.85546875" style="19" bestFit="1" customWidth="1"/>
    <col min="14" max="14" width="18" style="19" customWidth="1"/>
    <col min="15" max="15" width="15.5703125" style="19" customWidth="1"/>
    <col min="16" max="16" width="14" style="19" customWidth="1"/>
    <col min="17" max="16384" width="8.85546875" style="19"/>
  </cols>
  <sheetData>
    <row r="1" spans="1:23" ht="15.6">
      <c r="A1" s="243"/>
      <c r="B1" s="243" t="s">
        <v>60</v>
      </c>
      <c r="C1" s="245" t="s">
        <v>61</v>
      </c>
      <c r="D1" s="202"/>
      <c r="E1" s="248" t="s">
        <v>62</v>
      </c>
      <c r="F1" s="250" t="s">
        <v>62</v>
      </c>
      <c r="G1" s="241" t="s">
        <v>62</v>
      </c>
      <c r="H1" s="231" t="s">
        <v>62</v>
      </c>
      <c r="I1" s="233" t="s">
        <v>62</v>
      </c>
      <c r="J1" s="235" t="s">
        <v>62</v>
      </c>
      <c r="K1" s="237" t="s">
        <v>62</v>
      </c>
      <c r="L1" s="239" t="s">
        <v>62</v>
      </c>
    </row>
    <row r="2" spans="1:23" ht="15.6">
      <c r="A2" s="244"/>
      <c r="B2" s="244"/>
      <c r="C2" s="246"/>
      <c r="D2" s="203"/>
      <c r="E2" s="249"/>
      <c r="F2" s="251"/>
      <c r="G2" s="242"/>
      <c r="H2" s="232"/>
      <c r="I2" s="234"/>
      <c r="J2" s="236"/>
      <c r="K2" s="238"/>
      <c r="L2" s="240"/>
    </row>
    <row r="3" spans="1:23" ht="15.6">
      <c r="A3" s="20"/>
      <c r="B3" s="21"/>
      <c r="C3" s="247"/>
      <c r="D3" s="22"/>
      <c r="E3" s="23"/>
      <c r="F3" s="24"/>
      <c r="G3" s="25"/>
      <c r="H3" s="26"/>
      <c r="I3" s="27"/>
      <c r="J3" s="28"/>
      <c r="K3" s="29"/>
      <c r="L3" s="30"/>
      <c r="O3" s="181" t="s">
        <v>63</v>
      </c>
      <c r="P3" s="182" t="s">
        <v>64</v>
      </c>
      <c r="Q3" s="183"/>
      <c r="R3" s="183"/>
      <c r="S3" s="183"/>
      <c r="T3" s="183"/>
      <c r="U3" s="183"/>
      <c r="V3" s="183"/>
      <c r="W3" s="184"/>
    </row>
    <row r="4" spans="1:23">
      <c r="A4" s="31">
        <v>1</v>
      </c>
      <c r="B4" s="32" t="s">
        <v>65</v>
      </c>
      <c r="C4" s="33">
        <v>2011</v>
      </c>
      <c r="D4" s="33">
        <f t="shared" ref="D4:D67" si="0">2026-C4</f>
        <v>15</v>
      </c>
      <c r="E4" s="33">
        <v>3.64</v>
      </c>
      <c r="F4" s="33">
        <v>3.02</v>
      </c>
      <c r="G4" s="33">
        <v>2.98</v>
      </c>
      <c r="H4" s="33">
        <v>3.02</v>
      </c>
      <c r="I4" s="33">
        <v>3.14</v>
      </c>
      <c r="J4" s="33">
        <v>3.13</v>
      </c>
      <c r="K4" s="33">
        <v>2.9</v>
      </c>
      <c r="L4" s="33">
        <v>2.93</v>
      </c>
      <c r="M4" s="34">
        <f>AVERAGE(E4:L4)</f>
        <v>3.0949999999999998</v>
      </c>
      <c r="O4" s="185">
        <v>5</v>
      </c>
      <c r="P4" s="191">
        <f>AVERAGE('EXECUTIVE SUMMARY (2)'!H6,'EXECUTIVE SUMMARY (2)'!H10,'EXECUTIVE SUMMARY (2)'!H18,'EXECUTIVE SUMMARY (2)'!H22,'EXECUTIVE SUMMARY (2)'!O6,'EXECUTIVE SUMMARY (2)'!O14,'EXECUTIVE SUMMARY (2)'!O20)</f>
        <v>4</v>
      </c>
      <c r="Q4" s="34"/>
      <c r="W4" s="186"/>
    </row>
    <row r="5" spans="1:23">
      <c r="A5" s="31">
        <v>2</v>
      </c>
      <c r="B5" s="32" t="s">
        <v>66</v>
      </c>
      <c r="C5" s="33">
        <v>1985</v>
      </c>
      <c r="D5" s="33">
        <f t="shared" si="0"/>
        <v>41</v>
      </c>
      <c r="E5" s="33">
        <v>4</v>
      </c>
      <c r="F5" s="33">
        <v>2.95</v>
      </c>
      <c r="G5" s="33">
        <v>3</v>
      </c>
      <c r="H5" s="33">
        <v>2.98</v>
      </c>
      <c r="I5" s="33">
        <v>3</v>
      </c>
      <c r="J5" s="33">
        <v>3.36</v>
      </c>
      <c r="K5" s="33">
        <v>3</v>
      </c>
      <c r="L5" s="33">
        <v>3.26</v>
      </c>
      <c r="M5" s="34">
        <f t="shared" ref="M5:M68" si="1">AVERAGE(E5:L5)</f>
        <v>3.1937499999999996</v>
      </c>
      <c r="O5" s="187"/>
      <c r="W5" s="186"/>
    </row>
    <row r="6" spans="1:23">
      <c r="A6" s="31">
        <v>3</v>
      </c>
      <c r="B6" s="32" t="s">
        <v>67</v>
      </c>
      <c r="C6" s="33">
        <v>1986</v>
      </c>
      <c r="D6" s="33">
        <f t="shared" si="0"/>
        <v>40</v>
      </c>
      <c r="E6" s="33">
        <v>3.78</v>
      </c>
      <c r="F6" s="33">
        <v>2.4900000000000002</v>
      </c>
      <c r="G6" s="33">
        <v>2.84</v>
      </c>
      <c r="H6" s="33">
        <v>2.54</v>
      </c>
      <c r="I6" s="33">
        <v>3</v>
      </c>
      <c r="J6" s="33">
        <v>2.81</v>
      </c>
      <c r="K6" s="33">
        <v>3</v>
      </c>
      <c r="L6" s="33">
        <v>2.9</v>
      </c>
      <c r="M6" s="34">
        <f t="shared" si="1"/>
        <v>2.9199999999999995</v>
      </c>
      <c r="O6" s="187"/>
      <c r="W6" s="186"/>
    </row>
    <row r="7" spans="1:23">
      <c r="A7" s="35">
        <v>4</v>
      </c>
      <c r="B7" s="36" t="s">
        <v>68</v>
      </c>
      <c r="C7" s="37">
        <v>2013</v>
      </c>
      <c r="D7" s="33">
        <f t="shared" si="0"/>
        <v>13</v>
      </c>
      <c r="E7" s="37">
        <v>3.57</v>
      </c>
      <c r="F7" s="37">
        <v>2.96</v>
      </c>
      <c r="G7" s="37">
        <v>2.99</v>
      </c>
      <c r="H7" s="37">
        <v>2.85</v>
      </c>
      <c r="I7" s="37">
        <v>3.36</v>
      </c>
      <c r="J7" s="37">
        <v>3.12</v>
      </c>
      <c r="K7" s="37">
        <v>2.81</v>
      </c>
      <c r="L7" s="37">
        <v>3.37</v>
      </c>
      <c r="M7" s="34">
        <f t="shared" si="1"/>
        <v>3.1287499999999997</v>
      </c>
      <c r="O7" s="187"/>
      <c r="W7" s="186"/>
    </row>
    <row r="8" spans="1:23">
      <c r="A8" s="31">
        <v>5</v>
      </c>
      <c r="B8" s="32" t="s">
        <v>69</v>
      </c>
      <c r="C8" s="33">
        <v>2013</v>
      </c>
      <c r="D8" s="33">
        <f t="shared" si="0"/>
        <v>13</v>
      </c>
      <c r="E8" s="33">
        <v>4</v>
      </c>
      <c r="F8" s="33">
        <v>2.94</v>
      </c>
      <c r="G8" s="33">
        <v>3</v>
      </c>
      <c r="H8" s="33">
        <v>2.96</v>
      </c>
      <c r="I8" s="33">
        <v>3</v>
      </c>
      <c r="J8" s="33">
        <v>3.32</v>
      </c>
      <c r="K8" s="33">
        <v>2.97</v>
      </c>
      <c r="L8" s="33">
        <v>3.26</v>
      </c>
      <c r="M8" s="34">
        <f t="shared" si="1"/>
        <v>3.1812499999999995</v>
      </c>
      <c r="O8" s="187"/>
      <c r="W8" s="186"/>
    </row>
    <row r="9" spans="1:23">
      <c r="A9" s="31">
        <v>6</v>
      </c>
      <c r="B9" s="32" t="s">
        <v>70</v>
      </c>
      <c r="C9" s="33">
        <v>2013</v>
      </c>
      <c r="D9" s="33">
        <f t="shared" si="0"/>
        <v>13</v>
      </c>
      <c r="E9" s="33">
        <v>3.14</v>
      </c>
      <c r="F9" s="33">
        <v>3.04</v>
      </c>
      <c r="G9" s="33">
        <v>3</v>
      </c>
      <c r="H9" s="33">
        <v>3.07</v>
      </c>
      <c r="I9" s="33">
        <v>3.25</v>
      </c>
      <c r="J9" s="33">
        <v>3.15</v>
      </c>
      <c r="K9" s="33">
        <v>2.92</v>
      </c>
      <c r="L9" s="33">
        <v>3.2</v>
      </c>
      <c r="M9" s="34">
        <f t="shared" si="1"/>
        <v>3.0962499999999999</v>
      </c>
      <c r="O9" s="187"/>
      <c r="W9" s="186"/>
    </row>
    <row r="10" spans="1:23">
      <c r="A10" s="35">
        <v>7</v>
      </c>
      <c r="B10" s="36" t="s">
        <v>71</v>
      </c>
      <c r="C10" s="38">
        <v>1981</v>
      </c>
      <c r="D10" s="33">
        <f t="shared" si="0"/>
        <v>45</v>
      </c>
      <c r="E10" s="37">
        <v>3.07</v>
      </c>
      <c r="F10" s="37">
        <v>2.5299999999999998</v>
      </c>
      <c r="G10" s="37">
        <v>2.82</v>
      </c>
      <c r="H10" s="37">
        <v>2.7</v>
      </c>
      <c r="I10" s="37">
        <v>2.8</v>
      </c>
      <c r="J10" s="37">
        <v>2.91</v>
      </c>
      <c r="K10" s="37">
        <v>2.68</v>
      </c>
      <c r="L10" s="37">
        <v>2.44</v>
      </c>
      <c r="M10" s="34">
        <f t="shared" si="1"/>
        <v>2.7437500000000004</v>
      </c>
      <c r="O10" s="187"/>
      <c r="W10" s="186"/>
    </row>
    <row r="11" spans="1:23">
      <c r="A11" s="35">
        <v>8</v>
      </c>
      <c r="B11" s="36" t="s">
        <v>72</v>
      </c>
      <c r="C11" s="38">
        <v>1986</v>
      </c>
      <c r="D11" s="33">
        <f t="shared" si="0"/>
        <v>40</v>
      </c>
      <c r="E11" s="37">
        <v>3.57</v>
      </c>
      <c r="F11" s="37">
        <v>2.67</v>
      </c>
      <c r="G11" s="37">
        <v>2.84</v>
      </c>
      <c r="H11" s="37">
        <v>2.92</v>
      </c>
      <c r="I11" s="37">
        <v>2.8</v>
      </c>
      <c r="J11" s="37">
        <v>2.89</v>
      </c>
      <c r="K11" s="37">
        <v>2.85</v>
      </c>
      <c r="L11" s="37">
        <v>2.94</v>
      </c>
      <c r="M11" s="34">
        <f t="shared" si="1"/>
        <v>2.9350000000000005</v>
      </c>
      <c r="O11" s="187"/>
      <c r="W11" s="186"/>
    </row>
    <row r="12" spans="1:23">
      <c r="A12" s="31">
        <v>9</v>
      </c>
      <c r="B12" s="32" t="s">
        <v>73</v>
      </c>
      <c r="C12" s="39">
        <v>1991</v>
      </c>
      <c r="D12" s="33">
        <f t="shared" si="0"/>
        <v>35</v>
      </c>
      <c r="E12" s="33">
        <v>2.93</v>
      </c>
      <c r="F12" s="33">
        <v>3</v>
      </c>
      <c r="G12" s="33">
        <v>2.58</v>
      </c>
      <c r="H12" s="33">
        <v>2.57</v>
      </c>
      <c r="I12" s="33">
        <v>2.3199999999999998</v>
      </c>
      <c r="J12" s="37">
        <v>2.96</v>
      </c>
      <c r="K12" s="33">
        <v>2.95</v>
      </c>
      <c r="L12" s="33">
        <v>3</v>
      </c>
      <c r="M12" s="34">
        <f t="shared" si="1"/>
        <v>2.7887499999999998</v>
      </c>
      <c r="O12" s="187"/>
      <c r="W12" s="186"/>
    </row>
    <row r="13" spans="1:23">
      <c r="A13" s="31">
        <v>10</v>
      </c>
      <c r="B13" s="32" t="s">
        <v>74</v>
      </c>
      <c r="C13" s="33">
        <v>2019</v>
      </c>
      <c r="D13" s="33">
        <f t="shared" si="0"/>
        <v>7</v>
      </c>
      <c r="E13" s="33">
        <v>3</v>
      </c>
      <c r="F13" s="33">
        <v>3</v>
      </c>
      <c r="G13" s="33">
        <v>3</v>
      </c>
      <c r="H13" s="33">
        <v>3</v>
      </c>
      <c r="I13" s="33">
        <v>3</v>
      </c>
      <c r="J13" s="33">
        <v>3</v>
      </c>
      <c r="K13" s="33">
        <v>3.12</v>
      </c>
      <c r="L13" s="33">
        <v>3</v>
      </c>
      <c r="M13" s="34">
        <f t="shared" si="1"/>
        <v>3.0150000000000001</v>
      </c>
      <c r="O13" s="187"/>
      <c r="W13" s="186"/>
    </row>
    <row r="14" spans="1:23">
      <c r="A14" s="31">
        <v>11</v>
      </c>
      <c r="B14" s="32" t="s">
        <v>75</v>
      </c>
      <c r="C14" s="40">
        <v>1992</v>
      </c>
      <c r="D14" s="33">
        <f t="shared" si="0"/>
        <v>34</v>
      </c>
      <c r="E14" s="33">
        <v>3</v>
      </c>
      <c r="F14" s="33">
        <v>2.67</v>
      </c>
      <c r="G14" s="33">
        <v>2.4700000000000002</v>
      </c>
      <c r="H14" s="33">
        <v>2.42</v>
      </c>
      <c r="I14" s="33">
        <v>2.9</v>
      </c>
      <c r="J14" s="37">
        <v>2.5299999999999998</v>
      </c>
      <c r="K14" s="33">
        <v>2.38</v>
      </c>
      <c r="L14" s="33">
        <v>2.83</v>
      </c>
      <c r="M14" s="34">
        <f t="shared" si="1"/>
        <v>2.6500000000000004</v>
      </c>
      <c r="O14" s="187"/>
      <c r="W14" s="186"/>
    </row>
    <row r="15" spans="1:23">
      <c r="A15" s="31">
        <v>12</v>
      </c>
      <c r="B15" s="32" t="s">
        <v>76</v>
      </c>
      <c r="C15" s="40">
        <v>1992</v>
      </c>
      <c r="D15" s="33">
        <f t="shared" si="0"/>
        <v>34</v>
      </c>
      <c r="E15" s="33">
        <v>2.71</v>
      </c>
      <c r="F15" s="33">
        <v>2.96</v>
      </c>
      <c r="G15" s="33">
        <v>2.94</v>
      </c>
      <c r="H15" s="33">
        <v>2.72</v>
      </c>
      <c r="I15" s="33">
        <v>2.75</v>
      </c>
      <c r="J15" s="33">
        <v>2.83</v>
      </c>
      <c r="K15" s="33">
        <v>2.27</v>
      </c>
      <c r="L15" s="33">
        <v>2.85</v>
      </c>
      <c r="M15" s="34">
        <f t="shared" si="1"/>
        <v>2.7537500000000001</v>
      </c>
      <c r="O15" s="187"/>
      <c r="W15" s="186"/>
    </row>
    <row r="16" spans="1:23">
      <c r="A16" s="31">
        <v>13</v>
      </c>
      <c r="B16" s="32" t="s">
        <v>77</v>
      </c>
      <c r="C16" s="41">
        <v>2010</v>
      </c>
      <c r="D16" s="33">
        <f t="shared" si="0"/>
        <v>16</v>
      </c>
      <c r="E16" s="33">
        <v>3.14</v>
      </c>
      <c r="F16" s="33">
        <v>2.5299999999999998</v>
      </c>
      <c r="G16" s="33">
        <v>2.68</v>
      </c>
      <c r="H16" s="33">
        <v>2.5099999999999998</v>
      </c>
      <c r="I16" s="33">
        <v>2.75</v>
      </c>
      <c r="J16" s="37">
        <v>3.04</v>
      </c>
      <c r="K16" s="33">
        <v>2.17</v>
      </c>
      <c r="L16" s="33">
        <v>2.8</v>
      </c>
      <c r="M16" s="34">
        <f t="shared" si="1"/>
        <v>2.7025000000000001</v>
      </c>
      <c r="O16" s="187"/>
      <c r="W16" s="186"/>
    </row>
    <row r="17" spans="1:23">
      <c r="A17" s="31">
        <v>14</v>
      </c>
      <c r="B17" s="32" t="s">
        <v>78</v>
      </c>
      <c r="C17" s="33">
        <v>2002</v>
      </c>
      <c r="D17" s="33">
        <f t="shared" si="0"/>
        <v>24</v>
      </c>
      <c r="E17" s="33">
        <v>3.07</v>
      </c>
      <c r="F17" s="33">
        <v>2.88</v>
      </c>
      <c r="G17" s="33">
        <v>2.86</v>
      </c>
      <c r="H17" s="33">
        <v>2.88</v>
      </c>
      <c r="I17" s="33">
        <v>2.95</v>
      </c>
      <c r="J17" s="37">
        <v>2.99</v>
      </c>
      <c r="K17" s="33">
        <v>3</v>
      </c>
      <c r="L17" s="33">
        <v>2.97</v>
      </c>
      <c r="M17" s="34">
        <f t="shared" si="1"/>
        <v>2.9499999999999993</v>
      </c>
      <c r="O17" s="187"/>
      <c r="W17" s="186"/>
    </row>
    <row r="18" spans="1:23">
      <c r="A18" s="31">
        <v>15</v>
      </c>
      <c r="B18" s="32" t="s">
        <v>79</v>
      </c>
      <c r="C18" s="33">
        <v>2002</v>
      </c>
      <c r="D18" s="33">
        <f t="shared" si="0"/>
        <v>24</v>
      </c>
      <c r="E18" s="33">
        <v>2.69</v>
      </c>
      <c r="F18" s="33">
        <v>3</v>
      </c>
      <c r="G18" s="33">
        <v>3</v>
      </c>
      <c r="H18" s="33">
        <v>2.86</v>
      </c>
      <c r="I18" s="33">
        <v>3</v>
      </c>
      <c r="J18" s="37">
        <v>2.97</v>
      </c>
      <c r="K18" s="33">
        <v>3</v>
      </c>
      <c r="L18" s="33">
        <v>2.72</v>
      </c>
      <c r="M18" s="34">
        <f t="shared" si="1"/>
        <v>2.9049999999999998</v>
      </c>
      <c r="O18" s="187"/>
      <c r="W18" s="186"/>
    </row>
    <row r="19" spans="1:23">
      <c r="A19" s="31">
        <v>16</v>
      </c>
      <c r="B19" s="32" t="s">
        <v>80</v>
      </c>
      <c r="C19" s="33">
        <v>2020</v>
      </c>
      <c r="D19" s="33">
        <f t="shared" si="0"/>
        <v>6</v>
      </c>
      <c r="E19" s="33">
        <v>3.46</v>
      </c>
      <c r="F19" s="33">
        <v>2.79</v>
      </c>
      <c r="G19" s="33">
        <v>2.91</v>
      </c>
      <c r="H19" s="33">
        <v>2.87</v>
      </c>
      <c r="I19" s="33">
        <v>3</v>
      </c>
      <c r="J19" s="33">
        <v>3</v>
      </c>
      <c r="K19" s="33">
        <v>3</v>
      </c>
      <c r="L19" s="33">
        <v>3</v>
      </c>
      <c r="M19" s="34">
        <f t="shared" si="1"/>
        <v>3.0037500000000001</v>
      </c>
      <c r="O19" s="187"/>
      <c r="W19" s="186"/>
    </row>
    <row r="20" spans="1:23">
      <c r="A20" s="31">
        <v>17</v>
      </c>
      <c r="B20" s="32" t="s">
        <v>81</v>
      </c>
      <c r="C20" s="33">
        <v>2003</v>
      </c>
      <c r="D20" s="33">
        <f t="shared" si="0"/>
        <v>23</v>
      </c>
      <c r="E20" s="33">
        <v>3.5</v>
      </c>
      <c r="F20" s="33">
        <v>2.0499999999999998</v>
      </c>
      <c r="G20" s="33">
        <v>2.59</v>
      </c>
      <c r="H20" s="33">
        <v>2.71</v>
      </c>
      <c r="I20" s="33">
        <v>2.93</v>
      </c>
      <c r="J20" s="33">
        <v>2.29</v>
      </c>
      <c r="K20" s="33">
        <v>2.41</v>
      </c>
      <c r="L20" s="33">
        <v>2.41</v>
      </c>
      <c r="M20" s="34">
        <f t="shared" si="1"/>
        <v>2.6112500000000001</v>
      </c>
      <c r="O20" s="187"/>
      <c r="W20" s="186"/>
    </row>
    <row r="21" spans="1:23">
      <c r="A21" s="31">
        <v>18</v>
      </c>
      <c r="B21" s="32" t="s">
        <v>82</v>
      </c>
      <c r="C21" s="33">
        <v>2019</v>
      </c>
      <c r="D21" s="33">
        <f t="shared" si="0"/>
        <v>7</v>
      </c>
      <c r="E21" s="33">
        <v>2.77</v>
      </c>
      <c r="F21" s="33">
        <v>2.52</v>
      </c>
      <c r="G21" s="33">
        <v>2.93</v>
      </c>
      <c r="H21" s="33">
        <v>2.82</v>
      </c>
      <c r="I21" s="33">
        <v>3</v>
      </c>
      <c r="J21" s="33">
        <v>3</v>
      </c>
      <c r="K21" s="33">
        <v>3</v>
      </c>
      <c r="L21" s="33">
        <v>3.19</v>
      </c>
      <c r="M21" s="34">
        <f t="shared" si="1"/>
        <v>2.9037500000000001</v>
      </c>
      <c r="O21" s="187"/>
      <c r="W21" s="186"/>
    </row>
    <row r="22" spans="1:23">
      <c r="A22" s="31">
        <v>19</v>
      </c>
      <c r="B22" s="32" t="s">
        <v>83</v>
      </c>
      <c r="C22" s="33">
        <v>2015</v>
      </c>
      <c r="D22" s="33">
        <f t="shared" si="0"/>
        <v>11</v>
      </c>
      <c r="E22" s="33">
        <v>3.5</v>
      </c>
      <c r="F22" s="33">
        <v>2.79</v>
      </c>
      <c r="G22" s="33">
        <v>3</v>
      </c>
      <c r="H22" s="33">
        <v>3</v>
      </c>
      <c r="I22" s="33">
        <v>3</v>
      </c>
      <c r="J22" s="33">
        <v>3</v>
      </c>
      <c r="K22" s="33">
        <v>2.95</v>
      </c>
      <c r="L22" s="33">
        <v>3</v>
      </c>
      <c r="M22" s="34">
        <f t="shared" si="1"/>
        <v>3.03</v>
      </c>
      <c r="O22" s="187"/>
      <c r="W22" s="186"/>
    </row>
    <row r="23" spans="1:23">
      <c r="A23" s="31">
        <v>20</v>
      </c>
      <c r="B23" s="32" t="s">
        <v>84</v>
      </c>
      <c r="C23" s="33">
        <v>2004</v>
      </c>
      <c r="D23" s="33">
        <f t="shared" si="0"/>
        <v>22</v>
      </c>
      <c r="E23" s="33">
        <v>3.5</v>
      </c>
      <c r="F23" s="33">
        <v>2.48</v>
      </c>
      <c r="G23" s="33">
        <v>2.8</v>
      </c>
      <c r="H23" s="33">
        <v>2.68</v>
      </c>
      <c r="I23" s="33">
        <v>2.71</v>
      </c>
      <c r="J23" s="33">
        <v>2.92</v>
      </c>
      <c r="K23" s="33">
        <v>3</v>
      </c>
      <c r="L23" s="33">
        <v>3</v>
      </c>
      <c r="M23" s="34">
        <f t="shared" si="1"/>
        <v>2.8862500000000004</v>
      </c>
      <c r="O23" s="187"/>
      <c r="W23" s="186"/>
    </row>
    <row r="24" spans="1:23">
      <c r="A24" s="31">
        <v>21</v>
      </c>
      <c r="B24" s="32" t="s">
        <v>85</v>
      </c>
      <c r="C24" s="33">
        <v>2020</v>
      </c>
      <c r="D24" s="33">
        <f t="shared" si="0"/>
        <v>6</v>
      </c>
      <c r="E24" s="33">
        <v>3.71</v>
      </c>
      <c r="F24" s="33">
        <v>3.02</v>
      </c>
      <c r="G24" s="33">
        <v>2.97</v>
      </c>
      <c r="H24" s="33">
        <v>2.85</v>
      </c>
      <c r="I24" s="33">
        <v>3</v>
      </c>
      <c r="J24" s="33">
        <v>3</v>
      </c>
      <c r="K24" s="33">
        <v>3</v>
      </c>
      <c r="L24" s="33">
        <v>3</v>
      </c>
      <c r="M24" s="34">
        <f t="shared" si="1"/>
        <v>3.0687500000000001</v>
      </c>
      <c r="O24" s="188"/>
      <c r="P24" s="189"/>
      <c r="Q24" s="189"/>
      <c r="R24" s="189"/>
      <c r="S24" s="189"/>
      <c r="T24" s="189"/>
      <c r="U24" s="189"/>
      <c r="V24" s="189"/>
      <c r="W24" s="190"/>
    </row>
    <row r="25" spans="1:23">
      <c r="A25" s="31">
        <v>22</v>
      </c>
      <c r="B25" s="32" t="s">
        <v>86</v>
      </c>
      <c r="C25" s="33">
        <v>2019</v>
      </c>
      <c r="D25" s="33">
        <f t="shared" si="0"/>
        <v>7</v>
      </c>
      <c r="E25" s="33">
        <v>3.71</v>
      </c>
      <c r="F25" s="33">
        <v>3.02</v>
      </c>
      <c r="G25" s="33">
        <v>2.97</v>
      </c>
      <c r="H25" s="33">
        <v>3</v>
      </c>
      <c r="I25" s="33">
        <v>3</v>
      </c>
      <c r="J25" s="33">
        <v>3</v>
      </c>
      <c r="K25" s="33">
        <v>3</v>
      </c>
      <c r="L25" s="33">
        <v>3</v>
      </c>
      <c r="M25" s="34">
        <f t="shared" si="1"/>
        <v>3.0875000000000004</v>
      </c>
    </row>
    <row r="26" spans="1:23" ht="14.45" thickBot="1">
      <c r="A26" s="31">
        <v>23</v>
      </c>
      <c r="B26" s="32" t="s">
        <v>87</v>
      </c>
      <c r="C26" s="40">
        <v>2012</v>
      </c>
      <c r="D26" s="33">
        <f t="shared" si="0"/>
        <v>14</v>
      </c>
      <c r="E26" s="33">
        <v>2.93</v>
      </c>
      <c r="F26" s="33">
        <v>3.14</v>
      </c>
      <c r="G26" s="33">
        <v>2.97</v>
      </c>
      <c r="H26" s="33">
        <v>2.96</v>
      </c>
      <c r="I26" s="33">
        <v>3</v>
      </c>
      <c r="J26" s="33">
        <v>2.95</v>
      </c>
      <c r="K26" s="33">
        <v>2.98</v>
      </c>
      <c r="L26" s="33">
        <v>3</v>
      </c>
      <c r="M26" s="34">
        <f t="shared" si="1"/>
        <v>2.99125</v>
      </c>
    </row>
    <row r="27" spans="1:23" ht="14.45" thickBot="1">
      <c r="A27" s="31">
        <v>24</v>
      </c>
      <c r="B27" s="32" t="s">
        <v>88</v>
      </c>
      <c r="C27" s="33">
        <v>2004</v>
      </c>
      <c r="D27" s="33">
        <f t="shared" si="0"/>
        <v>22</v>
      </c>
      <c r="E27" s="33">
        <v>2.71</v>
      </c>
      <c r="F27" s="33">
        <v>3.08</v>
      </c>
      <c r="G27" s="33">
        <v>2.94</v>
      </c>
      <c r="H27" s="33">
        <v>2.89</v>
      </c>
      <c r="I27" s="33">
        <v>2.83</v>
      </c>
      <c r="J27" s="33">
        <v>2.89</v>
      </c>
      <c r="K27" s="33">
        <v>3.1</v>
      </c>
      <c r="L27" s="33">
        <v>3</v>
      </c>
      <c r="M27" s="34">
        <f t="shared" si="1"/>
        <v>2.93</v>
      </c>
    </row>
    <row r="28" spans="1:23" ht="14.45" thickBot="1">
      <c r="A28" s="31">
        <v>25</v>
      </c>
      <c r="B28" s="32" t="s">
        <v>89</v>
      </c>
      <c r="C28" s="33">
        <v>1991</v>
      </c>
      <c r="D28" s="33">
        <f t="shared" si="0"/>
        <v>35</v>
      </c>
      <c r="E28" s="33">
        <v>3</v>
      </c>
      <c r="F28" s="33">
        <v>3.19</v>
      </c>
      <c r="G28" s="33">
        <v>2.88</v>
      </c>
      <c r="H28" s="33">
        <v>2.92</v>
      </c>
      <c r="I28" s="33">
        <v>2.83</v>
      </c>
      <c r="J28" s="33">
        <v>2.88</v>
      </c>
      <c r="K28" s="33">
        <v>2.98</v>
      </c>
      <c r="L28" s="33">
        <v>3</v>
      </c>
      <c r="M28" s="34">
        <f t="shared" si="1"/>
        <v>2.96</v>
      </c>
    </row>
    <row r="29" spans="1:23" ht="14.45" thickBot="1">
      <c r="A29" s="31">
        <v>26</v>
      </c>
      <c r="B29" s="32" t="s">
        <v>90</v>
      </c>
      <c r="C29" s="33">
        <v>2007</v>
      </c>
      <c r="D29" s="33">
        <f t="shared" si="0"/>
        <v>19</v>
      </c>
      <c r="E29" s="33">
        <v>2.64</v>
      </c>
      <c r="F29" s="33">
        <v>3.31</v>
      </c>
      <c r="G29" s="33">
        <v>2.93</v>
      </c>
      <c r="H29" s="33">
        <v>3.01</v>
      </c>
      <c r="I29" s="33">
        <v>2.94</v>
      </c>
      <c r="J29" s="33">
        <v>2.96</v>
      </c>
      <c r="K29" s="33">
        <v>3</v>
      </c>
      <c r="L29" s="33">
        <v>3</v>
      </c>
      <c r="M29" s="34">
        <f t="shared" si="1"/>
        <v>2.9737499999999999</v>
      </c>
    </row>
    <row r="30" spans="1:23" ht="14.45" thickBot="1">
      <c r="A30" s="31">
        <v>27</v>
      </c>
      <c r="B30" s="32" t="s">
        <v>91</v>
      </c>
      <c r="C30" s="33">
        <v>2010</v>
      </c>
      <c r="D30" s="33">
        <f t="shared" si="0"/>
        <v>16</v>
      </c>
      <c r="E30" s="33">
        <v>3.14</v>
      </c>
      <c r="F30" s="33">
        <v>3.22</v>
      </c>
      <c r="G30" s="33">
        <v>2.98</v>
      </c>
      <c r="H30" s="33">
        <v>3.03</v>
      </c>
      <c r="I30" s="33">
        <v>2.88</v>
      </c>
      <c r="J30" s="33">
        <v>2.94</v>
      </c>
      <c r="K30" s="33">
        <v>2.98</v>
      </c>
      <c r="L30" s="33">
        <v>3</v>
      </c>
      <c r="M30" s="34">
        <f t="shared" si="1"/>
        <v>3.0212500000000002</v>
      </c>
    </row>
    <row r="31" spans="1:23" ht="14.45" thickBot="1">
      <c r="A31" s="31">
        <v>28</v>
      </c>
      <c r="B31" s="32" t="s">
        <v>92</v>
      </c>
      <c r="C31" s="40">
        <v>2014</v>
      </c>
      <c r="D31" s="33">
        <f t="shared" si="0"/>
        <v>12</v>
      </c>
      <c r="E31" s="33">
        <v>2.64</v>
      </c>
      <c r="F31" s="33">
        <v>3.14</v>
      </c>
      <c r="G31" s="33">
        <v>2.93</v>
      </c>
      <c r="H31" s="33">
        <v>2.75</v>
      </c>
      <c r="I31" s="33">
        <v>2.81</v>
      </c>
      <c r="J31" s="33">
        <v>2.99</v>
      </c>
      <c r="K31" s="33">
        <v>2.98</v>
      </c>
      <c r="L31" s="33">
        <v>3</v>
      </c>
      <c r="M31" s="34">
        <f t="shared" si="1"/>
        <v>2.9050000000000002</v>
      </c>
    </row>
    <row r="32" spans="1:23" ht="14.45" thickBot="1">
      <c r="A32" s="31">
        <v>29</v>
      </c>
      <c r="B32" s="32" t="s">
        <v>93</v>
      </c>
      <c r="C32" s="40">
        <v>2006</v>
      </c>
      <c r="D32" s="33">
        <f t="shared" si="0"/>
        <v>20</v>
      </c>
      <c r="E32" s="33">
        <v>2.93</v>
      </c>
      <c r="F32" s="33">
        <v>2.79</v>
      </c>
      <c r="G32" s="33">
        <v>2.34</v>
      </c>
      <c r="H32" s="33">
        <v>2.21</v>
      </c>
      <c r="I32" s="33">
        <v>2.4</v>
      </c>
      <c r="J32" s="33">
        <v>2.8</v>
      </c>
      <c r="K32" s="33">
        <v>2.95</v>
      </c>
      <c r="L32" s="33">
        <v>2.79</v>
      </c>
      <c r="M32" s="34">
        <f t="shared" si="1"/>
        <v>2.6512499999999997</v>
      </c>
    </row>
    <row r="33" spans="1:13" ht="14.45" thickBot="1">
      <c r="A33" s="31">
        <v>30</v>
      </c>
      <c r="B33" s="32" t="s">
        <v>94</v>
      </c>
      <c r="C33" s="33">
        <v>2011</v>
      </c>
      <c r="D33" s="33">
        <f t="shared" si="0"/>
        <v>15</v>
      </c>
      <c r="E33" s="33">
        <v>3.29</v>
      </c>
      <c r="F33" s="33">
        <v>2.21</v>
      </c>
      <c r="G33" s="33">
        <v>2.23</v>
      </c>
      <c r="H33" s="33">
        <v>2.15</v>
      </c>
      <c r="I33" s="33">
        <v>2.35</v>
      </c>
      <c r="J33" s="33">
        <v>2.88</v>
      </c>
      <c r="K33" s="33">
        <v>2.97</v>
      </c>
      <c r="L33" s="33">
        <v>2.71</v>
      </c>
      <c r="M33" s="34">
        <f t="shared" si="1"/>
        <v>2.5987499999999999</v>
      </c>
    </row>
    <row r="34" spans="1:13" ht="14.45" thickBot="1">
      <c r="A34" s="31">
        <v>31</v>
      </c>
      <c r="B34" s="32" t="s">
        <v>95</v>
      </c>
      <c r="C34" s="40">
        <v>2011</v>
      </c>
      <c r="D34" s="33">
        <f t="shared" si="0"/>
        <v>15</v>
      </c>
      <c r="E34" s="33">
        <v>3.71</v>
      </c>
      <c r="F34" s="33">
        <v>2.79</v>
      </c>
      <c r="G34" s="33">
        <v>2.71</v>
      </c>
      <c r="H34" s="33">
        <v>2.4900000000000002</v>
      </c>
      <c r="I34" s="33">
        <v>2.75</v>
      </c>
      <c r="J34" s="33">
        <v>2.77</v>
      </c>
      <c r="K34" s="33">
        <v>2.78</v>
      </c>
      <c r="L34" s="33">
        <v>2.78</v>
      </c>
      <c r="M34" s="34">
        <f t="shared" si="1"/>
        <v>2.8475000000000006</v>
      </c>
    </row>
    <row r="35" spans="1:13" ht="14.45" thickBot="1">
      <c r="A35" s="31">
        <v>32</v>
      </c>
      <c r="B35" s="32" t="s">
        <v>96</v>
      </c>
      <c r="C35" s="33">
        <v>2003</v>
      </c>
      <c r="D35" s="33">
        <f t="shared" si="0"/>
        <v>23</v>
      </c>
      <c r="E35" s="33">
        <v>3.07</v>
      </c>
      <c r="F35" s="33">
        <v>1.94</v>
      </c>
      <c r="G35" s="33">
        <v>2.83</v>
      </c>
      <c r="H35" s="33">
        <v>2.57</v>
      </c>
      <c r="I35" s="33">
        <v>2.81</v>
      </c>
      <c r="J35" s="33">
        <v>3</v>
      </c>
      <c r="K35" s="33">
        <v>2.66</v>
      </c>
      <c r="L35" s="33">
        <v>3</v>
      </c>
      <c r="M35" s="34">
        <f t="shared" si="1"/>
        <v>2.7349999999999999</v>
      </c>
    </row>
    <row r="36" spans="1:13" ht="14.45" thickBot="1">
      <c r="A36" s="31">
        <v>33</v>
      </c>
      <c r="B36" s="32" t="s">
        <v>97</v>
      </c>
      <c r="C36" s="33">
        <v>2013</v>
      </c>
      <c r="D36" s="33">
        <f t="shared" si="0"/>
        <v>13</v>
      </c>
      <c r="E36" s="33">
        <v>3.57</v>
      </c>
      <c r="F36" s="33">
        <v>2.88</v>
      </c>
      <c r="G36" s="33">
        <v>2.93</v>
      </c>
      <c r="H36" s="33">
        <v>2.87</v>
      </c>
      <c r="I36" s="33">
        <v>2.83</v>
      </c>
      <c r="J36" s="33">
        <v>3</v>
      </c>
      <c r="K36" s="33">
        <v>3</v>
      </c>
      <c r="L36" s="33">
        <v>3</v>
      </c>
      <c r="M36" s="34">
        <f t="shared" si="1"/>
        <v>3.01</v>
      </c>
    </row>
    <row r="37" spans="1:13" ht="14.45" thickBot="1">
      <c r="A37" s="31">
        <v>34</v>
      </c>
      <c r="B37" s="32" t="s">
        <v>98</v>
      </c>
      <c r="C37" s="33">
        <v>1980</v>
      </c>
      <c r="D37" s="33">
        <f t="shared" si="0"/>
        <v>46</v>
      </c>
      <c r="E37" s="33">
        <v>3.07</v>
      </c>
      <c r="F37" s="33">
        <v>2.59</v>
      </c>
      <c r="G37" s="33">
        <v>2.84</v>
      </c>
      <c r="H37" s="33">
        <v>2.84</v>
      </c>
      <c r="I37" s="33">
        <v>2.75</v>
      </c>
      <c r="J37" s="33">
        <v>2.89</v>
      </c>
      <c r="K37" s="33">
        <v>2.9</v>
      </c>
      <c r="L37" s="33">
        <v>2.87</v>
      </c>
      <c r="M37" s="34">
        <f t="shared" si="1"/>
        <v>2.84375</v>
      </c>
    </row>
    <row r="38" spans="1:13" ht="14.45" thickBot="1">
      <c r="A38" s="31">
        <v>35</v>
      </c>
      <c r="B38" s="32" t="s">
        <v>99</v>
      </c>
      <c r="C38" s="33">
        <v>1992</v>
      </c>
      <c r="D38" s="33">
        <f t="shared" si="0"/>
        <v>34</v>
      </c>
      <c r="E38" s="33">
        <v>3.43</v>
      </c>
      <c r="F38" s="33">
        <v>2.17</v>
      </c>
      <c r="G38" s="33">
        <v>2.36</v>
      </c>
      <c r="H38" s="33">
        <v>2.15</v>
      </c>
      <c r="I38" s="33">
        <v>2.25</v>
      </c>
      <c r="J38" s="33">
        <v>2.87</v>
      </c>
      <c r="K38" s="33">
        <v>2.73</v>
      </c>
      <c r="L38" s="33">
        <v>2.64</v>
      </c>
      <c r="M38" s="34">
        <f t="shared" si="1"/>
        <v>2.5750000000000002</v>
      </c>
    </row>
    <row r="39" spans="1:13" ht="14.45" thickBot="1">
      <c r="A39" s="31">
        <v>36</v>
      </c>
      <c r="B39" s="32" t="s">
        <v>100</v>
      </c>
      <c r="C39" s="38">
        <v>1981</v>
      </c>
      <c r="D39" s="33">
        <f t="shared" si="0"/>
        <v>45</v>
      </c>
      <c r="E39" s="33">
        <v>3.5</v>
      </c>
      <c r="F39" s="33">
        <v>2.13</v>
      </c>
      <c r="G39" s="33">
        <v>2.38</v>
      </c>
      <c r="H39" s="33">
        <v>2.11</v>
      </c>
      <c r="I39" s="33">
        <v>2.13</v>
      </c>
      <c r="J39" s="33">
        <v>2.73</v>
      </c>
      <c r="K39" s="33">
        <v>2.77</v>
      </c>
      <c r="L39" s="33">
        <v>2.74</v>
      </c>
      <c r="M39" s="34">
        <f t="shared" si="1"/>
        <v>2.5612500000000002</v>
      </c>
    </row>
    <row r="40" spans="1:13" ht="14.45" thickBot="1">
      <c r="A40" s="31">
        <v>37</v>
      </c>
      <c r="B40" s="32" t="s">
        <v>101</v>
      </c>
      <c r="C40" s="33">
        <v>2009</v>
      </c>
      <c r="D40" s="33">
        <f t="shared" si="0"/>
        <v>17</v>
      </c>
      <c r="E40" s="33">
        <v>2.64</v>
      </c>
      <c r="F40" s="33">
        <v>2.2999999999999998</v>
      </c>
      <c r="G40" s="33">
        <v>2.1800000000000002</v>
      </c>
      <c r="H40" s="33">
        <v>2.11</v>
      </c>
      <c r="I40" s="33">
        <v>2.1</v>
      </c>
      <c r="J40" s="33">
        <v>2.88</v>
      </c>
      <c r="K40" s="33">
        <v>2.9</v>
      </c>
      <c r="L40" s="33">
        <v>2.71</v>
      </c>
      <c r="M40" s="34">
        <f t="shared" si="1"/>
        <v>2.4774999999999996</v>
      </c>
    </row>
    <row r="41" spans="1:13" ht="14.45" thickBot="1">
      <c r="A41" s="31">
        <v>38</v>
      </c>
      <c r="B41" s="32" t="s">
        <v>102</v>
      </c>
      <c r="C41" s="33">
        <v>2004</v>
      </c>
      <c r="D41" s="33">
        <f t="shared" si="0"/>
        <v>22</v>
      </c>
      <c r="E41" s="33">
        <v>2.93</v>
      </c>
      <c r="F41" s="33">
        <v>2.64</v>
      </c>
      <c r="G41" s="33">
        <v>2.63</v>
      </c>
      <c r="H41" s="33">
        <v>2.17</v>
      </c>
      <c r="I41" s="33">
        <v>2.4</v>
      </c>
      <c r="J41" s="33">
        <v>2.94</v>
      </c>
      <c r="K41" s="33">
        <v>2.97</v>
      </c>
      <c r="L41" s="33">
        <v>2.82</v>
      </c>
      <c r="M41" s="34">
        <f t="shared" si="1"/>
        <v>2.6875</v>
      </c>
    </row>
    <row r="42" spans="1:13" ht="14.45" thickBot="1">
      <c r="A42" s="31">
        <v>39</v>
      </c>
      <c r="B42" s="32" t="s">
        <v>103</v>
      </c>
      <c r="C42" s="33">
        <v>2020</v>
      </c>
      <c r="D42" s="33">
        <f t="shared" si="0"/>
        <v>6</v>
      </c>
      <c r="E42" s="33">
        <v>2.93</v>
      </c>
      <c r="F42" s="33">
        <v>3</v>
      </c>
      <c r="G42" s="33">
        <v>2.97</v>
      </c>
      <c r="H42" s="33">
        <v>2.94</v>
      </c>
      <c r="I42" s="33">
        <v>2.9</v>
      </c>
      <c r="J42" s="33">
        <v>3</v>
      </c>
      <c r="K42" s="33">
        <v>3</v>
      </c>
      <c r="L42" s="33">
        <v>3</v>
      </c>
      <c r="M42" s="34">
        <f t="shared" si="1"/>
        <v>2.9675000000000002</v>
      </c>
    </row>
    <row r="43" spans="1:13" ht="14.45" thickBot="1">
      <c r="A43" s="31">
        <v>40</v>
      </c>
      <c r="B43" s="32" t="s">
        <v>104</v>
      </c>
      <c r="C43" s="33">
        <v>2023</v>
      </c>
      <c r="D43" s="33">
        <f t="shared" si="0"/>
        <v>3</v>
      </c>
      <c r="E43" s="33">
        <v>3.07</v>
      </c>
      <c r="F43" s="33">
        <v>2.58</v>
      </c>
      <c r="G43" s="33">
        <v>2.96</v>
      </c>
      <c r="H43" s="33">
        <v>3</v>
      </c>
      <c r="I43" s="33">
        <v>2.5</v>
      </c>
      <c r="J43" s="33">
        <v>2.83</v>
      </c>
      <c r="K43" s="33">
        <v>2.92</v>
      </c>
      <c r="L43" s="33">
        <v>2.85</v>
      </c>
      <c r="M43" s="34">
        <f t="shared" si="1"/>
        <v>2.8387500000000001</v>
      </c>
    </row>
    <row r="44" spans="1:13" ht="14.45" thickBot="1">
      <c r="A44" s="31">
        <v>41</v>
      </c>
      <c r="B44" s="32" t="s">
        <v>105</v>
      </c>
      <c r="C44" s="33">
        <v>1995</v>
      </c>
      <c r="D44" s="33">
        <f t="shared" si="0"/>
        <v>31</v>
      </c>
      <c r="E44" s="33">
        <v>2.79</v>
      </c>
      <c r="F44" s="33">
        <v>2.58</v>
      </c>
      <c r="G44" s="33">
        <v>2.95</v>
      </c>
      <c r="H44" s="33">
        <v>2.8</v>
      </c>
      <c r="I44" s="33">
        <v>2.75</v>
      </c>
      <c r="J44" s="33">
        <v>3</v>
      </c>
      <c r="K44" s="33">
        <v>2.72</v>
      </c>
      <c r="L44" s="33">
        <v>3</v>
      </c>
      <c r="M44" s="34">
        <f t="shared" si="1"/>
        <v>2.82375</v>
      </c>
    </row>
    <row r="45" spans="1:13" ht="14.45" thickBot="1">
      <c r="A45" s="31">
        <v>42</v>
      </c>
      <c r="B45" s="32" t="s">
        <v>106</v>
      </c>
      <c r="C45" s="33">
        <v>1992</v>
      </c>
      <c r="D45" s="33">
        <f t="shared" si="0"/>
        <v>34</v>
      </c>
      <c r="E45" s="33">
        <v>3.21</v>
      </c>
      <c r="F45" s="33">
        <v>2.88</v>
      </c>
      <c r="G45" s="33">
        <v>2.94</v>
      </c>
      <c r="H45" s="33">
        <v>2.78</v>
      </c>
      <c r="I45" s="33">
        <v>2.92</v>
      </c>
      <c r="J45" s="33">
        <v>3</v>
      </c>
      <c r="K45" s="33">
        <v>3</v>
      </c>
      <c r="L45" s="33">
        <v>3</v>
      </c>
      <c r="M45" s="34">
        <f t="shared" si="1"/>
        <v>2.9662499999999996</v>
      </c>
    </row>
    <row r="46" spans="1:13" ht="14.45" thickBot="1">
      <c r="A46" s="31">
        <v>43</v>
      </c>
      <c r="B46" s="32" t="s">
        <v>107</v>
      </c>
      <c r="C46" s="33">
        <v>1996</v>
      </c>
      <c r="D46" s="33">
        <f t="shared" si="0"/>
        <v>30</v>
      </c>
      <c r="E46" s="33">
        <v>3.21</v>
      </c>
      <c r="F46" s="33">
        <v>2.09</v>
      </c>
      <c r="G46" s="33">
        <v>2.4</v>
      </c>
      <c r="H46" s="33">
        <v>2.12</v>
      </c>
      <c r="I46" s="33">
        <v>2.1</v>
      </c>
      <c r="J46" s="33">
        <v>2.81</v>
      </c>
      <c r="K46" s="33">
        <v>2.9</v>
      </c>
      <c r="L46" s="33">
        <v>2.68</v>
      </c>
      <c r="M46" s="34">
        <f t="shared" si="1"/>
        <v>2.5387499999999998</v>
      </c>
    </row>
    <row r="47" spans="1:13" ht="14.45" thickBot="1">
      <c r="A47" s="31">
        <v>44</v>
      </c>
      <c r="B47" s="32" t="s">
        <v>108</v>
      </c>
      <c r="C47" s="40">
        <v>1992</v>
      </c>
      <c r="D47" s="33">
        <f t="shared" si="0"/>
        <v>34</v>
      </c>
      <c r="E47" s="33">
        <v>3.71</v>
      </c>
      <c r="F47" s="33">
        <v>2.85</v>
      </c>
      <c r="G47" s="33">
        <v>2.98</v>
      </c>
      <c r="H47" s="33">
        <v>2.87</v>
      </c>
      <c r="I47" s="33">
        <v>3</v>
      </c>
      <c r="J47" s="33">
        <v>3</v>
      </c>
      <c r="K47" s="33">
        <v>2.76</v>
      </c>
      <c r="L47" s="33">
        <v>3</v>
      </c>
      <c r="M47" s="34">
        <f t="shared" si="1"/>
        <v>3.0212500000000002</v>
      </c>
    </row>
    <row r="48" spans="1:13" ht="14.45" thickBot="1">
      <c r="A48" s="31">
        <v>45</v>
      </c>
      <c r="B48" s="32" t="s">
        <v>109</v>
      </c>
      <c r="C48" s="33">
        <v>2008</v>
      </c>
      <c r="D48" s="33">
        <f t="shared" si="0"/>
        <v>18</v>
      </c>
      <c r="E48" s="33">
        <v>3.36</v>
      </c>
      <c r="F48" s="33">
        <v>2.94</v>
      </c>
      <c r="G48" s="33">
        <v>2.97</v>
      </c>
      <c r="H48" s="33">
        <v>2.97</v>
      </c>
      <c r="I48" s="33">
        <v>3</v>
      </c>
      <c r="J48" s="33">
        <v>2.91</v>
      </c>
      <c r="K48" s="33">
        <v>2.83</v>
      </c>
      <c r="L48" s="33">
        <v>2.93</v>
      </c>
      <c r="M48" s="34">
        <f t="shared" si="1"/>
        <v>2.9887499999999996</v>
      </c>
    </row>
    <row r="49" spans="1:13" ht="14.45" thickBot="1">
      <c r="A49" s="31">
        <v>46</v>
      </c>
      <c r="B49" s="32" t="s">
        <v>110</v>
      </c>
      <c r="C49" s="33">
        <v>2015</v>
      </c>
      <c r="D49" s="33">
        <f t="shared" si="0"/>
        <v>11</v>
      </c>
      <c r="E49" s="33">
        <v>3.21</v>
      </c>
      <c r="F49" s="33">
        <v>3</v>
      </c>
      <c r="G49" s="33">
        <v>3</v>
      </c>
      <c r="H49" s="33">
        <v>2.94</v>
      </c>
      <c r="I49" s="33">
        <v>2.9</v>
      </c>
      <c r="J49" s="33">
        <v>2.96</v>
      </c>
      <c r="K49" s="33">
        <v>2.95</v>
      </c>
      <c r="L49" s="33">
        <v>2.93</v>
      </c>
      <c r="M49" s="34">
        <f t="shared" si="1"/>
        <v>2.9862500000000001</v>
      </c>
    </row>
    <row r="50" spans="1:13" ht="14.45" thickBot="1">
      <c r="A50" s="31">
        <v>47</v>
      </c>
      <c r="B50" s="32" t="s">
        <v>111</v>
      </c>
      <c r="C50" s="33">
        <v>1997</v>
      </c>
      <c r="D50" s="33">
        <f t="shared" si="0"/>
        <v>29</v>
      </c>
      <c r="E50" s="33">
        <v>2.71</v>
      </c>
      <c r="F50" s="33">
        <v>2.73</v>
      </c>
      <c r="G50" s="33">
        <v>2.96</v>
      </c>
      <c r="H50" s="33">
        <v>2.76</v>
      </c>
      <c r="I50" s="33">
        <v>3</v>
      </c>
      <c r="J50" s="33">
        <v>2.82</v>
      </c>
      <c r="K50" s="33">
        <v>2.81</v>
      </c>
      <c r="L50" s="33">
        <v>3.24</v>
      </c>
      <c r="M50" s="34">
        <f t="shared" si="1"/>
        <v>2.8787499999999993</v>
      </c>
    </row>
    <row r="51" spans="1:13" ht="14.45" thickBot="1">
      <c r="A51" s="31">
        <v>48</v>
      </c>
      <c r="B51" s="32" t="s">
        <v>112</v>
      </c>
      <c r="C51" s="33">
        <v>1991</v>
      </c>
      <c r="D51" s="33">
        <f t="shared" si="0"/>
        <v>35</v>
      </c>
      <c r="E51" s="33">
        <v>2.93</v>
      </c>
      <c r="F51" s="33">
        <v>2.5499999999999998</v>
      </c>
      <c r="G51" s="33">
        <v>2.73</v>
      </c>
      <c r="H51" s="33">
        <v>2.82</v>
      </c>
      <c r="I51" s="33">
        <v>2.75</v>
      </c>
      <c r="J51" s="33">
        <v>2.66</v>
      </c>
      <c r="K51" s="33">
        <v>2.76</v>
      </c>
      <c r="L51" s="33">
        <v>3.02</v>
      </c>
      <c r="M51" s="34">
        <f t="shared" si="1"/>
        <v>2.7775000000000003</v>
      </c>
    </row>
    <row r="52" spans="1:13" ht="14.45" thickBot="1">
      <c r="A52" s="31">
        <v>49</v>
      </c>
      <c r="B52" s="32" t="s">
        <v>113</v>
      </c>
      <c r="C52" s="40">
        <v>1991</v>
      </c>
      <c r="D52" s="33">
        <f t="shared" si="0"/>
        <v>35</v>
      </c>
      <c r="E52" s="33">
        <v>3.07</v>
      </c>
      <c r="F52" s="33">
        <v>2</v>
      </c>
      <c r="G52" s="33">
        <v>2.82</v>
      </c>
      <c r="H52" s="33">
        <v>2.66</v>
      </c>
      <c r="I52" s="33">
        <v>2.63</v>
      </c>
      <c r="J52" s="33">
        <v>2.4900000000000002</v>
      </c>
      <c r="K52" s="33">
        <v>2.84</v>
      </c>
      <c r="L52" s="33">
        <v>3.1</v>
      </c>
      <c r="M52" s="34">
        <f t="shared" si="1"/>
        <v>2.7012499999999999</v>
      </c>
    </row>
    <row r="53" spans="1:13" ht="14.45" thickBot="1">
      <c r="A53" s="31">
        <v>50</v>
      </c>
      <c r="B53" s="32" t="s">
        <v>114</v>
      </c>
      <c r="C53" s="33">
        <v>2010</v>
      </c>
      <c r="D53" s="33">
        <f t="shared" si="0"/>
        <v>16</v>
      </c>
      <c r="E53" s="33">
        <v>3.64</v>
      </c>
      <c r="F53" s="33">
        <v>3</v>
      </c>
      <c r="G53" s="33">
        <v>2.98</v>
      </c>
      <c r="H53" s="33">
        <v>3</v>
      </c>
      <c r="I53" s="33">
        <v>3</v>
      </c>
      <c r="J53" s="33">
        <v>3</v>
      </c>
      <c r="K53" s="33">
        <v>2.91</v>
      </c>
      <c r="L53" s="33">
        <v>3.21</v>
      </c>
      <c r="M53" s="34">
        <f t="shared" si="1"/>
        <v>3.0925000000000002</v>
      </c>
    </row>
    <row r="54" spans="1:13" ht="14.45" thickBot="1">
      <c r="A54" s="31">
        <v>51</v>
      </c>
      <c r="B54" s="32" t="s">
        <v>115</v>
      </c>
      <c r="C54" s="33">
        <v>2023</v>
      </c>
      <c r="D54" s="33">
        <f t="shared" si="0"/>
        <v>3</v>
      </c>
      <c r="E54" s="33">
        <v>3.21</v>
      </c>
      <c r="F54" s="33">
        <v>2.39</v>
      </c>
      <c r="G54" s="33">
        <v>2.71</v>
      </c>
      <c r="H54" s="33">
        <v>2.68</v>
      </c>
      <c r="I54" s="33">
        <v>2.81</v>
      </c>
      <c r="J54" s="33">
        <v>2.85</v>
      </c>
      <c r="K54" s="33">
        <v>3</v>
      </c>
      <c r="L54" s="33">
        <v>2.88</v>
      </c>
      <c r="M54" s="34">
        <f t="shared" si="1"/>
        <v>2.8162499999999997</v>
      </c>
    </row>
    <row r="55" spans="1:13" ht="14.45" thickBot="1">
      <c r="A55" s="31">
        <v>52</v>
      </c>
      <c r="B55" s="32" t="s">
        <v>116</v>
      </c>
      <c r="C55" s="33">
        <v>2008</v>
      </c>
      <c r="D55" s="33">
        <f t="shared" si="0"/>
        <v>18</v>
      </c>
      <c r="E55" s="33">
        <v>3.14</v>
      </c>
      <c r="F55" s="33">
        <v>2.09</v>
      </c>
      <c r="G55" s="33">
        <v>2.86</v>
      </c>
      <c r="H55" s="33">
        <v>2.08</v>
      </c>
      <c r="I55" s="33">
        <v>2</v>
      </c>
      <c r="J55" s="33">
        <v>2.89</v>
      </c>
      <c r="K55" s="33">
        <v>3</v>
      </c>
      <c r="L55" s="33">
        <v>3.11</v>
      </c>
      <c r="M55" s="34">
        <f t="shared" si="1"/>
        <v>2.6462500000000002</v>
      </c>
    </row>
    <row r="56" spans="1:13" ht="14.45" thickBot="1">
      <c r="A56" s="31">
        <v>53</v>
      </c>
      <c r="B56" s="32" t="s">
        <v>117</v>
      </c>
      <c r="C56" s="33">
        <v>1995</v>
      </c>
      <c r="D56" s="33">
        <f t="shared" si="0"/>
        <v>31</v>
      </c>
      <c r="E56" s="33">
        <v>2.93</v>
      </c>
      <c r="F56" s="33">
        <v>2.2799999999999998</v>
      </c>
      <c r="G56" s="33">
        <v>2.93</v>
      </c>
      <c r="H56" s="33">
        <v>2.48</v>
      </c>
      <c r="I56" s="33">
        <v>2.5</v>
      </c>
      <c r="J56" s="33">
        <v>2.5099999999999998</v>
      </c>
      <c r="K56" s="33">
        <v>3</v>
      </c>
      <c r="L56" s="33">
        <v>3.15</v>
      </c>
      <c r="M56" s="34">
        <f t="shared" si="1"/>
        <v>2.7225000000000001</v>
      </c>
    </row>
    <row r="57" spans="1:13" ht="14.45" thickBot="1">
      <c r="A57" s="31">
        <v>54</v>
      </c>
      <c r="B57" s="32" t="s">
        <v>118</v>
      </c>
      <c r="C57" s="33">
        <v>2003</v>
      </c>
      <c r="D57" s="33">
        <f t="shared" si="0"/>
        <v>23</v>
      </c>
      <c r="E57" s="33">
        <v>3.07</v>
      </c>
      <c r="F57" s="33">
        <v>2.36</v>
      </c>
      <c r="G57" s="33">
        <v>2.56</v>
      </c>
      <c r="H57" s="33">
        <v>2.23</v>
      </c>
      <c r="I57" s="33">
        <v>2.63</v>
      </c>
      <c r="J57" s="33">
        <v>2.33</v>
      </c>
      <c r="K57" s="33">
        <v>2.92</v>
      </c>
      <c r="L57" s="33">
        <v>3.07</v>
      </c>
      <c r="M57" s="34">
        <f t="shared" si="1"/>
        <v>2.6462500000000002</v>
      </c>
    </row>
    <row r="58" spans="1:13" ht="14.45" thickBot="1">
      <c r="A58" s="31">
        <v>55</v>
      </c>
      <c r="B58" s="32" t="s">
        <v>119</v>
      </c>
      <c r="C58" s="33">
        <v>2012</v>
      </c>
      <c r="D58" s="33">
        <f t="shared" si="0"/>
        <v>14</v>
      </c>
      <c r="E58" s="33">
        <v>2.71</v>
      </c>
      <c r="F58" s="33">
        <v>2.77</v>
      </c>
      <c r="G58" s="33">
        <v>2.86</v>
      </c>
      <c r="H58" s="33">
        <v>2.83</v>
      </c>
      <c r="I58" s="33">
        <v>3</v>
      </c>
      <c r="J58" s="33">
        <v>2.76</v>
      </c>
      <c r="K58" s="33">
        <v>3</v>
      </c>
      <c r="L58" s="33">
        <v>2.96</v>
      </c>
      <c r="M58" s="34">
        <f t="shared" si="1"/>
        <v>2.8612500000000001</v>
      </c>
    </row>
    <row r="59" spans="1:13" ht="14.45" thickBot="1">
      <c r="A59" s="31">
        <v>56</v>
      </c>
      <c r="B59" s="32" t="s">
        <v>120</v>
      </c>
      <c r="C59" s="33">
        <v>2014</v>
      </c>
      <c r="D59" s="33">
        <f t="shared" si="0"/>
        <v>12</v>
      </c>
      <c r="E59" s="33">
        <v>3.14</v>
      </c>
      <c r="F59" s="33">
        <v>2.86</v>
      </c>
      <c r="G59" s="33">
        <v>2.98</v>
      </c>
      <c r="H59" s="33">
        <v>2.63</v>
      </c>
      <c r="I59" s="33">
        <v>3</v>
      </c>
      <c r="J59" s="33">
        <v>2.8</v>
      </c>
      <c r="K59" s="33">
        <v>3</v>
      </c>
      <c r="L59" s="33">
        <v>3.23</v>
      </c>
      <c r="M59" s="34">
        <f t="shared" si="1"/>
        <v>2.9550000000000001</v>
      </c>
    </row>
    <row r="60" spans="1:13" ht="14.45" thickBot="1">
      <c r="A60" s="31">
        <v>57</v>
      </c>
      <c r="B60" s="32" t="s">
        <v>121</v>
      </c>
      <c r="C60" s="33">
        <v>2007</v>
      </c>
      <c r="D60" s="33">
        <f t="shared" si="0"/>
        <v>19</v>
      </c>
      <c r="E60" s="33">
        <v>3.57</v>
      </c>
      <c r="F60" s="33">
        <v>2.97</v>
      </c>
      <c r="G60" s="33">
        <v>2.93</v>
      </c>
      <c r="H60" s="33">
        <v>2.95</v>
      </c>
      <c r="I60" s="33">
        <v>3</v>
      </c>
      <c r="J60" s="33">
        <v>3</v>
      </c>
      <c r="K60" s="33">
        <v>3</v>
      </c>
      <c r="L60" s="33">
        <v>3</v>
      </c>
      <c r="M60" s="34">
        <f t="shared" si="1"/>
        <v>3.0525000000000002</v>
      </c>
    </row>
    <row r="61" spans="1:13" ht="14.45" thickBot="1">
      <c r="A61" s="31">
        <v>58</v>
      </c>
      <c r="B61" s="32" t="s">
        <v>122</v>
      </c>
      <c r="C61" s="33">
        <v>2012</v>
      </c>
      <c r="D61" s="33">
        <f t="shared" si="0"/>
        <v>14</v>
      </c>
      <c r="E61" s="33">
        <v>3.71</v>
      </c>
      <c r="F61" s="33">
        <v>3</v>
      </c>
      <c r="G61" s="33">
        <v>3</v>
      </c>
      <c r="H61" s="33">
        <v>3</v>
      </c>
      <c r="I61" s="33">
        <v>3</v>
      </c>
      <c r="J61" s="33">
        <v>3</v>
      </c>
      <c r="K61" s="33">
        <v>2.95</v>
      </c>
      <c r="L61" s="33">
        <v>3</v>
      </c>
      <c r="M61" s="34">
        <f t="shared" si="1"/>
        <v>3.0825</v>
      </c>
    </row>
    <row r="62" spans="1:13" ht="14.45" thickBot="1">
      <c r="A62" s="31">
        <v>59</v>
      </c>
      <c r="B62" s="32" t="s">
        <v>123</v>
      </c>
      <c r="C62" s="40">
        <v>1991</v>
      </c>
      <c r="D62" s="33">
        <f t="shared" si="0"/>
        <v>35</v>
      </c>
      <c r="E62" s="33">
        <v>3.92</v>
      </c>
      <c r="F62" s="33">
        <v>2.78</v>
      </c>
      <c r="G62" s="33">
        <v>2.96</v>
      </c>
      <c r="H62" s="33">
        <v>3</v>
      </c>
      <c r="I62" s="33">
        <v>3</v>
      </c>
      <c r="J62" s="33">
        <v>3</v>
      </c>
      <c r="K62" s="33">
        <v>3</v>
      </c>
      <c r="L62" s="33">
        <v>3</v>
      </c>
      <c r="M62" s="34">
        <f t="shared" si="1"/>
        <v>3.0825</v>
      </c>
    </row>
    <row r="63" spans="1:13" ht="14.45" thickBot="1">
      <c r="A63" s="31">
        <v>60</v>
      </c>
      <c r="B63" s="32" t="s">
        <v>124</v>
      </c>
      <c r="C63" s="33">
        <v>1999</v>
      </c>
      <c r="D63" s="33">
        <f t="shared" si="0"/>
        <v>27</v>
      </c>
      <c r="E63" s="33">
        <v>3.64</v>
      </c>
      <c r="F63" s="33">
        <v>2.33</v>
      </c>
      <c r="G63" s="33">
        <v>2.88</v>
      </c>
      <c r="H63" s="33">
        <v>2.56</v>
      </c>
      <c r="I63" s="33">
        <v>2</v>
      </c>
      <c r="J63" s="33">
        <v>2.66</v>
      </c>
      <c r="K63" s="33">
        <v>3</v>
      </c>
      <c r="L63" s="33">
        <v>2.37</v>
      </c>
      <c r="M63" s="34">
        <f t="shared" si="1"/>
        <v>2.68</v>
      </c>
    </row>
    <row r="64" spans="1:13" ht="14.45" thickBot="1">
      <c r="A64" s="31">
        <v>61</v>
      </c>
      <c r="B64" s="32" t="s">
        <v>125</v>
      </c>
      <c r="C64" s="33">
        <v>2010</v>
      </c>
      <c r="D64" s="33">
        <f t="shared" si="0"/>
        <v>16</v>
      </c>
      <c r="E64" s="33">
        <v>3.57</v>
      </c>
      <c r="F64" s="33">
        <v>2.78</v>
      </c>
      <c r="G64" s="33">
        <v>2.96</v>
      </c>
      <c r="H64" s="33">
        <v>3</v>
      </c>
      <c r="I64" s="33">
        <v>3</v>
      </c>
      <c r="J64" s="33">
        <v>3</v>
      </c>
      <c r="K64" s="33">
        <v>3</v>
      </c>
      <c r="L64" s="33">
        <v>3</v>
      </c>
      <c r="M64" s="34">
        <f t="shared" si="1"/>
        <v>3.0387499999999998</v>
      </c>
    </row>
    <row r="65" spans="1:13" ht="14.45" thickBot="1">
      <c r="A65" s="31">
        <v>62</v>
      </c>
      <c r="B65" s="32" t="s">
        <v>126</v>
      </c>
      <c r="C65" s="40">
        <v>2014</v>
      </c>
      <c r="D65" s="33">
        <f t="shared" si="0"/>
        <v>12</v>
      </c>
      <c r="E65" s="33">
        <v>3.21</v>
      </c>
      <c r="F65" s="33">
        <v>2.94</v>
      </c>
      <c r="G65" s="33">
        <v>2.93</v>
      </c>
      <c r="H65" s="33">
        <v>2.83</v>
      </c>
      <c r="I65" s="33">
        <v>2.91</v>
      </c>
      <c r="J65" s="33">
        <v>2.85</v>
      </c>
      <c r="K65" s="33">
        <v>2.98</v>
      </c>
      <c r="L65" s="33">
        <v>2.96</v>
      </c>
      <c r="M65" s="34">
        <f t="shared" si="1"/>
        <v>2.9512500000000004</v>
      </c>
    </row>
    <row r="66" spans="1:13" ht="14.45" thickBot="1">
      <c r="A66" s="31">
        <v>63</v>
      </c>
      <c r="B66" s="32" t="s">
        <v>127</v>
      </c>
      <c r="C66" s="33">
        <v>2014</v>
      </c>
      <c r="D66" s="33">
        <f t="shared" si="0"/>
        <v>12</v>
      </c>
      <c r="E66" s="33">
        <v>4</v>
      </c>
      <c r="F66" s="33">
        <v>3</v>
      </c>
      <c r="G66" s="33">
        <v>3</v>
      </c>
      <c r="H66" s="33">
        <v>2.91</v>
      </c>
      <c r="I66" s="33">
        <v>3</v>
      </c>
      <c r="J66" s="33">
        <v>3</v>
      </c>
      <c r="K66" s="33">
        <v>3</v>
      </c>
      <c r="L66" s="33">
        <v>3</v>
      </c>
      <c r="M66" s="34">
        <f t="shared" si="1"/>
        <v>3.11375</v>
      </c>
    </row>
    <row r="67" spans="1:13" ht="14.45" thickBot="1">
      <c r="A67" s="31">
        <v>64</v>
      </c>
      <c r="B67" s="32" t="s">
        <v>128</v>
      </c>
      <c r="C67" s="33">
        <v>2008</v>
      </c>
      <c r="D67" s="33">
        <f t="shared" si="0"/>
        <v>18</v>
      </c>
      <c r="E67" s="33">
        <v>3.57</v>
      </c>
      <c r="F67" s="33">
        <v>2.78</v>
      </c>
      <c r="G67" s="33">
        <v>3</v>
      </c>
      <c r="H67" s="33">
        <v>2.93</v>
      </c>
      <c r="I67" s="33">
        <v>3</v>
      </c>
      <c r="J67" s="33">
        <v>3</v>
      </c>
      <c r="K67" s="33">
        <v>3</v>
      </c>
      <c r="L67" s="33">
        <v>3.13</v>
      </c>
      <c r="M67" s="34">
        <f t="shared" si="1"/>
        <v>3.05125</v>
      </c>
    </row>
    <row r="68" spans="1:13" ht="14.45" thickBot="1">
      <c r="A68" s="31">
        <v>65</v>
      </c>
      <c r="B68" s="32" t="s">
        <v>129</v>
      </c>
      <c r="C68" s="33">
        <v>2008</v>
      </c>
      <c r="D68" s="33">
        <f t="shared" ref="D68:D131" si="2">2026-C68</f>
        <v>18</v>
      </c>
      <c r="E68" s="33">
        <v>3.21</v>
      </c>
      <c r="F68" s="33">
        <v>2.56</v>
      </c>
      <c r="G68" s="33">
        <v>3</v>
      </c>
      <c r="H68" s="33">
        <v>2.67</v>
      </c>
      <c r="I68" s="33">
        <v>3</v>
      </c>
      <c r="J68" s="33">
        <v>3</v>
      </c>
      <c r="K68" s="33">
        <v>3.1</v>
      </c>
      <c r="L68" s="33">
        <v>3</v>
      </c>
      <c r="M68" s="34">
        <f t="shared" si="1"/>
        <v>2.9424999999999999</v>
      </c>
    </row>
    <row r="69" spans="1:13" ht="14.45" thickBot="1">
      <c r="A69" s="31">
        <v>66</v>
      </c>
      <c r="B69" s="32" t="s">
        <v>130</v>
      </c>
      <c r="C69" s="33">
        <v>2010</v>
      </c>
      <c r="D69" s="33">
        <f t="shared" si="2"/>
        <v>16</v>
      </c>
      <c r="E69" s="33">
        <v>4</v>
      </c>
      <c r="F69" s="33">
        <v>3</v>
      </c>
      <c r="G69" s="33">
        <v>3</v>
      </c>
      <c r="H69" s="33">
        <v>3</v>
      </c>
      <c r="I69" s="33">
        <v>3</v>
      </c>
      <c r="J69" s="33">
        <v>2.98</v>
      </c>
      <c r="K69" s="33">
        <v>3</v>
      </c>
      <c r="L69" s="33">
        <v>3</v>
      </c>
      <c r="M69" s="34">
        <f t="shared" ref="M69:M132" si="3">AVERAGE(E69:L69)</f>
        <v>3.1225000000000001</v>
      </c>
    </row>
    <row r="70" spans="1:13" ht="14.45" thickBot="1">
      <c r="A70" s="31">
        <v>67</v>
      </c>
      <c r="B70" s="32" t="s">
        <v>131</v>
      </c>
      <c r="C70" s="33">
        <v>2015</v>
      </c>
      <c r="D70" s="33">
        <f t="shared" si="2"/>
        <v>11</v>
      </c>
      <c r="E70" s="33">
        <v>4</v>
      </c>
      <c r="F70" s="33">
        <v>2.96</v>
      </c>
      <c r="G70" s="33">
        <v>2.88</v>
      </c>
      <c r="H70" s="33">
        <v>2.73</v>
      </c>
      <c r="I70" s="33">
        <v>2.6</v>
      </c>
      <c r="J70" s="33">
        <v>2.89</v>
      </c>
      <c r="K70" s="33">
        <v>2.89</v>
      </c>
      <c r="L70" s="33">
        <v>3.18</v>
      </c>
      <c r="M70" s="34">
        <f t="shared" si="3"/>
        <v>3.0162499999999999</v>
      </c>
    </row>
    <row r="71" spans="1:13" ht="14.45" thickBot="1">
      <c r="A71" s="31">
        <v>68</v>
      </c>
      <c r="B71" s="32" t="s">
        <v>132</v>
      </c>
      <c r="C71" s="33">
        <v>2018</v>
      </c>
      <c r="D71" s="33">
        <f t="shared" si="2"/>
        <v>8</v>
      </c>
      <c r="E71" s="33">
        <v>4</v>
      </c>
      <c r="F71" s="33">
        <v>3</v>
      </c>
      <c r="G71" s="33">
        <v>3</v>
      </c>
      <c r="H71" s="33">
        <v>2.91</v>
      </c>
      <c r="I71" s="33">
        <v>3</v>
      </c>
      <c r="J71" s="33">
        <v>3</v>
      </c>
      <c r="K71" s="33">
        <v>2.9</v>
      </c>
      <c r="L71" s="33">
        <v>3.21</v>
      </c>
      <c r="M71" s="34">
        <f t="shared" si="3"/>
        <v>3.1274999999999999</v>
      </c>
    </row>
    <row r="72" spans="1:13" ht="14.45" thickBot="1">
      <c r="A72" s="31">
        <v>69</v>
      </c>
      <c r="B72" s="32" t="s">
        <v>133</v>
      </c>
      <c r="C72" s="33">
        <v>2006</v>
      </c>
      <c r="D72" s="33">
        <f t="shared" si="2"/>
        <v>20</v>
      </c>
      <c r="E72" s="33">
        <v>3.93</v>
      </c>
      <c r="F72" s="33">
        <v>2.48</v>
      </c>
      <c r="G72" s="33">
        <v>2.73</v>
      </c>
      <c r="H72" s="33">
        <v>2.48</v>
      </c>
      <c r="I72" s="33">
        <v>2.9</v>
      </c>
      <c r="J72" s="33">
        <v>3</v>
      </c>
      <c r="K72" s="33">
        <v>3</v>
      </c>
      <c r="L72" s="33">
        <v>3.16</v>
      </c>
      <c r="M72" s="34">
        <f t="shared" si="3"/>
        <v>2.9600000000000004</v>
      </c>
    </row>
    <row r="73" spans="1:13" ht="14.45" thickBot="1">
      <c r="A73" s="31">
        <v>70</v>
      </c>
      <c r="B73" s="32" t="s">
        <v>134</v>
      </c>
      <c r="C73" s="33">
        <v>2014</v>
      </c>
      <c r="D73" s="33">
        <f t="shared" si="2"/>
        <v>12</v>
      </c>
      <c r="E73" s="33">
        <v>4</v>
      </c>
      <c r="F73" s="33">
        <v>2.78</v>
      </c>
      <c r="G73" s="33">
        <v>2.88</v>
      </c>
      <c r="H73" s="33">
        <v>2.98</v>
      </c>
      <c r="I73" s="33">
        <v>2.7</v>
      </c>
      <c r="J73" s="33">
        <v>2.94</v>
      </c>
      <c r="K73" s="33">
        <v>2.9</v>
      </c>
      <c r="L73" s="33">
        <v>3.13</v>
      </c>
      <c r="M73" s="34">
        <f t="shared" si="3"/>
        <v>3.0387499999999998</v>
      </c>
    </row>
    <row r="74" spans="1:13" ht="14.45" thickBot="1">
      <c r="A74" s="31">
        <v>71</v>
      </c>
      <c r="B74" s="32" t="s">
        <v>135</v>
      </c>
      <c r="C74" s="33">
        <v>2010</v>
      </c>
      <c r="D74" s="33">
        <f t="shared" si="2"/>
        <v>16</v>
      </c>
      <c r="E74" s="33">
        <v>3.07</v>
      </c>
      <c r="F74" s="33">
        <v>3</v>
      </c>
      <c r="G74" s="33">
        <v>2.93</v>
      </c>
      <c r="H74" s="33">
        <v>2.77</v>
      </c>
      <c r="I74" s="33">
        <v>2.83</v>
      </c>
      <c r="J74" s="33">
        <v>2.69</v>
      </c>
      <c r="K74" s="33">
        <v>2.74</v>
      </c>
      <c r="L74" s="33">
        <v>3.2</v>
      </c>
      <c r="M74" s="34">
        <f t="shared" si="3"/>
        <v>2.9037500000000001</v>
      </c>
    </row>
    <row r="75" spans="1:13" ht="14.45" thickBot="1">
      <c r="A75" s="31">
        <v>72</v>
      </c>
      <c r="B75" s="32" t="s">
        <v>136</v>
      </c>
      <c r="C75" s="33">
        <v>2004</v>
      </c>
      <c r="D75" s="33">
        <f t="shared" si="2"/>
        <v>22</v>
      </c>
      <c r="E75" s="33">
        <v>3.71</v>
      </c>
      <c r="F75" s="33">
        <v>2.4700000000000002</v>
      </c>
      <c r="G75" s="33">
        <v>2.92</v>
      </c>
      <c r="H75" s="33">
        <v>2.75</v>
      </c>
      <c r="I75" s="33">
        <v>2.75</v>
      </c>
      <c r="J75" s="33">
        <v>2.71</v>
      </c>
      <c r="K75" s="33">
        <v>2.77</v>
      </c>
      <c r="L75" s="33">
        <v>3.25</v>
      </c>
      <c r="M75" s="34">
        <f t="shared" si="3"/>
        <v>2.9162499999999998</v>
      </c>
    </row>
    <row r="76" spans="1:13" ht="14.45" thickBot="1">
      <c r="A76" s="31">
        <v>73</v>
      </c>
      <c r="B76" s="32" t="s">
        <v>137</v>
      </c>
      <c r="C76" s="33">
        <v>2007</v>
      </c>
      <c r="D76" s="33">
        <f t="shared" si="2"/>
        <v>19</v>
      </c>
      <c r="E76" s="33">
        <v>3.86</v>
      </c>
      <c r="F76" s="33">
        <v>2.87</v>
      </c>
      <c r="G76" s="33">
        <v>2.87</v>
      </c>
      <c r="H76" s="33">
        <v>2.75</v>
      </c>
      <c r="I76" s="33">
        <v>3</v>
      </c>
      <c r="J76" s="33">
        <v>2.84</v>
      </c>
      <c r="K76" s="33">
        <v>2.69</v>
      </c>
      <c r="L76" s="33">
        <v>2.85</v>
      </c>
      <c r="M76" s="34">
        <f t="shared" si="3"/>
        <v>2.9662500000000005</v>
      </c>
    </row>
    <row r="77" spans="1:13" ht="14.45" thickBot="1">
      <c r="A77" s="31">
        <v>74</v>
      </c>
      <c r="B77" s="32" t="s">
        <v>138</v>
      </c>
      <c r="C77" s="33">
        <v>1993</v>
      </c>
      <c r="D77" s="33">
        <f t="shared" si="2"/>
        <v>33</v>
      </c>
      <c r="E77" s="33">
        <v>2.93</v>
      </c>
      <c r="F77" s="33">
        <v>2.2000000000000002</v>
      </c>
      <c r="G77" s="33">
        <v>2.83</v>
      </c>
      <c r="H77" s="33">
        <v>2.71</v>
      </c>
      <c r="I77" s="33">
        <v>2.58</v>
      </c>
      <c r="J77" s="33">
        <v>3</v>
      </c>
      <c r="K77" s="33">
        <v>2.78</v>
      </c>
      <c r="L77" s="33">
        <v>2.58</v>
      </c>
      <c r="M77" s="34">
        <f t="shared" si="3"/>
        <v>2.7012499999999999</v>
      </c>
    </row>
    <row r="78" spans="1:13" ht="14.45" thickBot="1">
      <c r="A78" s="31">
        <v>75</v>
      </c>
      <c r="B78" s="32" t="s">
        <v>139</v>
      </c>
      <c r="C78" s="33">
        <v>1990</v>
      </c>
      <c r="D78" s="33">
        <f t="shared" si="2"/>
        <v>36</v>
      </c>
      <c r="E78" s="33">
        <v>2.71</v>
      </c>
      <c r="F78" s="33">
        <v>2.37</v>
      </c>
      <c r="G78" s="33">
        <v>2.94</v>
      </c>
      <c r="H78" s="33">
        <v>2.95</v>
      </c>
      <c r="I78" s="33">
        <v>2.67</v>
      </c>
      <c r="J78" s="33">
        <v>2.82</v>
      </c>
      <c r="K78" s="33">
        <v>2.83</v>
      </c>
      <c r="L78" s="33">
        <v>3.22</v>
      </c>
      <c r="M78" s="34">
        <f t="shared" si="3"/>
        <v>2.8137499999999998</v>
      </c>
    </row>
    <row r="79" spans="1:13" ht="14.45" thickBot="1">
      <c r="A79" s="31">
        <v>76</v>
      </c>
      <c r="B79" s="32" t="s">
        <v>140</v>
      </c>
      <c r="C79" s="33">
        <v>1974</v>
      </c>
      <c r="D79" s="33">
        <f t="shared" si="2"/>
        <v>52</v>
      </c>
      <c r="E79" s="33">
        <v>2.29</v>
      </c>
      <c r="F79" s="33">
        <v>2.4300000000000002</v>
      </c>
      <c r="G79" s="33">
        <v>2.64</v>
      </c>
      <c r="H79" s="33">
        <v>2.76</v>
      </c>
      <c r="I79" s="33">
        <v>3</v>
      </c>
      <c r="J79" s="33">
        <v>2.61</v>
      </c>
      <c r="K79" s="33">
        <v>2.74</v>
      </c>
      <c r="L79" s="33">
        <v>2.98</v>
      </c>
      <c r="M79" s="34">
        <f t="shared" si="3"/>
        <v>2.6812499999999999</v>
      </c>
    </row>
    <row r="80" spans="1:13" ht="14.45" thickBot="1">
      <c r="A80" s="31">
        <v>77</v>
      </c>
      <c r="B80" s="32" t="s">
        <v>141</v>
      </c>
      <c r="C80" s="33">
        <v>1993</v>
      </c>
      <c r="D80" s="33">
        <f t="shared" si="2"/>
        <v>33</v>
      </c>
      <c r="E80" s="33">
        <v>3.5</v>
      </c>
      <c r="F80" s="33">
        <v>2.0699999999999998</v>
      </c>
      <c r="G80" s="33">
        <v>2.84</v>
      </c>
      <c r="H80" s="33">
        <v>2.77</v>
      </c>
      <c r="I80" s="33">
        <v>2.67</v>
      </c>
      <c r="J80" s="33">
        <v>2.82</v>
      </c>
      <c r="K80" s="33">
        <v>2.75</v>
      </c>
      <c r="L80" s="33">
        <v>2.33</v>
      </c>
      <c r="M80" s="34">
        <f t="shared" si="3"/>
        <v>2.71875</v>
      </c>
    </row>
    <row r="81" spans="1:13" ht="14.45" thickBot="1">
      <c r="A81" s="31">
        <v>78</v>
      </c>
      <c r="B81" s="32" t="s">
        <v>142</v>
      </c>
      <c r="C81" s="33">
        <v>2007</v>
      </c>
      <c r="D81" s="33">
        <f t="shared" si="2"/>
        <v>19</v>
      </c>
      <c r="E81" s="33">
        <v>3.14</v>
      </c>
      <c r="F81" s="33">
        <v>2.37</v>
      </c>
      <c r="G81" s="33">
        <v>2.76</v>
      </c>
      <c r="H81" s="33">
        <v>3</v>
      </c>
      <c r="I81" s="33">
        <v>3</v>
      </c>
      <c r="J81" s="33">
        <v>2.83</v>
      </c>
      <c r="K81" s="33">
        <v>2.88</v>
      </c>
      <c r="L81" s="33">
        <v>3.13</v>
      </c>
      <c r="M81" s="34">
        <f t="shared" si="3"/>
        <v>2.8887499999999999</v>
      </c>
    </row>
    <row r="82" spans="1:13" ht="14.45" thickBot="1">
      <c r="A82" s="31">
        <v>79</v>
      </c>
      <c r="B82" s="32" t="s">
        <v>143</v>
      </c>
      <c r="C82" s="33">
        <v>2011</v>
      </c>
      <c r="D82" s="33">
        <f t="shared" si="2"/>
        <v>15</v>
      </c>
      <c r="E82" s="33">
        <v>3</v>
      </c>
      <c r="F82" s="33">
        <v>2.9</v>
      </c>
      <c r="G82" s="33">
        <v>2.93</v>
      </c>
      <c r="H82" s="33">
        <v>2.8</v>
      </c>
      <c r="I82" s="33">
        <v>3</v>
      </c>
      <c r="J82" s="33">
        <v>2.77</v>
      </c>
      <c r="K82" s="33">
        <v>2.73</v>
      </c>
      <c r="L82" s="33">
        <v>2.8</v>
      </c>
      <c r="M82" s="34">
        <f t="shared" si="3"/>
        <v>2.86625</v>
      </c>
    </row>
    <row r="83" spans="1:13" ht="14.45" thickBot="1">
      <c r="A83" s="31">
        <v>80</v>
      </c>
      <c r="B83" s="32" t="s">
        <v>144</v>
      </c>
      <c r="C83" s="33">
        <v>2009</v>
      </c>
      <c r="D83" s="33">
        <f t="shared" si="2"/>
        <v>17</v>
      </c>
      <c r="E83" s="33">
        <v>2.36</v>
      </c>
      <c r="F83" s="33">
        <v>2.37</v>
      </c>
      <c r="G83" s="33">
        <v>2.92</v>
      </c>
      <c r="H83" s="33">
        <v>2.13</v>
      </c>
      <c r="I83" s="33">
        <v>2.63</v>
      </c>
      <c r="J83" s="33">
        <v>2.87</v>
      </c>
      <c r="K83" s="33">
        <v>2.86</v>
      </c>
      <c r="L83" s="33">
        <v>2.75</v>
      </c>
      <c r="M83" s="34">
        <f t="shared" si="3"/>
        <v>2.6112500000000001</v>
      </c>
    </row>
    <row r="84" spans="1:13" ht="14.45" thickBot="1">
      <c r="A84" s="31">
        <v>81</v>
      </c>
      <c r="B84" s="32" t="s">
        <v>145</v>
      </c>
      <c r="C84" s="33">
        <v>1970</v>
      </c>
      <c r="D84" s="33">
        <f t="shared" si="2"/>
        <v>56</v>
      </c>
      <c r="E84" s="33">
        <v>2.93</v>
      </c>
      <c r="F84" s="33">
        <v>2.31</v>
      </c>
      <c r="G84" s="33">
        <v>2.64</v>
      </c>
      <c r="H84" s="33">
        <v>2.7</v>
      </c>
      <c r="I84" s="33">
        <v>2.96</v>
      </c>
      <c r="J84" s="37">
        <v>2.73</v>
      </c>
      <c r="K84" s="33">
        <v>2.67</v>
      </c>
      <c r="L84" s="33">
        <v>3.05</v>
      </c>
      <c r="M84" s="34">
        <f t="shared" si="3"/>
        <v>2.7487500000000007</v>
      </c>
    </row>
    <row r="85" spans="1:13" ht="14.45" thickBot="1">
      <c r="A85" s="31">
        <v>82</v>
      </c>
      <c r="B85" s="32" t="s">
        <v>146</v>
      </c>
      <c r="C85" s="33">
        <v>2010</v>
      </c>
      <c r="D85" s="33">
        <f t="shared" si="2"/>
        <v>16</v>
      </c>
      <c r="E85" s="33">
        <v>4</v>
      </c>
      <c r="F85" s="33">
        <v>3</v>
      </c>
      <c r="G85" s="33">
        <v>2.88</v>
      </c>
      <c r="H85" s="33">
        <v>2.77</v>
      </c>
      <c r="I85" s="33">
        <v>2.83</v>
      </c>
      <c r="J85" s="37">
        <v>2.9</v>
      </c>
      <c r="K85" s="33">
        <v>2.61</v>
      </c>
      <c r="L85" s="33">
        <v>3.29</v>
      </c>
      <c r="M85" s="34">
        <f t="shared" si="3"/>
        <v>3.0349999999999997</v>
      </c>
    </row>
    <row r="86" spans="1:13" ht="14.45" thickBot="1">
      <c r="A86" s="31">
        <v>83</v>
      </c>
      <c r="B86" s="32" t="s">
        <v>147</v>
      </c>
      <c r="C86" s="33">
        <v>2012</v>
      </c>
      <c r="D86" s="33">
        <f t="shared" si="2"/>
        <v>14</v>
      </c>
      <c r="E86" s="33">
        <v>3</v>
      </c>
      <c r="F86" s="33">
        <v>2.2799999999999998</v>
      </c>
      <c r="G86" s="33">
        <v>2.61</v>
      </c>
      <c r="H86" s="33">
        <v>2.13</v>
      </c>
      <c r="I86" s="33">
        <v>2.36</v>
      </c>
      <c r="J86" s="37">
        <v>2.89</v>
      </c>
      <c r="K86" s="33">
        <v>2.73</v>
      </c>
      <c r="L86" s="33">
        <v>3.17</v>
      </c>
      <c r="M86" s="34">
        <f t="shared" si="3"/>
        <v>2.6462500000000002</v>
      </c>
    </row>
    <row r="87" spans="1:13" ht="14.45" thickBot="1">
      <c r="A87" s="31">
        <v>84</v>
      </c>
      <c r="B87" s="32" t="s">
        <v>148</v>
      </c>
      <c r="C87" s="33">
        <v>2015</v>
      </c>
      <c r="D87" s="33">
        <f t="shared" si="2"/>
        <v>11</v>
      </c>
      <c r="E87" s="33">
        <v>2.71</v>
      </c>
      <c r="F87" s="33">
        <v>2.83</v>
      </c>
      <c r="G87" s="33">
        <v>2.81</v>
      </c>
      <c r="H87" s="33">
        <v>2.87</v>
      </c>
      <c r="I87" s="33">
        <v>3</v>
      </c>
      <c r="J87" s="37">
        <v>2.92</v>
      </c>
      <c r="K87" s="33">
        <v>2.73</v>
      </c>
      <c r="L87" s="33">
        <v>2.91</v>
      </c>
      <c r="M87" s="34">
        <f t="shared" si="3"/>
        <v>2.8475000000000001</v>
      </c>
    </row>
    <row r="88" spans="1:13" ht="14.45" thickBot="1">
      <c r="A88" s="31">
        <v>85</v>
      </c>
      <c r="B88" s="32" t="s">
        <v>149</v>
      </c>
      <c r="C88" s="33">
        <v>2009</v>
      </c>
      <c r="D88" s="33">
        <f t="shared" si="2"/>
        <v>17</v>
      </c>
      <c r="E88" s="33">
        <v>4</v>
      </c>
      <c r="F88" s="33">
        <v>2.35</v>
      </c>
      <c r="G88" s="33">
        <v>2.5499999999999998</v>
      </c>
      <c r="H88" s="33">
        <v>2.4300000000000002</v>
      </c>
      <c r="I88" s="33">
        <v>2.86</v>
      </c>
      <c r="J88" s="37">
        <v>2.83</v>
      </c>
      <c r="K88" s="33">
        <v>2.66</v>
      </c>
      <c r="L88" s="33">
        <v>3.06</v>
      </c>
      <c r="M88" s="34">
        <f t="shared" si="3"/>
        <v>2.8424999999999994</v>
      </c>
    </row>
    <row r="89" spans="1:13" ht="14.45" thickBot="1">
      <c r="A89" s="31">
        <v>86</v>
      </c>
      <c r="B89" s="32" t="s">
        <v>150</v>
      </c>
      <c r="C89" s="33">
        <v>2016</v>
      </c>
      <c r="D89" s="33">
        <f t="shared" si="2"/>
        <v>10</v>
      </c>
      <c r="E89" s="33">
        <v>2.71</v>
      </c>
      <c r="F89" s="33">
        <v>2.62</v>
      </c>
      <c r="G89" s="33">
        <v>2.61</v>
      </c>
      <c r="H89" s="33">
        <v>2.68</v>
      </c>
      <c r="I89" s="33">
        <v>2.71</v>
      </c>
      <c r="J89" s="37">
        <v>2.92</v>
      </c>
      <c r="K89" s="33">
        <v>2.78</v>
      </c>
      <c r="L89" s="33">
        <v>2.9</v>
      </c>
      <c r="M89" s="34">
        <f t="shared" si="3"/>
        <v>2.74125</v>
      </c>
    </row>
    <row r="90" spans="1:13" ht="14.45" thickBot="1">
      <c r="A90" s="31">
        <v>87</v>
      </c>
      <c r="B90" s="32" t="s">
        <v>151</v>
      </c>
      <c r="C90" s="33">
        <v>2017</v>
      </c>
      <c r="D90" s="33">
        <f t="shared" si="2"/>
        <v>9</v>
      </c>
      <c r="E90" s="33">
        <v>3.79</v>
      </c>
      <c r="F90" s="33">
        <v>2.61</v>
      </c>
      <c r="G90" s="33">
        <v>2.99</v>
      </c>
      <c r="H90" s="33">
        <v>2.77</v>
      </c>
      <c r="I90" s="33">
        <v>3</v>
      </c>
      <c r="J90" s="37">
        <v>2.93</v>
      </c>
      <c r="K90" s="33">
        <v>2.92</v>
      </c>
      <c r="L90" s="33">
        <v>3.23</v>
      </c>
      <c r="M90" s="34">
        <f t="shared" si="3"/>
        <v>3.03</v>
      </c>
    </row>
    <row r="91" spans="1:13" ht="14.45" thickBot="1">
      <c r="A91" s="31">
        <v>88</v>
      </c>
      <c r="B91" s="32" t="s">
        <v>152</v>
      </c>
      <c r="C91" s="40">
        <v>2015</v>
      </c>
      <c r="D91" s="33">
        <f t="shared" si="2"/>
        <v>11</v>
      </c>
      <c r="E91" s="33">
        <v>3.29</v>
      </c>
      <c r="F91" s="33">
        <v>2.4700000000000002</v>
      </c>
      <c r="G91" s="33">
        <v>2.95</v>
      </c>
      <c r="H91" s="33">
        <v>2.82</v>
      </c>
      <c r="I91" s="33">
        <v>2.79</v>
      </c>
      <c r="J91" s="37">
        <v>2.95</v>
      </c>
      <c r="K91" s="33">
        <v>2.86</v>
      </c>
      <c r="L91" s="33">
        <v>3.37</v>
      </c>
      <c r="M91" s="34">
        <f t="shared" si="3"/>
        <v>2.9375</v>
      </c>
    </row>
    <row r="92" spans="1:13" ht="14.45" thickBot="1">
      <c r="A92" s="31">
        <v>89</v>
      </c>
      <c r="B92" s="32" t="s">
        <v>153</v>
      </c>
      <c r="C92" s="33">
        <v>1980</v>
      </c>
      <c r="D92" s="33">
        <f t="shared" si="2"/>
        <v>46</v>
      </c>
      <c r="E92" s="33">
        <v>3.57</v>
      </c>
      <c r="F92" s="33">
        <v>2.61</v>
      </c>
      <c r="G92" s="33">
        <v>2.85</v>
      </c>
      <c r="H92" s="33">
        <v>2.78</v>
      </c>
      <c r="I92" s="33">
        <v>2.83</v>
      </c>
      <c r="J92" s="37">
        <v>2.91</v>
      </c>
      <c r="K92" s="33">
        <v>2.91</v>
      </c>
      <c r="L92" s="33">
        <v>2.86</v>
      </c>
      <c r="M92" s="34">
        <f t="shared" si="3"/>
        <v>2.9149999999999996</v>
      </c>
    </row>
    <row r="93" spans="1:13" ht="14.45" thickBot="1">
      <c r="A93" s="31">
        <v>90</v>
      </c>
      <c r="B93" s="32" t="s">
        <v>154</v>
      </c>
      <c r="C93" s="33">
        <v>2016</v>
      </c>
      <c r="D93" s="33">
        <f t="shared" si="2"/>
        <v>10</v>
      </c>
      <c r="E93" s="33">
        <v>3.43</v>
      </c>
      <c r="F93" s="33">
        <v>2.67</v>
      </c>
      <c r="G93" s="33">
        <v>2.93</v>
      </c>
      <c r="H93" s="33">
        <v>2.95</v>
      </c>
      <c r="I93" s="33">
        <v>3</v>
      </c>
      <c r="J93" s="37">
        <v>2.97</v>
      </c>
      <c r="K93" s="33">
        <v>2.98</v>
      </c>
      <c r="L93" s="33">
        <v>3.25</v>
      </c>
      <c r="M93" s="34">
        <f t="shared" si="3"/>
        <v>3.0225</v>
      </c>
    </row>
    <row r="94" spans="1:13" ht="14.45" thickBot="1">
      <c r="A94" s="31">
        <v>91</v>
      </c>
      <c r="B94" s="32" t="s">
        <v>155</v>
      </c>
      <c r="C94" s="33">
        <v>1992</v>
      </c>
      <c r="D94" s="33">
        <f t="shared" si="2"/>
        <v>34</v>
      </c>
      <c r="E94" s="33">
        <v>3.07</v>
      </c>
      <c r="F94" s="33">
        <v>2.75</v>
      </c>
      <c r="G94" s="33">
        <v>2.74</v>
      </c>
      <c r="H94" s="33">
        <v>2.4</v>
      </c>
      <c r="I94" s="33">
        <v>2.63</v>
      </c>
      <c r="J94" s="37">
        <v>2.9</v>
      </c>
      <c r="K94" s="33">
        <v>2.98</v>
      </c>
      <c r="L94" s="33">
        <v>3.27</v>
      </c>
      <c r="M94" s="34">
        <f t="shared" si="3"/>
        <v>2.8424999999999998</v>
      </c>
    </row>
    <row r="95" spans="1:13" ht="14.45" thickBot="1">
      <c r="A95" s="31">
        <v>92</v>
      </c>
      <c r="B95" s="32" t="s">
        <v>156</v>
      </c>
      <c r="C95" s="33">
        <v>2000</v>
      </c>
      <c r="D95" s="33">
        <f t="shared" si="2"/>
        <v>26</v>
      </c>
      <c r="E95" s="33">
        <v>3.07</v>
      </c>
      <c r="F95" s="33">
        <v>2.39</v>
      </c>
      <c r="G95" s="33">
        <v>2.97</v>
      </c>
      <c r="H95" s="33">
        <v>2.5299999999999998</v>
      </c>
      <c r="I95" s="33">
        <v>2.85</v>
      </c>
      <c r="J95" s="37">
        <v>2.94</v>
      </c>
      <c r="K95" s="33">
        <v>2.9</v>
      </c>
      <c r="L95" s="33">
        <v>2.98</v>
      </c>
      <c r="M95" s="34">
        <f t="shared" si="3"/>
        <v>2.8287499999999999</v>
      </c>
    </row>
    <row r="96" spans="1:13" ht="14.45" thickBot="1">
      <c r="A96" s="31">
        <v>93</v>
      </c>
      <c r="B96" s="32" t="s">
        <v>157</v>
      </c>
      <c r="C96" s="33">
        <v>2007</v>
      </c>
      <c r="D96" s="33">
        <f t="shared" si="2"/>
        <v>19</v>
      </c>
      <c r="E96" s="33">
        <v>3.5</v>
      </c>
      <c r="F96" s="33">
        <v>3</v>
      </c>
      <c r="G96" s="33">
        <v>2.9</v>
      </c>
      <c r="H96" s="33">
        <v>2.7</v>
      </c>
      <c r="I96" s="33">
        <v>2.88</v>
      </c>
      <c r="J96" s="37">
        <v>2.95</v>
      </c>
      <c r="K96" s="33">
        <v>2.96</v>
      </c>
      <c r="L96" s="33">
        <v>2.96</v>
      </c>
      <c r="M96" s="34">
        <f t="shared" si="3"/>
        <v>2.9812500000000002</v>
      </c>
    </row>
    <row r="97" spans="1:13" ht="14.45" thickBot="1">
      <c r="A97" s="31">
        <v>94</v>
      </c>
      <c r="B97" s="32" t="s">
        <v>158</v>
      </c>
      <c r="C97" s="33">
        <v>1985</v>
      </c>
      <c r="D97" s="33">
        <f t="shared" si="2"/>
        <v>41</v>
      </c>
      <c r="E97" s="33">
        <v>3.64</v>
      </c>
      <c r="F97" s="33">
        <v>2.37</v>
      </c>
      <c r="G97" s="33">
        <v>2.46</v>
      </c>
      <c r="H97" s="33">
        <v>2.4700000000000002</v>
      </c>
      <c r="I97" s="33">
        <v>2.75</v>
      </c>
      <c r="J97" s="37">
        <v>2.65</v>
      </c>
      <c r="K97" s="33">
        <v>2.91</v>
      </c>
      <c r="L97" s="33">
        <v>2.93</v>
      </c>
      <c r="M97" s="34">
        <f t="shared" si="3"/>
        <v>2.7725</v>
      </c>
    </row>
    <row r="98" spans="1:13" ht="14.45" thickBot="1">
      <c r="A98" s="31">
        <v>95</v>
      </c>
      <c r="B98" s="32" t="s">
        <v>159</v>
      </c>
      <c r="C98" s="33">
        <v>2013</v>
      </c>
      <c r="D98" s="33">
        <f t="shared" si="2"/>
        <v>13</v>
      </c>
      <c r="E98" s="33">
        <v>3.64</v>
      </c>
      <c r="F98" s="33">
        <v>2.5299999999999998</v>
      </c>
      <c r="G98" s="33">
        <v>2.77</v>
      </c>
      <c r="H98" s="33">
        <v>2.67</v>
      </c>
      <c r="I98" s="33">
        <v>2.71</v>
      </c>
      <c r="J98" s="37">
        <v>2.78</v>
      </c>
      <c r="K98" s="33">
        <v>2.94</v>
      </c>
      <c r="L98" s="33">
        <v>3</v>
      </c>
      <c r="M98" s="34">
        <f t="shared" si="3"/>
        <v>2.8800000000000003</v>
      </c>
    </row>
    <row r="99" spans="1:13" ht="14.45" thickBot="1">
      <c r="A99" s="31">
        <v>96</v>
      </c>
      <c r="B99" s="32" t="s">
        <v>160</v>
      </c>
      <c r="C99" s="33">
        <v>1998</v>
      </c>
      <c r="D99" s="33">
        <f t="shared" si="2"/>
        <v>28</v>
      </c>
      <c r="E99" s="33">
        <v>3.29</v>
      </c>
      <c r="F99" s="33">
        <v>2.39</v>
      </c>
      <c r="G99" s="33">
        <v>2.76</v>
      </c>
      <c r="H99" s="33">
        <v>2.64</v>
      </c>
      <c r="I99" s="33">
        <v>2.36</v>
      </c>
      <c r="J99" s="37">
        <v>2.74</v>
      </c>
      <c r="K99" s="33">
        <v>2.89</v>
      </c>
      <c r="L99" s="33">
        <v>3</v>
      </c>
      <c r="M99" s="34">
        <f t="shared" si="3"/>
        <v>2.75875</v>
      </c>
    </row>
    <row r="100" spans="1:13" ht="14.45" thickBot="1">
      <c r="A100" s="31">
        <v>97</v>
      </c>
      <c r="B100" s="32" t="s">
        <v>161</v>
      </c>
      <c r="C100" s="33">
        <v>2015</v>
      </c>
      <c r="D100" s="33">
        <f t="shared" si="2"/>
        <v>11</v>
      </c>
      <c r="E100" s="33">
        <v>3.64</v>
      </c>
      <c r="F100" s="33">
        <v>2.83</v>
      </c>
      <c r="G100" s="33">
        <v>2.9</v>
      </c>
      <c r="H100" s="33">
        <v>2.88</v>
      </c>
      <c r="I100" s="33">
        <v>3</v>
      </c>
      <c r="J100" s="33">
        <v>2.86</v>
      </c>
      <c r="K100" s="33">
        <v>2.81</v>
      </c>
      <c r="L100" s="33">
        <v>2.72</v>
      </c>
      <c r="M100" s="34">
        <f t="shared" si="3"/>
        <v>2.9549999999999996</v>
      </c>
    </row>
    <row r="101" spans="1:13" ht="14.45" thickBot="1">
      <c r="A101" s="31">
        <v>98</v>
      </c>
      <c r="B101" s="32" t="s">
        <v>162</v>
      </c>
      <c r="C101" s="33">
        <v>2006</v>
      </c>
      <c r="D101" s="33">
        <f t="shared" si="2"/>
        <v>20</v>
      </c>
      <c r="E101" s="33">
        <v>2.93</v>
      </c>
      <c r="F101" s="33">
        <v>2.64</v>
      </c>
      <c r="G101" s="33">
        <v>2.8</v>
      </c>
      <c r="H101" s="33">
        <v>2.64</v>
      </c>
      <c r="I101" s="33">
        <v>2.78</v>
      </c>
      <c r="J101" s="33">
        <v>2.93</v>
      </c>
      <c r="K101" s="33">
        <v>2.97</v>
      </c>
      <c r="L101" s="33">
        <v>3</v>
      </c>
      <c r="M101" s="34">
        <f t="shared" si="3"/>
        <v>2.8362500000000002</v>
      </c>
    </row>
    <row r="102" spans="1:13" ht="14.45" thickBot="1">
      <c r="A102" s="31">
        <v>99</v>
      </c>
      <c r="B102" s="32" t="s">
        <v>163</v>
      </c>
      <c r="C102" s="33">
        <v>1992</v>
      </c>
      <c r="D102" s="33">
        <f t="shared" si="2"/>
        <v>34</v>
      </c>
      <c r="E102" s="33">
        <v>3.21</v>
      </c>
      <c r="F102" s="33">
        <v>2.15</v>
      </c>
      <c r="G102" s="33">
        <v>2.8</v>
      </c>
      <c r="H102" s="33">
        <v>2.69</v>
      </c>
      <c r="I102" s="33">
        <v>2.81</v>
      </c>
      <c r="J102" s="37">
        <v>2.67</v>
      </c>
      <c r="K102" s="33">
        <v>2.9</v>
      </c>
      <c r="L102" s="33">
        <v>2.94</v>
      </c>
      <c r="M102" s="34">
        <f t="shared" si="3"/>
        <v>2.7712499999999998</v>
      </c>
    </row>
    <row r="103" spans="1:13" ht="14.45" thickBot="1">
      <c r="A103" s="31">
        <v>100</v>
      </c>
      <c r="B103" s="32" t="s">
        <v>164</v>
      </c>
      <c r="C103" s="33">
        <v>2015</v>
      </c>
      <c r="D103" s="33">
        <f t="shared" si="2"/>
        <v>11</v>
      </c>
      <c r="E103" s="33">
        <v>3.29</v>
      </c>
      <c r="F103" s="33">
        <v>2.94</v>
      </c>
      <c r="G103" s="33">
        <v>2.87</v>
      </c>
      <c r="H103" s="33">
        <v>2.75</v>
      </c>
      <c r="I103" s="33">
        <v>2.85</v>
      </c>
      <c r="J103" s="37">
        <v>2.77</v>
      </c>
      <c r="K103" s="33">
        <v>2.85</v>
      </c>
      <c r="L103" s="33">
        <v>2.94</v>
      </c>
      <c r="M103" s="34">
        <f t="shared" si="3"/>
        <v>2.9075000000000006</v>
      </c>
    </row>
    <row r="104" spans="1:13" ht="14.45" thickBot="1">
      <c r="A104" s="31">
        <v>101</v>
      </c>
      <c r="B104" s="32" t="s">
        <v>165</v>
      </c>
      <c r="C104" s="33">
        <v>2010</v>
      </c>
      <c r="D104" s="33">
        <f t="shared" si="2"/>
        <v>16</v>
      </c>
      <c r="E104" s="33">
        <v>3.43</v>
      </c>
      <c r="F104" s="33">
        <v>2.64</v>
      </c>
      <c r="G104" s="33">
        <v>2.77</v>
      </c>
      <c r="H104" s="33">
        <v>2.83</v>
      </c>
      <c r="I104" s="33">
        <v>2.67</v>
      </c>
      <c r="J104" s="37">
        <v>2.71</v>
      </c>
      <c r="K104" s="33">
        <v>2.98</v>
      </c>
      <c r="L104" s="33">
        <v>3</v>
      </c>
      <c r="M104" s="34">
        <f t="shared" si="3"/>
        <v>2.8787500000000001</v>
      </c>
    </row>
    <row r="105" spans="1:13" ht="14.45" thickBot="1">
      <c r="A105" s="31">
        <v>102</v>
      </c>
      <c r="B105" s="32" t="s">
        <v>166</v>
      </c>
      <c r="C105" s="33">
        <v>2009</v>
      </c>
      <c r="D105" s="33">
        <f t="shared" si="2"/>
        <v>17</v>
      </c>
      <c r="E105" s="33">
        <v>3.57</v>
      </c>
      <c r="F105" s="33">
        <v>2.85</v>
      </c>
      <c r="G105" s="33">
        <v>2.77</v>
      </c>
      <c r="H105" s="33">
        <v>2.86</v>
      </c>
      <c r="I105" s="33">
        <v>2.86</v>
      </c>
      <c r="J105" s="37">
        <v>2.72</v>
      </c>
      <c r="K105" s="33">
        <v>2.95</v>
      </c>
      <c r="L105" s="33">
        <v>3</v>
      </c>
      <c r="M105" s="34">
        <f t="shared" si="3"/>
        <v>2.9474999999999998</v>
      </c>
    </row>
    <row r="106" spans="1:13" ht="14.45" thickBot="1">
      <c r="A106" s="31">
        <v>103</v>
      </c>
      <c r="B106" s="32" t="s">
        <v>167</v>
      </c>
      <c r="C106" s="33">
        <v>1991</v>
      </c>
      <c r="D106" s="33">
        <f t="shared" si="2"/>
        <v>35</v>
      </c>
      <c r="E106" s="33">
        <v>3.57</v>
      </c>
      <c r="F106" s="33">
        <v>2.61</v>
      </c>
      <c r="G106" s="33">
        <v>2.9</v>
      </c>
      <c r="H106" s="33">
        <v>2.73</v>
      </c>
      <c r="I106" s="33">
        <v>2.79</v>
      </c>
      <c r="J106" s="37">
        <v>2.87</v>
      </c>
      <c r="K106" s="33">
        <v>2.95</v>
      </c>
      <c r="L106" s="33">
        <v>3</v>
      </c>
      <c r="M106" s="34">
        <f t="shared" si="3"/>
        <v>2.9275000000000002</v>
      </c>
    </row>
    <row r="107" spans="1:13" ht="14.45" thickBot="1">
      <c r="A107" s="31">
        <v>104</v>
      </c>
      <c r="B107" s="32" t="s">
        <v>168</v>
      </c>
      <c r="C107" s="33">
        <v>2015</v>
      </c>
      <c r="D107" s="33">
        <f t="shared" si="2"/>
        <v>11</v>
      </c>
      <c r="E107" s="33">
        <v>3.64</v>
      </c>
      <c r="F107" s="33">
        <v>2.94</v>
      </c>
      <c r="G107" s="33">
        <v>2.91</v>
      </c>
      <c r="H107" s="33">
        <v>2.94</v>
      </c>
      <c r="I107" s="33">
        <v>2.77</v>
      </c>
      <c r="J107" s="33">
        <v>2.91</v>
      </c>
      <c r="K107" s="33">
        <v>3</v>
      </c>
      <c r="L107" s="33">
        <v>2.98</v>
      </c>
      <c r="M107" s="34">
        <f t="shared" si="3"/>
        <v>3.01125</v>
      </c>
    </row>
    <row r="108" spans="1:13" ht="14.45" thickBot="1">
      <c r="A108" s="31">
        <v>105</v>
      </c>
      <c r="B108" s="32" t="s">
        <v>169</v>
      </c>
      <c r="C108" s="33">
        <v>2018</v>
      </c>
      <c r="D108" s="33">
        <f t="shared" si="2"/>
        <v>8</v>
      </c>
      <c r="E108" s="33">
        <v>3.36</v>
      </c>
      <c r="F108" s="33">
        <v>2.86</v>
      </c>
      <c r="G108" s="33">
        <v>2.8</v>
      </c>
      <c r="H108" s="33">
        <v>2.86</v>
      </c>
      <c r="I108" s="33">
        <v>3</v>
      </c>
      <c r="J108" s="37">
        <v>3</v>
      </c>
      <c r="K108" s="33">
        <v>2.88</v>
      </c>
      <c r="L108" s="33">
        <v>3.14</v>
      </c>
      <c r="M108" s="34">
        <f t="shared" si="3"/>
        <v>2.9874999999999998</v>
      </c>
    </row>
    <row r="109" spans="1:13" ht="14.45" thickBot="1">
      <c r="A109" s="31">
        <v>106</v>
      </c>
      <c r="B109" s="32" t="s">
        <v>170</v>
      </c>
      <c r="C109" s="33">
        <v>1991</v>
      </c>
      <c r="D109" s="33">
        <f t="shared" si="2"/>
        <v>35</v>
      </c>
      <c r="E109" s="33">
        <v>3.64</v>
      </c>
      <c r="F109" s="33">
        <v>1.86</v>
      </c>
      <c r="G109" s="33">
        <v>2.39</v>
      </c>
      <c r="H109" s="33">
        <v>2.16</v>
      </c>
      <c r="I109" s="33">
        <v>3</v>
      </c>
      <c r="J109" s="37">
        <v>2.79</v>
      </c>
      <c r="K109" s="33">
        <v>2.77</v>
      </c>
      <c r="L109" s="33">
        <v>2.4700000000000002</v>
      </c>
      <c r="M109" s="34">
        <f t="shared" si="3"/>
        <v>2.6349999999999998</v>
      </c>
    </row>
    <row r="110" spans="1:13" ht="14.45" thickBot="1">
      <c r="A110" s="31">
        <v>107</v>
      </c>
      <c r="B110" s="32" t="s">
        <v>171</v>
      </c>
      <c r="C110" s="33">
        <v>2005</v>
      </c>
      <c r="D110" s="33">
        <f t="shared" si="2"/>
        <v>21</v>
      </c>
      <c r="E110" s="33">
        <v>3.79</v>
      </c>
      <c r="F110" s="33">
        <v>2.02</v>
      </c>
      <c r="G110" s="33">
        <v>2.56</v>
      </c>
      <c r="H110" s="33">
        <v>2.21</v>
      </c>
      <c r="I110" s="33">
        <v>2.64</v>
      </c>
      <c r="J110" s="37">
        <v>2.89</v>
      </c>
      <c r="K110" s="33">
        <v>2.79</v>
      </c>
      <c r="L110" s="33">
        <v>3.14</v>
      </c>
      <c r="M110" s="34">
        <f t="shared" si="3"/>
        <v>2.7550000000000003</v>
      </c>
    </row>
    <row r="111" spans="1:13" ht="14.45" thickBot="1">
      <c r="A111" s="31">
        <v>108</v>
      </c>
      <c r="B111" s="32" t="s">
        <v>172</v>
      </c>
      <c r="C111" s="33">
        <v>2000</v>
      </c>
      <c r="D111" s="33">
        <f t="shared" si="2"/>
        <v>26</v>
      </c>
      <c r="E111" s="33">
        <v>3.64</v>
      </c>
      <c r="F111" s="33">
        <v>1.95</v>
      </c>
      <c r="G111" s="33">
        <v>2.61</v>
      </c>
      <c r="H111" s="33">
        <v>2.66</v>
      </c>
      <c r="I111" s="33">
        <v>2.86</v>
      </c>
      <c r="J111" s="37">
        <v>2.86</v>
      </c>
      <c r="K111" s="33">
        <v>2.86</v>
      </c>
      <c r="L111" s="33">
        <v>3.02</v>
      </c>
      <c r="M111" s="34">
        <f t="shared" si="3"/>
        <v>2.8074999999999997</v>
      </c>
    </row>
    <row r="112" spans="1:13" ht="14.45" thickBot="1">
      <c r="A112" s="31">
        <v>109</v>
      </c>
      <c r="B112" s="32" t="s">
        <v>173</v>
      </c>
      <c r="C112" s="33">
        <v>2002</v>
      </c>
      <c r="D112" s="33">
        <f t="shared" si="2"/>
        <v>24</v>
      </c>
      <c r="E112" s="33">
        <v>4</v>
      </c>
      <c r="F112" s="33">
        <v>2.12</v>
      </c>
      <c r="G112" s="33">
        <v>2.67</v>
      </c>
      <c r="H112" s="33">
        <v>2.6</v>
      </c>
      <c r="I112" s="33">
        <v>2.57</v>
      </c>
      <c r="J112" s="37">
        <v>2.75</v>
      </c>
      <c r="K112" s="33">
        <v>2.95</v>
      </c>
      <c r="L112" s="33">
        <v>3.06</v>
      </c>
      <c r="M112" s="34">
        <f t="shared" si="3"/>
        <v>2.84</v>
      </c>
    </row>
    <row r="113" spans="1:13" ht="14.45" thickBot="1">
      <c r="A113" s="31">
        <v>110</v>
      </c>
      <c r="B113" s="32" t="s">
        <v>174</v>
      </c>
      <c r="C113" s="33">
        <v>2010</v>
      </c>
      <c r="D113" s="33">
        <f t="shared" si="2"/>
        <v>16</v>
      </c>
      <c r="E113" s="33">
        <v>3.57</v>
      </c>
      <c r="F113" s="33">
        <v>3.24</v>
      </c>
      <c r="G113" s="33">
        <v>2.81</v>
      </c>
      <c r="H113" s="33">
        <v>3.22</v>
      </c>
      <c r="I113" s="33">
        <v>3.25</v>
      </c>
      <c r="J113" s="37">
        <v>3</v>
      </c>
      <c r="K113" s="33">
        <v>2.88</v>
      </c>
      <c r="L113" s="33">
        <v>3.09</v>
      </c>
      <c r="M113" s="34">
        <f t="shared" si="3"/>
        <v>3.1325000000000003</v>
      </c>
    </row>
    <row r="114" spans="1:13" ht="14.45" thickBot="1">
      <c r="A114" s="31">
        <v>111</v>
      </c>
      <c r="B114" s="32" t="s">
        <v>175</v>
      </c>
      <c r="C114" s="33">
        <v>1972</v>
      </c>
      <c r="D114" s="33">
        <f t="shared" si="2"/>
        <v>54</v>
      </c>
      <c r="E114" s="33">
        <v>3.93</v>
      </c>
      <c r="F114" s="33">
        <v>2.71</v>
      </c>
      <c r="G114" s="33">
        <v>2.2000000000000002</v>
      </c>
      <c r="H114" s="33">
        <v>2.59</v>
      </c>
      <c r="I114" s="33">
        <v>2.86</v>
      </c>
      <c r="J114" s="37">
        <v>2.77</v>
      </c>
      <c r="K114" s="33">
        <v>2.7</v>
      </c>
      <c r="L114" s="33">
        <v>2.72</v>
      </c>
      <c r="M114" s="34">
        <f t="shared" si="3"/>
        <v>2.8099999999999996</v>
      </c>
    </row>
    <row r="115" spans="1:13" ht="14.45" thickBot="1">
      <c r="A115" s="31">
        <v>112</v>
      </c>
      <c r="B115" s="32" t="s">
        <v>176</v>
      </c>
      <c r="C115" s="40">
        <v>1996</v>
      </c>
      <c r="D115" s="33">
        <f t="shared" si="2"/>
        <v>30</v>
      </c>
      <c r="E115" s="42">
        <v>3.29</v>
      </c>
      <c r="F115" s="33">
        <v>2.95</v>
      </c>
      <c r="G115" s="33">
        <v>2.83</v>
      </c>
      <c r="H115" s="33">
        <v>2.95</v>
      </c>
      <c r="I115" s="33">
        <v>3</v>
      </c>
      <c r="J115" s="37">
        <v>2.94</v>
      </c>
      <c r="K115" s="33">
        <v>2.81</v>
      </c>
      <c r="L115" s="33">
        <v>3.09</v>
      </c>
      <c r="M115" s="34">
        <f t="shared" si="3"/>
        <v>2.9824999999999999</v>
      </c>
    </row>
    <row r="116" spans="1:13" ht="14.45" thickBot="1">
      <c r="A116" s="31">
        <v>113</v>
      </c>
      <c r="B116" s="32" t="s">
        <v>177</v>
      </c>
      <c r="C116" s="33">
        <v>2002</v>
      </c>
      <c r="D116" s="33">
        <f t="shared" si="2"/>
        <v>24</v>
      </c>
      <c r="E116" s="33">
        <v>3.86</v>
      </c>
      <c r="F116" s="33">
        <v>2.4900000000000002</v>
      </c>
      <c r="G116" s="33">
        <v>2.54</v>
      </c>
      <c r="H116" s="33">
        <v>2.61</v>
      </c>
      <c r="I116" s="33">
        <v>2.63</v>
      </c>
      <c r="J116" s="37">
        <v>3</v>
      </c>
      <c r="K116" s="33">
        <v>2.86</v>
      </c>
      <c r="L116" s="33">
        <v>3.24</v>
      </c>
      <c r="M116" s="34">
        <f t="shared" si="3"/>
        <v>2.9037499999999996</v>
      </c>
    </row>
    <row r="117" spans="1:13" ht="14.45" thickBot="1">
      <c r="A117" s="31">
        <v>114</v>
      </c>
      <c r="B117" s="32" t="s">
        <v>178</v>
      </c>
      <c r="C117" s="33">
        <v>1979</v>
      </c>
      <c r="D117" s="33">
        <f t="shared" si="2"/>
        <v>47</v>
      </c>
      <c r="E117" s="33">
        <v>3.5</v>
      </c>
      <c r="F117" s="33">
        <v>1.98</v>
      </c>
      <c r="G117" s="33">
        <v>2.56</v>
      </c>
      <c r="H117" s="33">
        <v>2.39</v>
      </c>
      <c r="I117" s="33">
        <v>2.54</v>
      </c>
      <c r="J117" s="37">
        <v>2.69</v>
      </c>
      <c r="K117" s="33">
        <v>2.4</v>
      </c>
      <c r="L117" s="33">
        <v>2.76</v>
      </c>
      <c r="M117" s="34">
        <f t="shared" si="3"/>
        <v>2.6025</v>
      </c>
    </row>
    <row r="118" spans="1:13" ht="14.45" thickBot="1">
      <c r="A118" s="31">
        <v>115</v>
      </c>
      <c r="B118" s="32" t="s">
        <v>179</v>
      </c>
      <c r="C118" s="33">
        <v>1995</v>
      </c>
      <c r="D118" s="33">
        <f t="shared" si="2"/>
        <v>31</v>
      </c>
      <c r="E118" s="33">
        <v>3.43</v>
      </c>
      <c r="F118" s="33">
        <v>2.7</v>
      </c>
      <c r="G118" s="33">
        <v>2.4900000000000002</v>
      </c>
      <c r="H118" s="33">
        <v>2.69</v>
      </c>
      <c r="I118" s="33">
        <v>2.5</v>
      </c>
      <c r="J118" s="33">
        <v>2.63</v>
      </c>
      <c r="K118" s="33">
        <v>2.5299999999999998</v>
      </c>
      <c r="L118" s="33">
        <v>2.82</v>
      </c>
      <c r="M118" s="34">
        <f t="shared" si="3"/>
        <v>2.7237500000000003</v>
      </c>
    </row>
    <row r="119" spans="1:13" ht="14.45" thickBot="1">
      <c r="A119" s="31">
        <v>116</v>
      </c>
      <c r="B119" s="32" t="s">
        <v>180</v>
      </c>
      <c r="C119" s="33">
        <v>2019</v>
      </c>
      <c r="D119" s="33">
        <f t="shared" si="2"/>
        <v>7</v>
      </c>
      <c r="E119" s="33">
        <v>3.21</v>
      </c>
      <c r="F119" s="33">
        <v>2.76</v>
      </c>
      <c r="G119" s="33">
        <v>2.93</v>
      </c>
      <c r="H119" s="33">
        <v>2.94</v>
      </c>
      <c r="I119" s="33">
        <v>2.96</v>
      </c>
      <c r="J119" s="33">
        <v>2.9</v>
      </c>
      <c r="K119" s="33">
        <v>2.86</v>
      </c>
      <c r="L119" s="33">
        <v>2.96</v>
      </c>
      <c r="M119" s="34">
        <f t="shared" si="3"/>
        <v>2.94</v>
      </c>
    </row>
    <row r="120" spans="1:13" ht="14.45" thickBot="1">
      <c r="A120" s="31">
        <v>117</v>
      </c>
      <c r="B120" s="32" t="s">
        <v>181</v>
      </c>
      <c r="C120" s="33">
        <v>2019</v>
      </c>
      <c r="D120" s="33">
        <f t="shared" si="2"/>
        <v>7</v>
      </c>
      <c r="E120" s="33">
        <v>2.69</v>
      </c>
      <c r="F120" s="33">
        <v>2.97</v>
      </c>
      <c r="G120" s="33">
        <v>2.9</v>
      </c>
      <c r="H120" s="33">
        <v>2.8</v>
      </c>
      <c r="I120" s="33">
        <v>2.83</v>
      </c>
      <c r="J120" s="33">
        <v>2.99</v>
      </c>
      <c r="K120" s="33">
        <v>2.8</v>
      </c>
      <c r="L120" s="33">
        <v>2.86</v>
      </c>
      <c r="M120" s="34">
        <f t="shared" si="3"/>
        <v>2.855</v>
      </c>
    </row>
    <row r="121" spans="1:13" ht="14.45" thickBot="1">
      <c r="A121" s="31">
        <v>118</v>
      </c>
      <c r="B121" s="32" t="s">
        <v>182</v>
      </c>
      <c r="C121" s="33">
        <v>1995</v>
      </c>
      <c r="D121" s="33">
        <f t="shared" si="2"/>
        <v>31</v>
      </c>
      <c r="E121" s="33">
        <v>3.21</v>
      </c>
      <c r="F121" s="33">
        <v>2.33</v>
      </c>
      <c r="G121" s="33">
        <v>2.5</v>
      </c>
      <c r="H121" s="33">
        <v>2.59</v>
      </c>
      <c r="I121" s="33">
        <v>2.33</v>
      </c>
      <c r="J121" s="33">
        <v>2.2799999999999998</v>
      </c>
      <c r="K121" s="33">
        <v>2.72</v>
      </c>
      <c r="L121" s="33">
        <v>2.98</v>
      </c>
      <c r="M121" s="34">
        <f t="shared" si="3"/>
        <v>2.6174999999999997</v>
      </c>
    </row>
    <row r="122" spans="1:13" ht="14.45" thickBot="1">
      <c r="A122" s="31">
        <v>119</v>
      </c>
      <c r="B122" s="32" t="s">
        <v>183</v>
      </c>
      <c r="C122" s="40">
        <v>2006</v>
      </c>
      <c r="D122" s="33">
        <f t="shared" si="2"/>
        <v>20</v>
      </c>
      <c r="E122" s="33">
        <v>3.29</v>
      </c>
      <c r="F122" s="33">
        <v>2.59</v>
      </c>
      <c r="G122" s="33">
        <v>2.58</v>
      </c>
      <c r="H122" s="33">
        <v>2.36</v>
      </c>
      <c r="I122" s="33">
        <v>2.75</v>
      </c>
      <c r="J122" s="33">
        <v>2.41</v>
      </c>
      <c r="K122" s="33">
        <v>2.62</v>
      </c>
      <c r="L122" s="33">
        <v>2.84</v>
      </c>
      <c r="M122" s="34">
        <f t="shared" si="3"/>
        <v>2.68</v>
      </c>
    </row>
    <row r="123" spans="1:13" ht="14.45" thickBot="1">
      <c r="A123" s="31">
        <v>120</v>
      </c>
      <c r="B123" s="32" t="s">
        <v>184</v>
      </c>
      <c r="C123" s="33">
        <v>2019</v>
      </c>
      <c r="D123" s="33">
        <f t="shared" si="2"/>
        <v>7</v>
      </c>
      <c r="E123" s="33">
        <v>3.07</v>
      </c>
      <c r="F123" s="33">
        <v>2.78</v>
      </c>
      <c r="G123" s="33">
        <v>2.68</v>
      </c>
      <c r="H123" s="33">
        <v>2.4700000000000002</v>
      </c>
      <c r="I123" s="33">
        <v>2.56</v>
      </c>
      <c r="J123" s="33">
        <v>2.98</v>
      </c>
      <c r="K123" s="33">
        <v>2.78</v>
      </c>
      <c r="L123" s="33">
        <v>2.91</v>
      </c>
      <c r="M123" s="34">
        <f t="shared" si="3"/>
        <v>2.7787500000000001</v>
      </c>
    </row>
    <row r="124" spans="1:13" ht="14.45" thickBot="1">
      <c r="A124" s="31">
        <v>121</v>
      </c>
      <c r="B124" s="32" t="s">
        <v>185</v>
      </c>
      <c r="C124" s="33">
        <v>2022</v>
      </c>
      <c r="D124" s="33">
        <f t="shared" si="2"/>
        <v>4</v>
      </c>
      <c r="E124" s="33">
        <v>3.14</v>
      </c>
      <c r="F124" s="33">
        <v>2.69</v>
      </c>
      <c r="G124" s="33">
        <v>2.6</v>
      </c>
      <c r="H124" s="33">
        <v>2.58</v>
      </c>
      <c r="I124" s="33">
        <v>2.4</v>
      </c>
      <c r="J124" s="33">
        <v>2.62</v>
      </c>
      <c r="K124" s="33">
        <v>2.64</v>
      </c>
      <c r="L124" s="33">
        <v>2.89</v>
      </c>
      <c r="M124" s="34">
        <f t="shared" si="3"/>
        <v>2.6950000000000003</v>
      </c>
    </row>
    <row r="125" spans="1:13" ht="14.45" thickBot="1">
      <c r="A125" s="31">
        <v>122</v>
      </c>
      <c r="B125" s="32" t="s">
        <v>186</v>
      </c>
      <c r="C125" s="33">
        <v>2022</v>
      </c>
      <c r="D125" s="33">
        <f t="shared" si="2"/>
        <v>4</v>
      </c>
      <c r="E125" s="33">
        <v>3.07</v>
      </c>
      <c r="F125" s="33">
        <v>2.83</v>
      </c>
      <c r="G125" s="33">
        <v>2.8</v>
      </c>
      <c r="H125" s="33">
        <v>2.88</v>
      </c>
      <c r="I125" s="33">
        <v>3</v>
      </c>
      <c r="J125" s="33">
        <v>2.54</v>
      </c>
      <c r="K125" s="33">
        <v>2.95</v>
      </c>
      <c r="L125" s="33">
        <v>2.88</v>
      </c>
      <c r="M125" s="34">
        <f t="shared" si="3"/>
        <v>2.8687499999999995</v>
      </c>
    </row>
    <row r="126" spans="1:13" ht="14.45" thickBot="1">
      <c r="A126" s="31">
        <v>123</v>
      </c>
      <c r="B126" s="32" t="s">
        <v>187</v>
      </c>
      <c r="C126" s="33">
        <v>1970</v>
      </c>
      <c r="D126" s="33">
        <f t="shared" si="2"/>
        <v>56</v>
      </c>
      <c r="E126" s="33">
        <v>3</v>
      </c>
      <c r="F126" s="33">
        <v>2.14</v>
      </c>
      <c r="G126" s="33">
        <v>2.59</v>
      </c>
      <c r="H126" s="33">
        <v>2.2400000000000002</v>
      </c>
      <c r="I126" s="33">
        <v>2.4500000000000002</v>
      </c>
      <c r="J126" s="33">
        <v>2.5299999999999998</v>
      </c>
      <c r="K126" s="33">
        <v>2.5499999999999998</v>
      </c>
      <c r="L126" s="33">
        <v>2.81</v>
      </c>
      <c r="M126" s="34">
        <f t="shared" si="3"/>
        <v>2.5387499999999998</v>
      </c>
    </row>
    <row r="127" spans="1:13" ht="14.45" thickBot="1">
      <c r="A127" s="31">
        <v>124</v>
      </c>
      <c r="B127" s="32" t="s">
        <v>188</v>
      </c>
      <c r="C127" s="33">
        <v>1983</v>
      </c>
      <c r="D127" s="33">
        <f t="shared" si="2"/>
        <v>43</v>
      </c>
      <c r="E127" s="33">
        <v>2.71</v>
      </c>
      <c r="F127" s="33">
        <v>2.06</v>
      </c>
      <c r="G127" s="33">
        <v>2.08</v>
      </c>
      <c r="H127" s="33">
        <v>2.46</v>
      </c>
      <c r="I127" s="33">
        <v>2.5</v>
      </c>
      <c r="J127" s="37">
        <v>2.61</v>
      </c>
      <c r="K127" s="33">
        <v>2.81</v>
      </c>
      <c r="L127" s="33">
        <v>3.08</v>
      </c>
      <c r="M127" s="34">
        <f t="shared" si="3"/>
        <v>2.5387499999999994</v>
      </c>
    </row>
    <row r="128" spans="1:13" ht="14.45" thickBot="1">
      <c r="A128" s="31">
        <v>125</v>
      </c>
      <c r="B128" s="32" t="s">
        <v>189</v>
      </c>
      <c r="C128" s="40">
        <v>2013</v>
      </c>
      <c r="D128" s="33">
        <f t="shared" si="2"/>
        <v>13</v>
      </c>
      <c r="E128" s="33">
        <v>3.21</v>
      </c>
      <c r="F128" s="33">
        <v>2.36</v>
      </c>
      <c r="G128" s="33">
        <v>2.5</v>
      </c>
      <c r="H128" s="33">
        <v>2.74</v>
      </c>
      <c r="I128" s="33">
        <v>2.75</v>
      </c>
      <c r="J128" s="43">
        <v>2.77</v>
      </c>
      <c r="K128" s="33">
        <v>2.4</v>
      </c>
      <c r="L128" s="33">
        <v>3.09</v>
      </c>
      <c r="M128" s="34">
        <f t="shared" si="3"/>
        <v>2.7275</v>
      </c>
    </row>
    <row r="129" spans="1:13" ht="14.45" thickBot="1">
      <c r="A129" s="31">
        <v>126</v>
      </c>
      <c r="B129" s="32" t="s">
        <v>190</v>
      </c>
      <c r="C129" s="40">
        <v>2012</v>
      </c>
      <c r="D129" s="33">
        <f t="shared" si="2"/>
        <v>14</v>
      </c>
      <c r="E129" s="33">
        <v>3.21</v>
      </c>
      <c r="F129" s="33">
        <v>2.86</v>
      </c>
      <c r="G129" s="33">
        <v>2.75</v>
      </c>
      <c r="H129" s="33">
        <v>2.5</v>
      </c>
      <c r="I129" s="33">
        <v>2.83</v>
      </c>
      <c r="J129" s="37">
        <v>2.77</v>
      </c>
      <c r="K129" s="33">
        <v>2.62</v>
      </c>
      <c r="L129" s="33">
        <v>2.52</v>
      </c>
      <c r="M129" s="34">
        <f t="shared" si="3"/>
        <v>2.7575000000000003</v>
      </c>
    </row>
    <row r="130" spans="1:13" ht="14.45" thickBot="1">
      <c r="A130" s="31">
        <v>127</v>
      </c>
      <c r="B130" s="32" t="s">
        <v>191</v>
      </c>
      <c r="C130" s="33">
        <v>1995</v>
      </c>
      <c r="D130" s="33">
        <f t="shared" si="2"/>
        <v>31</v>
      </c>
      <c r="E130" s="33">
        <v>2.57</v>
      </c>
      <c r="F130" s="33">
        <v>2.64</v>
      </c>
      <c r="G130" s="33">
        <v>2.5499999999999998</v>
      </c>
      <c r="H130" s="33">
        <v>2.68</v>
      </c>
      <c r="I130" s="33">
        <v>2.92</v>
      </c>
      <c r="J130" s="37">
        <v>2.82</v>
      </c>
      <c r="K130" s="33">
        <v>2.64</v>
      </c>
      <c r="L130" s="33">
        <v>2.52</v>
      </c>
      <c r="M130" s="34">
        <f t="shared" si="3"/>
        <v>2.6675</v>
      </c>
    </row>
    <row r="131" spans="1:13" ht="14.45" thickBot="1">
      <c r="A131" s="31">
        <v>128</v>
      </c>
      <c r="B131" s="32" t="s">
        <v>192</v>
      </c>
      <c r="C131" s="33">
        <v>2020</v>
      </c>
      <c r="D131" s="33">
        <f t="shared" si="2"/>
        <v>6</v>
      </c>
      <c r="E131" s="33">
        <v>3.07</v>
      </c>
      <c r="F131" s="33">
        <v>2.97</v>
      </c>
      <c r="G131" s="33">
        <v>2.99</v>
      </c>
      <c r="H131" s="33">
        <v>2.91</v>
      </c>
      <c r="I131" s="33">
        <v>3</v>
      </c>
      <c r="J131" s="37">
        <v>2.97</v>
      </c>
      <c r="K131" s="33">
        <v>2.73</v>
      </c>
      <c r="L131" s="33">
        <v>3.17</v>
      </c>
      <c r="M131" s="34">
        <f t="shared" si="3"/>
        <v>2.9762500000000003</v>
      </c>
    </row>
    <row r="132" spans="1:13" ht="14.45" thickBot="1">
      <c r="A132" s="31">
        <v>129</v>
      </c>
      <c r="B132" s="32" t="s">
        <v>193</v>
      </c>
      <c r="C132" s="40">
        <v>2011</v>
      </c>
      <c r="D132" s="33">
        <f t="shared" ref="D132:D195" si="4">2026-C132</f>
        <v>15</v>
      </c>
      <c r="E132" s="33">
        <v>3.5</v>
      </c>
      <c r="F132" s="33">
        <v>2.78</v>
      </c>
      <c r="G132" s="33">
        <v>2.79</v>
      </c>
      <c r="H132" s="33">
        <v>2.71</v>
      </c>
      <c r="I132" s="33">
        <v>2.78</v>
      </c>
      <c r="J132" s="44">
        <v>2.74</v>
      </c>
      <c r="K132" s="33">
        <v>2.64</v>
      </c>
      <c r="L132" s="33">
        <v>3.21</v>
      </c>
      <c r="M132" s="34">
        <f t="shared" si="3"/>
        <v>2.8937500000000003</v>
      </c>
    </row>
    <row r="133" spans="1:13" ht="14.45" thickBot="1">
      <c r="A133" s="31">
        <v>130</v>
      </c>
      <c r="B133" s="32" t="s">
        <v>194</v>
      </c>
      <c r="C133" s="33">
        <v>1992</v>
      </c>
      <c r="D133" s="33">
        <f t="shared" si="4"/>
        <v>34</v>
      </c>
      <c r="E133" s="33">
        <v>3.14</v>
      </c>
      <c r="F133" s="33">
        <v>2.31</v>
      </c>
      <c r="G133" s="33">
        <v>2.65</v>
      </c>
      <c r="H133" s="33">
        <v>2.61</v>
      </c>
      <c r="I133" s="33">
        <v>2.58</v>
      </c>
      <c r="J133" s="33">
        <v>2.44</v>
      </c>
      <c r="K133" s="33">
        <v>2.74</v>
      </c>
      <c r="L133" s="33">
        <v>3.07</v>
      </c>
      <c r="M133" s="34">
        <f t="shared" ref="M133:M161" si="5">AVERAGE(E133:L133)</f>
        <v>2.6924999999999999</v>
      </c>
    </row>
    <row r="134" spans="1:13" ht="14.45" thickBot="1">
      <c r="A134" s="31">
        <v>131</v>
      </c>
      <c r="B134" s="32" t="s">
        <v>195</v>
      </c>
      <c r="C134" s="33">
        <v>2011</v>
      </c>
      <c r="D134" s="33">
        <f t="shared" si="4"/>
        <v>15</v>
      </c>
      <c r="E134" s="33">
        <v>2.93</v>
      </c>
      <c r="F134" s="33">
        <v>2.38</v>
      </c>
      <c r="G134" s="33">
        <v>2.63</v>
      </c>
      <c r="H134" s="33">
        <v>2.4500000000000002</v>
      </c>
      <c r="I134" s="33">
        <v>2.5</v>
      </c>
      <c r="J134" s="33">
        <v>2.46</v>
      </c>
      <c r="K134" s="33">
        <v>2.69</v>
      </c>
      <c r="L134" s="33">
        <v>2.88</v>
      </c>
      <c r="M134" s="34">
        <f t="shared" si="5"/>
        <v>2.6150000000000002</v>
      </c>
    </row>
    <row r="135" spans="1:13" ht="14.45" thickBot="1">
      <c r="A135" s="31">
        <v>132</v>
      </c>
      <c r="B135" s="32" t="s">
        <v>196</v>
      </c>
      <c r="C135" s="33">
        <v>2008</v>
      </c>
      <c r="D135" s="33">
        <f t="shared" si="4"/>
        <v>18</v>
      </c>
      <c r="E135" s="33">
        <v>3.64</v>
      </c>
      <c r="F135" s="33">
        <v>2.83</v>
      </c>
      <c r="G135" s="33">
        <v>2.75</v>
      </c>
      <c r="H135" s="33">
        <v>2.94</v>
      </c>
      <c r="I135" s="33">
        <v>3</v>
      </c>
      <c r="J135" s="37">
        <v>2.82</v>
      </c>
      <c r="K135" s="33">
        <v>2.87</v>
      </c>
      <c r="L135" s="33">
        <v>3.16</v>
      </c>
      <c r="M135" s="34">
        <f t="shared" si="5"/>
        <v>3.0012500000000002</v>
      </c>
    </row>
    <row r="136" spans="1:13" ht="14.45" thickBot="1">
      <c r="A136" s="31">
        <v>133</v>
      </c>
      <c r="B136" s="32" t="s">
        <v>197</v>
      </c>
      <c r="C136" s="40">
        <v>2009</v>
      </c>
      <c r="D136" s="33">
        <f t="shared" si="4"/>
        <v>17</v>
      </c>
      <c r="E136" s="33">
        <v>2.93</v>
      </c>
      <c r="F136" s="33">
        <v>2.77</v>
      </c>
      <c r="G136" s="33">
        <v>2.59</v>
      </c>
      <c r="H136" s="33">
        <v>2.4900000000000002</v>
      </c>
      <c r="I136" s="33">
        <v>2.67</v>
      </c>
      <c r="J136" s="33">
        <v>2.63</v>
      </c>
      <c r="K136" s="33">
        <v>2.73</v>
      </c>
      <c r="L136" s="33">
        <v>3.07</v>
      </c>
      <c r="M136" s="34">
        <f t="shared" si="5"/>
        <v>2.7349999999999999</v>
      </c>
    </row>
    <row r="137" spans="1:13" ht="14.45" thickBot="1">
      <c r="A137" s="31">
        <v>134</v>
      </c>
      <c r="B137" s="32" t="s">
        <v>198</v>
      </c>
      <c r="C137" s="33">
        <v>2004</v>
      </c>
      <c r="D137" s="33">
        <f t="shared" si="4"/>
        <v>22</v>
      </c>
      <c r="E137" s="33">
        <v>3.29</v>
      </c>
      <c r="F137" s="33">
        <v>2.69</v>
      </c>
      <c r="G137" s="33">
        <v>2.81</v>
      </c>
      <c r="H137" s="33">
        <v>2.58</v>
      </c>
      <c r="I137" s="33">
        <v>2.58</v>
      </c>
      <c r="J137" s="33">
        <v>2.85</v>
      </c>
      <c r="K137" s="33">
        <v>2.77</v>
      </c>
      <c r="L137" s="33">
        <v>2.77</v>
      </c>
      <c r="M137" s="34">
        <f t="shared" si="5"/>
        <v>2.7925</v>
      </c>
    </row>
    <row r="138" spans="1:13" ht="14.45" thickBot="1">
      <c r="A138" s="31">
        <v>136</v>
      </c>
      <c r="B138" s="32" t="s">
        <v>199</v>
      </c>
      <c r="C138" s="33">
        <v>2018</v>
      </c>
      <c r="D138" s="33">
        <f t="shared" si="4"/>
        <v>8</v>
      </c>
      <c r="E138" s="33">
        <v>2.93</v>
      </c>
      <c r="F138" s="33">
        <v>2.86</v>
      </c>
      <c r="G138" s="33">
        <v>2.88</v>
      </c>
      <c r="H138" s="33">
        <v>2.7</v>
      </c>
      <c r="I138" s="33">
        <v>2.69</v>
      </c>
      <c r="J138" s="33">
        <v>2.97</v>
      </c>
      <c r="K138" s="33">
        <v>2.88</v>
      </c>
      <c r="L138" s="33">
        <v>3.22</v>
      </c>
      <c r="M138" s="34">
        <f t="shared" si="5"/>
        <v>2.8912499999999999</v>
      </c>
    </row>
    <row r="139" spans="1:13" ht="14.45" thickBot="1">
      <c r="A139" s="31">
        <v>137</v>
      </c>
      <c r="B139" s="32" t="s">
        <v>200</v>
      </c>
      <c r="C139" s="33">
        <v>2020</v>
      </c>
      <c r="D139" s="33">
        <f t="shared" si="4"/>
        <v>6</v>
      </c>
      <c r="E139" s="33">
        <v>3.43</v>
      </c>
      <c r="F139" s="33">
        <v>2.8</v>
      </c>
      <c r="G139" s="33">
        <v>2.82</v>
      </c>
      <c r="H139" s="33">
        <v>2.75</v>
      </c>
      <c r="I139" s="33">
        <v>2.75</v>
      </c>
      <c r="J139" s="33">
        <v>2.97</v>
      </c>
      <c r="K139" s="33">
        <v>2.99</v>
      </c>
      <c r="L139" s="33">
        <v>3.07</v>
      </c>
      <c r="M139" s="34">
        <f t="shared" si="5"/>
        <v>2.9474999999999998</v>
      </c>
    </row>
    <row r="140" spans="1:13" ht="14.45" thickBot="1">
      <c r="A140" s="31">
        <v>138</v>
      </c>
      <c r="B140" s="32" t="s">
        <v>201</v>
      </c>
      <c r="C140" s="33">
        <v>1991</v>
      </c>
      <c r="D140" s="33">
        <f t="shared" si="4"/>
        <v>35</v>
      </c>
      <c r="E140" s="33">
        <v>3</v>
      </c>
      <c r="F140" s="33">
        <v>2.2999999999999998</v>
      </c>
      <c r="G140" s="33">
        <v>2.2000000000000002</v>
      </c>
      <c r="H140" s="33">
        <v>2</v>
      </c>
      <c r="I140" s="33">
        <v>2</v>
      </c>
      <c r="J140" s="33">
        <v>2.2799999999999998</v>
      </c>
      <c r="K140" s="33">
        <v>2.5</v>
      </c>
      <c r="L140" s="33">
        <v>2.7</v>
      </c>
      <c r="M140" s="34">
        <f t="shared" si="5"/>
        <v>2.3725000000000001</v>
      </c>
    </row>
    <row r="141" spans="1:13" ht="14.45" thickBot="1">
      <c r="A141" s="31">
        <v>139</v>
      </c>
      <c r="B141" s="32" t="s">
        <v>202</v>
      </c>
      <c r="C141" s="33">
        <v>2007</v>
      </c>
      <c r="D141" s="33">
        <f t="shared" si="4"/>
        <v>19</v>
      </c>
      <c r="E141" s="33">
        <v>3</v>
      </c>
      <c r="F141" s="33">
        <v>2.6</v>
      </c>
      <c r="G141" s="33">
        <v>2.5</v>
      </c>
      <c r="H141" s="33">
        <v>2.4</v>
      </c>
      <c r="I141" s="33">
        <v>2.5</v>
      </c>
      <c r="J141" s="33">
        <v>2.79</v>
      </c>
      <c r="K141" s="33">
        <v>2.7</v>
      </c>
      <c r="L141" s="33">
        <v>2.9</v>
      </c>
      <c r="M141" s="34">
        <f t="shared" si="5"/>
        <v>2.6737499999999996</v>
      </c>
    </row>
    <row r="142" spans="1:13" ht="14.45" thickBot="1">
      <c r="A142" s="31">
        <v>140</v>
      </c>
      <c r="B142" s="32" t="s">
        <v>203</v>
      </c>
      <c r="C142" s="33">
        <v>2020</v>
      </c>
      <c r="D142" s="33">
        <f t="shared" si="4"/>
        <v>6</v>
      </c>
      <c r="E142" s="33">
        <v>3.64</v>
      </c>
      <c r="F142" s="33">
        <v>3</v>
      </c>
      <c r="G142" s="33">
        <v>2.98</v>
      </c>
      <c r="H142" s="33">
        <v>3</v>
      </c>
      <c r="I142" s="33">
        <v>3</v>
      </c>
      <c r="J142" s="33">
        <v>2.98</v>
      </c>
      <c r="K142" s="33">
        <v>3.09</v>
      </c>
      <c r="L142" s="33">
        <v>3.37</v>
      </c>
      <c r="M142" s="34">
        <f t="shared" si="5"/>
        <v>3.1325000000000003</v>
      </c>
    </row>
    <row r="143" spans="1:13" ht="14.45" thickBot="1">
      <c r="A143" s="31">
        <v>141</v>
      </c>
      <c r="B143" s="32" t="s">
        <v>204</v>
      </c>
      <c r="C143" s="33">
        <v>1993</v>
      </c>
      <c r="D143" s="33">
        <f t="shared" si="4"/>
        <v>33</v>
      </c>
      <c r="E143" s="37">
        <v>4</v>
      </c>
      <c r="F143" s="33">
        <v>2.58</v>
      </c>
      <c r="G143" s="33">
        <v>2.6</v>
      </c>
      <c r="H143" s="33">
        <v>2.76</v>
      </c>
      <c r="I143" s="33">
        <v>2.83</v>
      </c>
      <c r="J143" s="37">
        <v>2.78</v>
      </c>
      <c r="K143" s="33">
        <v>2.64</v>
      </c>
      <c r="L143" s="33">
        <v>2.96</v>
      </c>
      <c r="M143" s="34">
        <f t="shared" si="5"/>
        <v>2.8937500000000003</v>
      </c>
    </row>
    <row r="144" spans="1:13" ht="14.45" thickBot="1">
      <c r="A144" s="31">
        <v>142</v>
      </c>
      <c r="B144" s="32" t="s">
        <v>205</v>
      </c>
      <c r="C144" s="33">
        <v>1995</v>
      </c>
      <c r="D144" s="33">
        <f t="shared" si="4"/>
        <v>31</v>
      </c>
      <c r="E144" s="37">
        <v>2.77</v>
      </c>
      <c r="F144" s="33">
        <v>2.42</v>
      </c>
      <c r="G144" s="33">
        <v>2.56</v>
      </c>
      <c r="H144" s="33">
        <v>2.38</v>
      </c>
      <c r="I144" s="33">
        <v>2.58</v>
      </c>
      <c r="J144" s="33">
        <v>2.5499999999999998</v>
      </c>
      <c r="K144" s="33">
        <v>2.69</v>
      </c>
      <c r="L144" s="33">
        <v>3</v>
      </c>
      <c r="M144" s="34">
        <f t="shared" si="5"/>
        <v>2.6187499999999999</v>
      </c>
    </row>
    <row r="145" spans="1:13" ht="14.45" thickBot="1">
      <c r="A145" s="31">
        <v>143</v>
      </c>
      <c r="B145" s="32" t="s">
        <v>206</v>
      </c>
      <c r="C145" s="33">
        <v>1978</v>
      </c>
      <c r="D145" s="33">
        <f t="shared" si="4"/>
        <v>48</v>
      </c>
      <c r="E145" s="37">
        <v>3.93</v>
      </c>
      <c r="F145" s="33">
        <v>2.14</v>
      </c>
      <c r="G145" s="33">
        <v>2.38</v>
      </c>
      <c r="H145" s="33">
        <v>2.25</v>
      </c>
      <c r="I145" s="33">
        <v>2.4300000000000002</v>
      </c>
      <c r="J145" s="37">
        <v>2.8</v>
      </c>
      <c r="K145" s="33">
        <v>2.61</v>
      </c>
      <c r="L145" s="33">
        <v>3.17</v>
      </c>
      <c r="M145" s="34">
        <f t="shared" si="5"/>
        <v>2.7137500000000001</v>
      </c>
    </row>
    <row r="146" spans="1:13" ht="14.45" thickBot="1">
      <c r="A146" s="31">
        <v>144</v>
      </c>
      <c r="B146" s="32" t="s">
        <v>207</v>
      </c>
      <c r="C146" s="33">
        <v>1995</v>
      </c>
      <c r="D146" s="33">
        <f t="shared" si="4"/>
        <v>31</v>
      </c>
      <c r="E146" s="37">
        <v>4</v>
      </c>
      <c r="F146" s="33">
        <v>2.38</v>
      </c>
      <c r="G146" s="33">
        <v>2.52</v>
      </c>
      <c r="H146" s="33">
        <v>2.4700000000000002</v>
      </c>
      <c r="I146" s="33">
        <v>2.33</v>
      </c>
      <c r="J146" s="37">
        <v>2.95</v>
      </c>
      <c r="K146" s="33">
        <v>2.59</v>
      </c>
      <c r="L146" s="33">
        <v>2.93</v>
      </c>
      <c r="M146" s="34">
        <f t="shared" si="5"/>
        <v>2.7712500000000002</v>
      </c>
    </row>
    <row r="147" spans="1:13" ht="14.45" thickBot="1">
      <c r="A147" s="31">
        <v>145</v>
      </c>
      <c r="B147" s="32" t="s">
        <v>208</v>
      </c>
      <c r="C147" s="33">
        <v>2008</v>
      </c>
      <c r="D147" s="33">
        <f t="shared" si="4"/>
        <v>18</v>
      </c>
      <c r="E147" s="37">
        <v>3.71</v>
      </c>
      <c r="F147" s="33">
        <v>2.09</v>
      </c>
      <c r="G147" s="33">
        <v>2.59</v>
      </c>
      <c r="H147" s="33">
        <v>2.1800000000000002</v>
      </c>
      <c r="I147" s="33">
        <v>2.54</v>
      </c>
      <c r="J147" s="37">
        <v>2.86</v>
      </c>
      <c r="K147" s="33">
        <v>2.72</v>
      </c>
      <c r="L147" s="33">
        <v>2.87</v>
      </c>
      <c r="M147" s="34">
        <f t="shared" si="5"/>
        <v>2.6949999999999998</v>
      </c>
    </row>
    <row r="148" spans="1:13" ht="14.45" thickBot="1">
      <c r="A148" s="31">
        <v>146</v>
      </c>
      <c r="B148" s="32" t="s">
        <v>209</v>
      </c>
      <c r="C148" s="33">
        <v>2014</v>
      </c>
      <c r="D148" s="33">
        <f t="shared" si="4"/>
        <v>12</v>
      </c>
      <c r="E148" s="37">
        <v>3.93</v>
      </c>
      <c r="F148" s="33">
        <v>2.17</v>
      </c>
      <c r="G148" s="33">
        <v>2.5499999999999998</v>
      </c>
      <c r="H148" s="33">
        <v>2.2999999999999998</v>
      </c>
      <c r="I148" s="33">
        <v>2.57</v>
      </c>
      <c r="J148" s="37">
        <v>2.85</v>
      </c>
      <c r="K148" s="33">
        <v>2.66</v>
      </c>
      <c r="L148" s="33">
        <v>3</v>
      </c>
      <c r="M148" s="34">
        <f t="shared" si="5"/>
        <v>2.7537500000000001</v>
      </c>
    </row>
    <row r="149" spans="1:13" ht="14.45" thickBot="1">
      <c r="A149" s="31">
        <v>147</v>
      </c>
      <c r="B149" s="32" t="s">
        <v>210</v>
      </c>
      <c r="C149" s="33">
        <v>2012</v>
      </c>
      <c r="D149" s="33">
        <f t="shared" si="4"/>
        <v>14</v>
      </c>
      <c r="E149" s="37">
        <v>3.29</v>
      </c>
      <c r="F149" s="33">
        <v>2.33</v>
      </c>
      <c r="G149" s="33">
        <v>2.37</v>
      </c>
      <c r="H149" s="33">
        <v>2.2400000000000002</v>
      </c>
      <c r="I149" s="33">
        <v>2.6</v>
      </c>
      <c r="J149" s="37">
        <v>2.85</v>
      </c>
      <c r="K149" s="33">
        <v>2.95</v>
      </c>
      <c r="L149" s="33">
        <v>2.37</v>
      </c>
      <c r="M149" s="34">
        <f t="shared" si="5"/>
        <v>2.625</v>
      </c>
    </row>
    <row r="150" spans="1:13" ht="14.45" thickBot="1">
      <c r="A150" s="31">
        <v>148</v>
      </c>
      <c r="B150" s="32" t="s">
        <v>211</v>
      </c>
      <c r="C150" s="33">
        <v>2012</v>
      </c>
      <c r="D150" s="33">
        <f t="shared" si="4"/>
        <v>14</v>
      </c>
      <c r="E150" s="37">
        <v>3.92</v>
      </c>
      <c r="F150" s="33">
        <v>2.2400000000000002</v>
      </c>
      <c r="G150" s="33">
        <v>2.4900000000000002</v>
      </c>
      <c r="H150" s="33">
        <v>2.13</v>
      </c>
      <c r="I150" s="33">
        <v>2.61</v>
      </c>
      <c r="J150" s="37">
        <v>2.86</v>
      </c>
      <c r="K150" s="33">
        <v>2.7</v>
      </c>
      <c r="L150" s="33">
        <v>3.13</v>
      </c>
      <c r="M150" s="34">
        <f t="shared" si="5"/>
        <v>2.76</v>
      </c>
    </row>
    <row r="151" spans="1:13" ht="14.45" thickBot="1">
      <c r="A151" s="31">
        <v>149</v>
      </c>
      <c r="B151" s="32" t="s">
        <v>212</v>
      </c>
      <c r="C151" s="33">
        <v>2015</v>
      </c>
      <c r="D151" s="33">
        <f t="shared" si="4"/>
        <v>11</v>
      </c>
      <c r="E151" s="37">
        <v>4</v>
      </c>
      <c r="F151" s="33">
        <v>2.2000000000000002</v>
      </c>
      <c r="G151" s="33">
        <v>2.6</v>
      </c>
      <c r="H151" s="33">
        <v>2.25</v>
      </c>
      <c r="I151" s="33">
        <v>2.89</v>
      </c>
      <c r="J151" s="37">
        <v>2.91</v>
      </c>
      <c r="K151" s="33">
        <v>2.72</v>
      </c>
      <c r="L151" s="33">
        <v>2.54</v>
      </c>
      <c r="M151" s="34">
        <f t="shared" si="5"/>
        <v>2.7637499999999999</v>
      </c>
    </row>
    <row r="152" spans="1:13" ht="14.45" thickBot="1">
      <c r="A152" s="31">
        <v>151</v>
      </c>
      <c r="B152" s="32" t="s">
        <v>213</v>
      </c>
      <c r="C152" s="40">
        <v>1973</v>
      </c>
      <c r="D152" s="33">
        <f t="shared" si="4"/>
        <v>53</v>
      </c>
      <c r="E152" s="33">
        <v>3</v>
      </c>
      <c r="F152" s="33">
        <v>2.67</v>
      </c>
      <c r="G152" s="33">
        <v>2.75</v>
      </c>
      <c r="H152" s="33">
        <v>2.61</v>
      </c>
      <c r="I152" s="33">
        <v>3</v>
      </c>
      <c r="J152" s="33">
        <v>2.86</v>
      </c>
      <c r="K152" s="33">
        <v>2.79</v>
      </c>
      <c r="L152" s="33">
        <v>3.26</v>
      </c>
      <c r="M152" s="34">
        <f t="shared" si="5"/>
        <v>2.8674999999999997</v>
      </c>
    </row>
    <row r="153" spans="1:13" ht="14.45" thickBot="1">
      <c r="A153" s="31">
        <v>152</v>
      </c>
      <c r="B153" s="32" t="s">
        <v>214</v>
      </c>
      <c r="C153" s="33">
        <v>1986</v>
      </c>
      <c r="D153" s="33">
        <f t="shared" si="4"/>
        <v>40</v>
      </c>
      <c r="E153" s="33">
        <v>3.21</v>
      </c>
      <c r="F153" s="33">
        <v>2.5299999999999998</v>
      </c>
      <c r="G153" s="33">
        <v>2.98</v>
      </c>
      <c r="H153" s="33">
        <v>2.71</v>
      </c>
      <c r="I153" s="33">
        <v>2.75</v>
      </c>
      <c r="J153" s="33">
        <v>2.92</v>
      </c>
      <c r="K153" s="33">
        <v>2.93</v>
      </c>
      <c r="L153" s="33">
        <v>3.03</v>
      </c>
      <c r="M153" s="34">
        <f t="shared" si="5"/>
        <v>2.8825000000000003</v>
      </c>
    </row>
    <row r="154" spans="1:13" ht="14.45" thickBot="1">
      <c r="A154" s="31">
        <v>153</v>
      </c>
      <c r="B154" s="32" t="s">
        <v>215</v>
      </c>
      <c r="C154" s="33">
        <v>2018</v>
      </c>
      <c r="D154" s="33">
        <f t="shared" si="4"/>
        <v>8</v>
      </c>
      <c r="E154" s="33">
        <v>2.79</v>
      </c>
      <c r="F154" s="33">
        <v>2.33</v>
      </c>
      <c r="G154" s="33">
        <v>2.97</v>
      </c>
      <c r="H154" s="33">
        <v>2.42</v>
      </c>
      <c r="I154" s="33">
        <v>3</v>
      </c>
      <c r="J154" s="33">
        <v>2.97</v>
      </c>
      <c r="K154" s="33">
        <v>2.75</v>
      </c>
      <c r="L154" s="33">
        <v>2.8</v>
      </c>
      <c r="M154" s="34">
        <f t="shared" si="5"/>
        <v>2.7537500000000001</v>
      </c>
    </row>
    <row r="155" spans="1:13" ht="14.45" thickBot="1">
      <c r="A155" s="31">
        <v>154</v>
      </c>
      <c r="B155" s="32" t="s">
        <v>216</v>
      </c>
      <c r="C155" s="33">
        <v>1991</v>
      </c>
      <c r="D155" s="33">
        <f t="shared" si="4"/>
        <v>35</v>
      </c>
      <c r="E155" s="33">
        <v>3.29</v>
      </c>
      <c r="F155" s="33">
        <v>3</v>
      </c>
      <c r="G155" s="33">
        <v>2.97</v>
      </c>
      <c r="H155" s="33">
        <v>3</v>
      </c>
      <c r="I155" s="33">
        <v>3</v>
      </c>
      <c r="J155" s="33">
        <v>2.95</v>
      </c>
      <c r="K155" s="33">
        <v>2.93</v>
      </c>
      <c r="L155" s="33">
        <v>3.13</v>
      </c>
      <c r="M155" s="34">
        <f t="shared" si="5"/>
        <v>3.0337499999999999</v>
      </c>
    </row>
    <row r="156" spans="1:13" ht="14.45" thickBot="1">
      <c r="A156" s="31">
        <v>155</v>
      </c>
      <c r="B156" s="32" t="s">
        <v>217</v>
      </c>
      <c r="C156" s="33">
        <v>1995</v>
      </c>
      <c r="D156" s="33">
        <f t="shared" si="4"/>
        <v>31</v>
      </c>
      <c r="E156" s="33">
        <v>1.93</v>
      </c>
      <c r="F156" s="33">
        <v>2.0299999999999998</v>
      </c>
      <c r="G156" s="33">
        <v>2.96</v>
      </c>
      <c r="H156" s="33">
        <v>1.85</v>
      </c>
      <c r="I156" s="33">
        <v>1.88</v>
      </c>
      <c r="J156" s="33">
        <v>2.81</v>
      </c>
      <c r="K156" s="33">
        <v>2.54</v>
      </c>
      <c r="L156" s="33">
        <v>2.2999999999999998</v>
      </c>
      <c r="M156" s="34">
        <f t="shared" si="5"/>
        <v>2.2875000000000001</v>
      </c>
    </row>
    <row r="157" spans="1:13" ht="14.45" thickBot="1">
      <c r="A157" s="31">
        <v>156</v>
      </c>
      <c r="B157" s="32" t="s">
        <v>218</v>
      </c>
      <c r="C157" s="33">
        <v>2018</v>
      </c>
      <c r="D157" s="33">
        <f t="shared" si="4"/>
        <v>8</v>
      </c>
      <c r="E157" s="33">
        <v>3.14</v>
      </c>
      <c r="F157" s="33">
        <v>2.42</v>
      </c>
      <c r="G157" s="33">
        <v>2.94</v>
      </c>
      <c r="H157" s="33">
        <v>2.37</v>
      </c>
      <c r="I157" s="33">
        <v>2.88</v>
      </c>
      <c r="J157" s="33">
        <v>2.79</v>
      </c>
      <c r="K157" s="33">
        <v>2.84</v>
      </c>
      <c r="L157" s="33">
        <v>2.0299999999999998</v>
      </c>
      <c r="M157" s="34">
        <f t="shared" si="5"/>
        <v>2.67625</v>
      </c>
    </row>
    <row r="158" spans="1:13" ht="14.45" thickBot="1">
      <c r="A158" s="31">
        <v>157</v>
      </c>
      <c r="B158" s="32" t="s">
        <v>219</v>
      </c>
      <c r="C158" s="33">
        <v>1999</v>
      </c>
      <c r="D158" s="33">
        <f t="shared" si="4"/>
        <v>27</v>
      </c>
      <c r="E158" s="33">
        <v>2.71</v>
      </c>
      <c r="F158" s="33">
        <v>2.2999999999999998</v>
      </c>
      <c r="G158" s="33">
        <v>2.98</v>
      </c>
      <c r="H158" s="33">
        <v>2.25</v>
      </c>
      <c r="I158" s="33">
        <v>2.5</v>
      </c>
      <c r="J158" s="33">
        <v>2.93</v>
      </c>
      <c r="K158" s="33">
        <v>2.84</v>
      </c>
      <c r="L158" s="33">
        <v>2.79</v>
      </c>
      <c r="M158" s="34">
        <f t="shared" si="5"/>
        <v>2.6624999999999996</v>
      </c>
    </row>
    <row r="159" spans="1:13" ht="14.45" thickBot="1">
      <c r="A159" s="31">
        <v>158</v>
      </c>
      <c r="B159" s="32" t="s">
        <v>220</v>
      </c>
      <c r="C159" s="33">
        <v>2008</v>
      </c>
      <c r="D159" s="33">
        <f t="shared" si="4"/>
        <v>18</v>
      </c>
      <c r="E159" s="33">
        <v>3.21</v>
      </c>
      <c r="F159" s="33">
        <v>2.8</v>
      </c>
      <c r="G159" s="33">
        <v>2.78</v>
      </c>
      <c r="H159" s="33">
        <v>2.76</v>
      </c>
      <c r="I159" s="33">
        <v>3</v>
      </c>
      <c r="J159" s="33">
        <v>2.98</v>
      </c>
      <c r="K159" s="33">
        <v>2.96</v>
      </c>
      <c r="L159" s="33">
        <v>2.81</v>
      </c>
      <c r="M159" s="34">
        <f t="shared" si="5"/>
        <v>2.9124999999999996</v>
      </c>
    </row>
    <row r="160" spans="1:13" ht="14.45" thickBot="1">
      <c r="A160" s="31">
        <v>159</v>
      </c>
      <c r="B160" s="32" t="s">
        <v>221</v>
      </c>
      <c r="C160" s="33">
        <v>2013</v>
      </c>
      <c r="D160" s="33">
        <f t="shared" si="4"/>
        <v>13</v>
      </c>
      <c r="E160" s="33">
        <v>3.29</v>
      </c>
      <c r="F160" s="33">
        <v>2.9</v>
      </c>
      <c r="G160" s="33">
        <v>2.92</v>
      </c>
      <c r="H160" s="33">
        <v>2.89</v>
      </c>
      <c r="I160" s="33">
        <v>3</v>
      </c>
      <c r="J160" s="33">
        <v>2.98</v>
      </c>
      <c r="K160" s="33">
        <v>2.88</v>
      </c>
      <c r="L160" s="33">
        <v>2.74</v>
      </c>
      <c r="M160" s="34">
        <f t="shared" si="5"/>
        <v>2.95</v>
      </c>
    </row>
    <row r="161" spans="1:13" ht="14.45" thickBot="1">
      <c r="A161" s="31">
        <v>160</v>
      </c>
      <c r="B161" s="32" t="s">
        <v>222</v>
      </c>
      <c r="C161" s="33">
        <v>1990</v>
      </c>
      <c r="D161" s="33">
        <f t="shared" si="4"/>
        <v>36</v>
      </c>
      <c r="E161" s="33">
        <v>3.21</v>
      </c>
      <c r="F161" s="33">
        <v>2.48</v>
      </c>
      <c r="G161" s="33">
        <v>2.84</v>
      </c>
      <c r="H161" s="33">
        <v>2.5099999999999998</v>
      </c>
      <c r="I161" s="33">
        <v>2.8</v>
      </c>
      <c r="J161" s="33">
        <v>2.56</v>
      </c>
      <c r="K161" s="33">
        <v>2.77</v>
      </c>
      <c r="L161" s="33">
        <v>2.69</v>
      </c>
      <c r="M161" s="34">
        <f t="shared" si="5"/>
        <v>2.7324999999999999</v>
      </c>
    </row>
    <row r="162" spans="1:13" ht="14.45" thickBot="1">
      <c r="B162" s="45" t="s">
        <v>223</v>
      </c>
      <c r="C162" s="45">
        <v>1985</v>
      </c>
      <c r="D162" s="45">
        <f t="shared" si="4"/>
        <v>41</v>
      </c>
      <c r="E162" s="33">
        <v>3</v>
      </c>
      <c r="F162" s="41">
        <v>2.76</v>
      </c>
      <c r="G162" s="41">
        <v>2.62</v>
      </c>
      <c r="H162" s="41">
        <v>2.62</v>
      </c>
      <c r="I162" s="41">
        <v>2.35</v>
      </c>
      <c r="J162" s="41">
        <v>2.74</v>
      </c>
      <c r="K162" s="41">
        <v>2.81</v>
      </c>
      <c r="L162" s="41">
        <v>3</v>
      </c>
      <c r="M162" s="46">
        <f>AVERAGE(E162:L162)</f>
        <v>2.7374999999999998</v>
      </c>
    </row>
    <row r="163" spans="1:13" ht="14.45" thickBot="1">
      <c r="B163" s="45" t="s">
        <v>224</v>
      </c>
      <c r="C163" s="45">
        <v>1999</v>
      </c>
      <c r="D163" s="45">
        <f t="shared" si="4"/>
        <v>27</v>
      </c>
      <c r="E163" s="33">
        <v>3.29</v>
      </c>
      <c r="F163" s="41">
        <v>2.2400000000000002</v>
      </c>
      <c r="G163" s="41">
        <v>2.54</v>
      </c>
      <c r="H163" s="41">
        <v>2.2799999999999998</v>
      </c>
      <c r="I163" s="41">
        <v>2.4</v>
      </c>
      <c r="J163" s="41">
        <v>2.76</v>
      </c>
      <c r="K163" s="41">
        <v>2.98</v>
      </c>
      <c r="L163" s="41">
        <v>2.83</v>
      </c>
      <c r="M163" s="46">
        <f t="shared" ref="M163:M214" si="6">AVERAGE(E163:L163)</f>
        <v>2.665</v>
      </c>
    </row>
    <row r="164" spans="1:13" ht="14.45" thickBot="1">
      <c r="B164" s="45" t="s">
        <v>225</v>
      </c>
      <c r="C164" s="45">
        <v>1969</v>
      </c>
      <c r="D164" s="45">
        <f t="shared" si="4"/>
        <v>57</v>
      </c>
      <c r="E164" s="33">
        <v>2.86</v>
      </c>
      <c r="F164" s="47">
        <v>3</v>
      </c>
      <c r="G164" s="47">
        <v>2.85</v>
      </c>
      <c r="H164" s="47">
        <v>2.78</v>
      </c>
      <c r="I164" s="47">
        <v>2.82</v>
      </c>
      <c r="J164" s="47">
        <v>2.97</v>
      </c>
      <c r="K164" s="47">
        <v>2.98</v>
      </c>
      <c r="L164" s="47">
        <v>2.93</v>
      </c>
      <c r="M164" s="46">
        <f t="shared" si="6"/>
        <v>2.8987499999999997</v>
      </c>
    </row>
    <row r="165" spans="1:13" ht="14.45" thickBot="1">
      <c r="B165" s="45" t="s">
        <v>226</v>
      </c>
      <c r="C165" s="45">
        <v>1971</v>
      </c>
      <c r="D165" s="45">
        <f t="shared" si="4"/>
        <v>55</v>
      </c>
      <c r="E165" s="33">
        <v>2.9289999999999998</v>
      </c>
      <c r="F165" s="47">
        <v>2.528</v>
      </c>
      <c r="G165" s="47">
        <v>2.5289999999999999</v>
      </c>
      <c r="H165" s="47">
        <v>2.3889999999999998</v>
      </c>
      <c r="I165" s="47">
        <v>2.6</v>
      </c>
      <c r="J165" s="47">
        <v>3</v>
      </c>
      <c r="K165" s="47">
        <v>3</v>
      </c>
      <c r="L165" s="47">
        <v>3.0790000000000002</v>
      </c>
      <c r="M165" s="46">
        <f t="shared" si="6"/>
        <v>2.7567500000000003</v>
      </c>
    </row>
    <row r="166" spans="1:13" ht="14.45" thickBot="1">
      <c r="B166" s="45" t="s">
        <v>227</v>
      </c>
      <c r="C166" s="45">
        <v>1967</v>
      </c>
      <c r="D166" s="45">
        <f t="shared" si="4"/>
        <v>59</v>
      </c>
      <c r="E166" s="33">
        <v>3.2</v>
      </c>
      <c r="F166" s="47">
        <v>2.6</v>
      </c>
      <c r="G166" s="47">
        <v>2.81</v>
      </c>
      <c r="H166" s="47">
        <v>2.63</v>
      </c>
      <c r="I166" s="47">
        <v>2.4300000000000002</v>
      </c>
      <c r="J166" s="47">
        <v>2.77</v>
      </c>
      <c r="K166" s="47">
        <v>2.83</v>
      </c>
      <c r="L166" s="47">
        <v>3.18</v>
      </c>
      <c r="M166" s="46">
        <f t="shared" si="6"/>
        <v>2.8062500000000004</v>
      </c>
    </row>
    <row r="167" spans="1:13" ht="14.45" thickBot="1">
      <c r="B167" s="45" t="s">
        <v>228</v>
      </c>
      <c r="C167" s="45">
        <v>1992</v>
      </c>
      <c r="D167" s="45">
        <f t="shared" si="4"/>
        <v>34</v>
      </c>
      <c r="E167" s="33">
        <v>2.71</v>
      </c>
      <c r="F167" s="47">
        <v>2.08</v>
      </c>
      <c r="G167" s="47">
        <v>2.34</v>
      </c>
      <c r="H167" s="47">
        <v>2.17</v>
      </c>
      <c r="I167" s="47">
        <v>2</v>
      </c>
      <c r="J167" s="47">
        <v>2.77</v>
      </c>
      <c r="K167" s="47">
        <v>2.83</v>
      </c>
      <c r="L167" s="47">
        <v>2.73</v>
      </c>
      <c r="M167" s="46">
        <f t="shared" si="6"/>
        <v>2.4537499999999999</v>
      </c>
    </row>
    <row r="168" spans="1:13" ht="14.45" thickBot="1">
      <c r="B168" s="45" t="s">
        <v>229</v>
      </c>
      <c r="C168" s="45">
        <v>1990</v>
      </c>
      <c r="D168" s="45">
        <f t="shared" si="4"/>
        <v>36</v>
      </c>
      <c r="E168" s="33">
        <v>2.64</v>
      </c>
      <c r="F168" s="47">
        <v>2.09</v>
      </c>
      <c r="G168" s="47">
        <v>2.93</v>
      </c>
      <c r="H168" s="47">
        <v>2.33</v>
      </c>
      <c r="I168" s="47">
        <v>2.2999999999999998</v>
      </c>
      <c r="J168" s="47">
        <v>2.61</v>
      </c>
      <c r="K168" s="47">
        <v>2.91</v>
      </c>
      <c r="L168" s="47">
        <v>3.47</v>
      </c>
      <c r="M168" s="46">
        <f t="shared" si="6"/>
        <v>2.6599999999999997</v>
      </c>
    </row>
    <row r="169" spans="1:13" ht="14.45" thickBot="1">
      <c r="B169" s="45" t="s">
        <v>230</v>
      </c>
      <c r="C169" s="45">
        <v>1992</v>
      </c>
      <c r="D169" s="45">
        <f t="shared" si="4"/>
        <v>34</v>
      </c>
      <c r="E169" s="33">
        <v>2.4300000000000002</v>
      </c>
      <c r="F169" s="47">
        <v>2.06</v>
      </c>
      <c r="G169" s="47">
        <v>2.33</v>
      </c>
      <c r="H169" s="47">
        <v>1.45</v>
      </c>
      <c r="I169" s="47">
        <v>1.5</v>
      </c>
      <c r="J169" s="47">
        <v>1.69</v>
      </c>
      <c r="K169" s="47">
        <v>2.56</v>
      </c>
      <c r="L169" s="47">
        <v>2.4700000000000002</v>
      </c>
      <c r="M169" s="46">
        <f t="shared" si="6"/>
        <v>2.0612499999999998</v>
      </c>
    </row>
    <row r="170" spans="1:13" ht="14.45" thickBot="1">
      <c r="B170" s="45" t="s">
        <v>231</v>
      </c>
      <c r="C170" s="45">
        <v>1990</v>
      </c>
      <c r="D170" s="45">
        <f t="shared" si="4"/>
        <v>36</v>
      </c>
      <c r="E170" s="33">
        <v>3.29</v>
      </c>
      <c r="F170" s="47">
        <v>2.5</v>
      </c>
      <c r="G170" s="47">
        <v>2.84</v>
      </c>
      <c r="H170" s="47">
        <v>2.58</v>
      </c>
      <c r="I170" s="47">
        <v>2.83</v>
      </c>
      <c r="J170" s="47">
        <v>2.82</v>
      </c>
      <c r="K170" s="47">
        <v>2.83</v>
      </c>
      <c r="L170" s="47">
        <v>3.16</v>
      </c>
      <c r="M170" s="46">
        <f t="shared" si="6"/>
        <v>2.8562499999999997</v>
      </c>
    </row>
    <row r="171" spans="1:13" ht="14.45" thickBot="1">
      <c r="B171" s="45" t="s">
        <v>232</v>
      </c>
      <c r="C171" s="45">
        <v>1972</v>
      </c>
      <c r="D171" s="45">
        <f t="shared" si="4"/>
        <v>54</v>
      </c>
      <c r="E171" s="33">
        <v>3.14</v>
      </c>
      <c r="F171" s="41">
        <v>2.62</v>
      </c>
      <c r="G171" s="41">
        <v>2.64</v>
      </c>
      <c r="H171" s="41">
        <v>2.4300000000000002</v>
      </c>
      <c r="I171" s="41">
        <v>2.65</v>
      </c>
      <c r="J171" s="41">
        <v>2.68</v>
      </c>
      <c r="K171" s="41">
        <v>2.98</v>
      </c>
      <c r="L171" s="41">
        <v>2.94</v>
      </c>
      <c r="M171" s="46">
        <f t="shared" si="6"/>
        <v>2.7600000000000002</v>
      </c>
    </row>
    <row r="172" spans="1:13" ht="14.45" thickBot="1">
      <c r="B172" s="45" t="s">
        <v>233</v>
      </c>
      <c r="C172" s="45">
        <v>1967</v>
      </c>
      <c r="D172" s="45">
        <f t="shared" si="4"/>
        <v>59</v>
      </c>
      <c r="E172" s="33">
        <v>3.71</v>
      </c>
      <c r="F172" s="47">
        <v>2.8</v>
      </c>
      <c r="G172" s="47">
        <v>2.4700000000000002</v>
      </c>
      <c r="H172" s="47">
        <v>2.65</v>
      </c>
      <c r="I172" s="47">
        <v>2.89</v>
      </c>
      <c r="J172" s="47">
        <v>2.67</v>
      </c>
      <c r="K172" s="47">
        <v>3</v>
      </c>
      <c r="L172" s="47">
        <v>3.2</v>
      </c>
      <c r="M172" s="46">
        <f t="shared" si="6"/>
        <v>2.9237500000000001</v>
      </c>
    </row>
    <row r="173" spans="1:13" ht="14.45" thickBot="1">
      <c r="B173" s="45" t="s">
        <v>234</v>
      </c>
      <c r="C173" s="45">
        <v>1966</v>
      </c>
      <c r="D173" s="45">
        <f t="shared" si="4"/>
        <v>60</v>
      </c>
      <c r="E173" s="33">
        <v>1.86</v>
      </c>
      <c r="F173" s="47">
        <v>3</v>
      </c>
      <c r="G173" s="47">
        <v>3</v>
      </c>
      <c r="H173" s="47">
        <v>2.94</v>
      </c>
      <c r="I173" s="47">
        <v>2.95</v>
      </c>
      <c r="J173" s="47">
        <v>2.72</v>
      </c>
      <c r="K173" s="47">
        <v>2.88</v>
      </c>
      <c r="L173" s="47">
        <v>3.21</v>
      </c>
      <c r="M173" s="46">
        <f t="shared" si="6"/>
        <v>2.82</v>
      </c>
    </row>
    <row r="174" spans="1:13" ht="14.45" thickBot="1">
      <c r="B174" s="45" t="s">
        <v>235</v>
      </c>
      <c r="C174" s="45">
        <v>1998</v>
      </c>
      <c r="D174" s="45">
        <f t="shared" si="4"/>
        <v>28</v>
      </c>
      <c r="E174" s="33">
        <v>2.71</v>
      </c>
      <c r="F174" s="41">
        <v>2.78</v>
      </c>
      <c r="G174" s="41">
        <v>2.56</v>
      </c>
      <c r="H174" s="41">
        <v>2.61</v>
      </c>
      <c r="I174" s="41">
        <v>2.68</v>
      </c>
      <c r="J174" s="41">
        <v>2.41</v>
      </c>
      <c r="K174" s="41">
        <v>2.9</v>
      </c>
      <c r="L174" s="41">
        <v>3.17</v>
      </c>
      <c r="M174" s="46">
        <f t="shared" si="6"/>
        <v>2.7275</v>
      </c>
    </row>
    <row r="175" spans="1:13" ht="14.45" thickBot="1">
      <c r="B175" s="45" t="s">
        <v>236</v>
      </c>
      <c r="C175" s="45">
        <v>1990</v>
      </c>
      <c r="D175" s="45">
        <f t="shared" si="4"/>
        <v>36</v>
      </c>
      <c r="E175" s="33">
        <v>2.5</v>
      </c>
      <c r="F175" s="47">
        <v>2.12</v>
      </c>
      <c r="G175" s="47">
        <v>2.36</v>
      </c>
      <c r="H175" s="47">
        <v>2.4900000000000002</v>
      </c>
      <c r="I175" s="47">
        <v>2</v>
      </c>
      <c r="J175" s="47">
        <v>2.77</v>
      </c>
      <c r="K175" s="47">
        <v>2.93</v>
      </c>
      <c r="L175" s="47">
        <v>3.07</v>
      </c>
      <c r="M175" s="46">
        <f t="shared" si="6"/>
        <v>2.5300000000000002</v>
      </c>
    </row>
    <row r="176" spans="1:13" ht="14.45" thickBot="1">
      <c r="B176" s="45" t="s">
        <v>237</v>
      </c>
      <c r="C176" s="45">
        <v>1991</v>
      </c>
      <c r="D176" s="45">
        <f t="shared" si="4"/>
        <v>35</v>
      </c>
      <c r="E176" s="33">
        <v>3.64</v>
      </c>
      <c r="F176" s="47">
        <v>2</v>
      </c>
      <c r="G176" s="47">
        <v>2.91</v>
      </c>
      <c r="H176" s="47">
        <v>2.1800000000000002</v>
      </c>
      <c r="I176" s="47">
        <v>2.35</v>
      </c>
      <c r="J176" s="47">
        <v>2.87</v>
      </c>
      <c r="K176" s="47">
        <v>2.76</v>
      </c>
      <c r="L176" s="47">
        <v>3.11</v>
      </c>
      <c r="M176" s="46">
        <f t="shared" si="6"/>
        <v>2.7275</v>
      </c>
    </row>
    <row r="177" spans="2:13" ht="14.45" thickBot="1">
      <c r="B177" s="45" t="s">
        <v>238</v>
      </c>
      <c r="C177" s="45">
        <v>1979</v>
      </c>
      <c r="D177" s="45">
        <f t="shared" si="4"/>
        <v>47</v>
      </c>
      <c r="E177" s="33">
        <v>3.21</v>
      </c>
      <c r="F177" s="47">
        <v>2.73</v>
      </c>
      <c r="G177" s="47">
        <v>2.52</v>
      </c>
      <c r="H177" s="47">
        <v>2.57</v>
      </c>
      <c r="I177" s="47">
        <v>3</v>
      </c>
      <c r="J177" s="47">
        <v>2.83</v>
      </c>
      <c r="K177" s="47">
        <v>3</v>
      </c>
      <c r="L177" s="47">
        <v>2.61</v>
      </c>
      <c r="M177" s="46">
        <f t="shared" si="6"/>
        <v>2.8087499999999999</v>
      </c>
    </row>
    <row r="178" spans="2:13" ht="14.45" thickBot="1">
      <c r="B178" s="45" t="s">
        <v>239</v>
      </c>
      <c r="C178" s="45">
        <v>2002</v>
      </c>
      <c r="D178" s="45">
        <f t="shared" si="4"/>
        <v>24</v>
      </c>
      <c r="E178" s="33">
        <v>1.5</v>
      </c>
      <c r="F178" s="48">
        <v>2.0299999999999998</v>
      </c>
      <c r="G178" s="48">
        <v>2.54</v>
      </c>
      <c r="H178" s="48">
        <v>1.92</v>
      </c>
      <c r="I178" s="48">
        <v>1.61</v>
      </c>
      <c r="J178" s="48">
        <v>1.37</v>
      </c>
      <c r="K178" s="48">
        <v>1.7</v>
      </c>
      <c r="L178" s="48">
        <v>2.29</v>
      </c>
      <c r="M178" s="46">
        <f t="shared" si="6"/>
        <v>1.8699999999999997</v>
      </c>
    </row>
    <row r="179" spans="2:13" ht="14.45" thickBot="1">
      <c r="B179" s="45" t="s">
        <v>240</v>
      </c>
      <c r="C179" s="45">
        <v>1992</v>
      </c>
      <c r="D179" s="45">
        <f t="shared" si="4"/>
        <v>34</v>
      </c>
      <c r="E179" s="33">
        <v>3.29</v>
      </c>
      <c r="F179" s="47">
        <v>1.45</v>
      </c>
      <c r="G179" s="47">
        <v>1.93</v>
      </c>
      <c r="H179" s="47">
        <v>1.77</v>
      </c>
      <c r="I179" s="47">
        <v>1.86</v>
      </c>
      <c r="J179" s="47">
        <v>2.06</v>
      </c>
      <c r="K179" s="47">
        <v>2.52</v>
      </c>
      <c r="L179" s="47">
        <v>3.08</v>
      </c>
      <c r="M179" s="46">
        <f t="shared" si="6"/>
        <v>2.2450000000000001</v>
      </c>
    </row>
    <row r="180" spans="2:13" ht="14.45" thickBot="1">
      <c r="B180" s="45" t="s">
        <v>241</v>
      </c>
      <c r="C180" s="45">
        <v>1993</v>
      </c>
      <c r="D180" s="45">
        <f t="shared" si="4"/>
        <v>33</v>
      </c>
      <c r="E180" s="33">
        <v>3.2</v>
      </c>
      <c r="F180" s="47">
        <v>2.39</v>
      </c>
      <c r="G180" s="47">
        <v>2.76</v>
      </c>
      <c r="H180" s="47">
        <v>2.67</v>
      </c>
      <c r="I180" s="47">
        <v>2.4500000000000002</v>
      </c>
      <c r="J180" s="47">
        <v>2.66</v>
      </c>
      <c r="K180" s="47">
        <v>2.9</v>
      </c>
      <c r="L180" s="47">
        <v>3.24</v>
      </c>
      <c r="M180" s="46">
        <f t="shared" si="6"/>
        <v>2.7837499999999995</v>
      </c>
    </row>
    <row r="181" spans="2:13" ht="14.45" thickBot="1">
      <c r="B181" s="45" t="s">
        <v>242</v>
      </c>
      <c r="C181" s="45">
        <v>1990</v>
      </c>
      <c r="D181" s="45">
        <f t="shared" si="4"/>
        <v>36</v>
      </c>
      <c r="E181" s="33">
        <v>2.5</v>
      </c>
      <c r="F181" s="47">
        <v>2.2400000000000002</v>
      </c>
      <c r="G181" s="47">
        <v>2.54</v>
      </c>
      <c r="H181" s="47">
        <v>2.61</v>
      </c>
      <c r="I181" s="47">
        <v>2.75</v>
      </c>
      <c r="J181" s="47">
        <v>2.95</v>
      </c>
      <c r="K181" s="47">
        <v>2.83</v>
      </c>
      <c r="L181" s="47">
        <v>2.67</v>
      </c>
      <c r="M181" s="46">
        <f t="shared" si="6"/>
        <v>2.6362500000000004</v>
      </c>
    </row>
    <row r="182" spans="2:13" ht="14.45" thickBot="1">
      <c r="B182" s="45" t="s">
        <v>243</v>
      </c>
      <c r="C182" s="45">
        <v>1992</v>
      </c>
      <c r="D182" s="45">
        <f t="shared" si="4"/>
        <v>34</v>
      </c>
      <c r="E182" s="33">
        <v>2.57</v>
      </c>
      <c r="F182" s="47">
        <v>2.67</v>
      </c>
      <c r="G182" s="47">
        <v>2.58</v>
      </c>
      <c r="H182" s="47">
        <v>2.67</v>
      </c>
      <c r="I182" s="47">
        <v>2.9</v>
      </c>
      <c r="J182" s="47">
        <v>2.83</v>
      </c>
      <c r="K182" s="47">
        <v>2.82</v>
      </c>
      <c r="L182" s="47">
        <v>3</v>
      </c>
      <c r="M182" s="46">
        <f t="shared" si="6"/>
        <v>2.7549999999999999</v>
      </c>
    </row>
    <row r="183" spans="2:13" ht="14.45" thickBot="1">
      <c r="B183" s="45" t="s">
        <v>244</v>
      </c>
      <c r="C183" s="45">
        <v>1990</v>
      </c>
      <c r="D183" s="45">
        <f t="shared" si="4"/>
        <v>36</v>
      </c>
      <c r="E183" s="33">
        <v>3.43</v>
      </c>
      <c r="F183" s="47">
        <v>1.97</v>
      </c>
      <c r="G183" s="47">
        <v>2.64</v>
      </c>
      <c r="H183" s="47">
        <v>2.69</v>
      </c>
      <c r="I183" s="47">
        <v>2.4</v>
      </c>
      <c r="J183" s="47">
        <v>2.94</v>
      </c>
      <c r="K183" s="47">
        <v>2.82</v>
      </c>
      <c r="L183" s="47">
        <v>2.89</v>
      </c>
      <c r="M183" s="46">
        <f t="shared" si="6"/>
        <v>2.7225000000000001</v>
      </c>
    </row>
    <row r="184" spans="2:13" ht="14.45" thickBot="1">
      <c r="B184" s="45" t="s">
        <v>245</v>
      </c>
      <c r="C184" s="45">
        <v>1992</v>
      </c>
      <c r="D184" s="45">
        <f t="shared" si="4"/>
        <v>34</v>
      </c>
      <c r="E184" s="33">
        <v>3.29</v>
      </c>
      <c r="F184" s="47">
        <v>2.33</v>
      </c>
      <c r="G184" s="47">
        <v>2.75</v>
      </c>
      <c r="H184" s="47">
        <v>2.61</v>
      </c>
      <c r="I184" s="47">
        <v>2.4</v>
      </c>
      <c r="J184" s="47">
        <v>2.87</v>
      </c>
      <c r="K184" s="47">
        <v>2.98</v>
      </c>
      <c r="L184" s="47">
        <v>3.18</v>
      </c>
      <c r="M184" s="46">
        <f t="shared" si="6"/>
        <v>2.80125</v>
      </c>
    </row>
    <row r="185" spans="2:13" ht="14.45" thickBot="1">
      <c r="B185" s="45" t="s">
        <v>246</v>
      </c>
      <c r="C185" s="45">
        <v>1994</v>
      </c>
      <c r="D185" s="45">
        <f t="shared" si="4"/>
        <v>32</v>
      </c>
      <c r="E185" s="33">
        <v>2.5</v>
      </c>
      <c r="F185" s="47">
        <v>1.95</v>
      </c>
      <c r="G185" s="47">
        <v>2.73</v>
      </c>
      <c r="H185" s="47">
        <v>1.94</v>
      </c>
      <c r="I185" s="47">
        <v>1.67</v>
      </c>
      <c r="J185" s="47">
        <v>1.5</v>
      </c>
      <c r="K185" s="47">
        <v>2.13</v>
      </c>
      <c r="L185" s="47">
        <v>2.4500000000000002</v>
      </c>
      <c r="M185" s="46">
        <f t="shared" si="6"/>
        <v>2.1087499999999997</v>
      </c>
    </row>
    <row r="186" spans="2:13" ht="14.45" thickBot="1">
      <c r="B186" s="45" t="s">
        <v>247</v>
      </c>
      <c r="C186" s="45">
        <v>1994</v>
      </c>
      <c r="D186" s="45">
        <f t="shared" si="4"/>
        <v>32</v>
      </c>
      <c r="E186" s="33">
        <v>2.5</v>
      </c>
      <c r="F186" s="47">
        <v>2.0299999999999998</v>
      </c>
      <c r="G186" s="47">
        <v>2.46</v>
      </c>
      <c r="H186" s="47">
        <v>2.36</v>
      </c>
      <c r="I186" s="47">
        <v>2.06</v>
      </c>
      <c r="J186" s="47">
        <v>2.48</v>
      </c>
      <c r="K186" s="47">
        <v>2.77</v>
      </c>
      <c r="L186" s="47">
        <v>3.18</v>
      </c>
      <c r="M186" s="46">
        <f t="shared" si="6"/>
        <v>2.48</v>
      </c>
    </row>
    <row r="187" spans="2:13" ht="14.45" thickBot="1">
      <c r="B187" s="45" t="s">
        <v>248</v>
      </c>
      <c r="C187" s="45">
        <v>1995</v>
      </c>
      <c r="D187" s="45">
        <f t="shared" si="4"/>
        <v>31</v>
      </c>
      <c r="E187" s="33">
        <v>2.5</v>
      </c>
      <c r="F187" s="48">
        <v>2.15</v>
      </c>
      <c r="G187" s="48">
        <v>1.1000000000000001</v>
      </c>
      <c r="H187" s="48">
        <v>1.94</v>
      </c>
      <c r="I187" s="48">
        <v>2</v>
      </c>
      <c r="J187" s="48">
        <v>1</v>
      </c>
      <c r="K187" s="48">
        <v>2</v>
      </c>
      <c r="L187" s="48">
        <v>2</v>
      </c>
      <c r="M187" s="46">
        <f t="shared" si="6"/>
        <v>1.8362499999999999</v>
      </c>
    </row>
    <row r="188" spans="2:13" ht="14.45" thickBot="1">
      <c r="B188" s="45" t="s">
        <v>249</v>
      </c>
      <c r="C188" s="45">
        <v>1986</v>
      </c>
      <c r="D188" s="45">
        <f t="shared" si="4"/>
        <v>40</v>
      </c>
      <c r="E188" s="33">
        <v>3.36</v>
      </c>
      <c r="F188" s="47">
        <v>2.08</v>
      </c>
      <c r="G188" s="47">
        <v>2.2200000000000002</v>
      </c>
      <c r="H188" s="47">
        <v>2.2200000000000002</v>
      </c>
      <c r="I188" s="47">
        <v>2.6</v>
      </c>
      <c r="J188" s="47">
        <v>2.72</v>
      </c>
      <c r="K188" s="47">
        <v>2.95</v>
      </c>
      <c r="L188" s="47">
        <v>2.73</v>
      </c>
      <c r="M188" s="46">
        <f t="shared" si="6"/>
        <v>2.6100000000000003</v>
      </c>
    </row>
    <row r="189" spans="2:13" ht="14.45" thickBot="1">
      <c r="B189" s="45" t="s">
        <v>250</v>
      </c>
      <c r="C189" s="45">
        <v>1995</v>
      </c>
      <c r="D189" s="45">
        <f t="shared" si="4"/>
        <v>31</v>
      </c>
      <c r="E189" s="33">
        <v>1.21</v>
      </c>
      <c r="F189" s="47">
        <v>1.9</v>
      </c>
      <c r="G189" s="47">
        <v>2.5299999999999998</v>
      </c>
      <c r="H189" s="47">
        <v>2.15</v>
      </c>
      <c r="I189" s="47">
        <v>2.4500000000000002</v>
      </c>
      <c r="J189" s="47">
        <v>2.3199999999999998</v>
      </c>
      <c r="K189" s="47">
        <v>2.89</v>
      </c>
      <c r="L189" s="47">
        <v>3.02</v>
      </c>
      <c r="M189" s="46">
        <f t="shared" si="6"/>
        <v>2.3087499999999999</v>
      </c>
    </row>
    <row r="190" spans="2:13" ht="14.45" thickBot="1">
      <c r="B190" s="45" t="s">
        <v>251</v>
      </c>
      <c r="C190" s="45">
        <v>1993</v>
      </c>
      <c r="D190" s="45">
        <f t="shared" si="4"/>
        <v>33</v>
      </c>
      <c r="E190" s="33">
        <v>2.71</v>
      </c>
      <c r="F190" s="47">
        <v>1.37</v>
      </c>
      <c r="G190" s="47">
        <v>1.7</v>
      </c>
      <c r="H190" s="47">
        <v>1.85</v>
      </c>
      <c r="I190" s="47">
        <v>2.25</v>
      </c>
      <c r="J190" s="47">
        <v>2.11</v>
      </c>
      <c r="K190" s="47">
        <v>2.79</v>
      </c>
      <c r="L190" s="47">
        <v>3.25</v>
      </c>
      <c r="M190" s="46">
        <f t="shared" si="6"/>
        <v>2.2537500000000001</v>
      </c>
    </row>
    <row r="191" spans="2:13" ht="14.45" thickBot="1">
      <c r="B191" s="45" t="s">
        <v>252</v>
      </c>
      <c r="C191" s="45">
        <v>1992</v>
      </c>
      <c r="D191" s="45">
        <f t="shared" si="4"/>
        <v>34</v>
      </c>
      <c r="E191" s="33">
        <v>2.71</v>
      </c>
      <c r="F191" s="47">
        <v>1.77</v>
      </c>
      <c r="G191" s="47">
        <v>2.21</v>
      </c>
      <c r="H191" s="47">
        <v>2.31</v>
      </c>
      <c r="I191" s="47">
        <v>1.95</v>
      </c>
      <c r="J191" s="47">
        <v>1.91</v>
      </c>
      <c r="K191" s="47">
        <v>2.8</v>
      </c>
      <c r="L191" s="47">
        <v>2.5</v>
      </c>
      <c r="M191" s="46">
        <f t="shared" si="6"/>
        <v>2.27</v>
      </c>
    </row>
    <row r="192" spans="2:13" ht="14.45" thickBot="1">
      <c r="B192" s="45" t="s">
        <v>253</v>
      </c>
      <c r="C192" s="45">
        <v>1968</v>
      </c>
      <c r="D192" s="45">
        <f t="shared" si="4"/>
        <v>58</v>
      </c>
      <c r="E192" s="33">
        <v>3</v>
      </c>
      <c r="F192" s="47">
        <v>2.06</v>
      </c>
      <c r="G192" s="47">
        <v>2.41</v>
      </c>
      <c r="H192" s="47">
        <v>2.06</v>
      </c>
      <c r="I192" s="47">
        <v>2.21</v>
      </c>
      <c r="J192" s="47">
        <v>2.2599999999999998</v>
      </c>
      <c r="K192" s="47">
        <v>2.5499999999999998</v>
      </c>
      <c r="L192" s="47">
        <v>2.94</v>
      </c>
      <c r="M192" s="46">
        <f t="shared" si="6"/>
        <v>2.4362500000000002</v>
      </c>
    </row>
    <row r="193" spans="2:13" ht="14.45" thickBot="1">
      <c r="B193" s="45" t="s">
        <v>254</v>
      </c>
      <c r="C193" s="45">
        <v>1985</v>
      </c>
      <c r="D193" s="45">
        <f t="shared" si="4"/>
        <v>41</v>
      </c>
      <c r="E193" s="33">
        <v>2.73</v>
      </c>
      <c r="F193" s="47">
        <v>2.59</v>
      </c>
      <c r="G193" s="47">
        <v>2.74</v>
      </c>
      <c r="H193" s="47">
        <v>2.74</v>
      </c>
      <c r="I193" s="47">
        <v>2.69</v>
      </c>
      <c r="J193" s="47">
        <v>2.95</v>
      </c>
      <c r="K193" s="47">
        <v>3</v>
      </c>
      <c r="L193" s="47">
        <v>3.27</v>
      </c>
      <c r="M193" s="46">
        <f t="shared" si="6"/>
        <v>2.8387500000000001</v>
      </c>
    </row>
    <row r="194" spans="2:13" ht="14.45" thickBot="1">
      <c r="B194" s="45" t="s">
        <v>255</v>
      </c>
      <c r="C194" s="45">
        <v>1985</v>
      </c>
      <c r="D194" s="45">
        <f t="shared" si="4"/>
        <v>41</v>
      </c>
      <c r="E194" s="33">
        <v>3.14</v>
      </c>
      <c r="F194" s="47">
        <v>2.48</v>
      </c>
      <c r="G194" s="47">
        <v>2.93</v>
      </c>
      <c r="H194" s="47">
        <v>2.2200000000000002</v>
      </c>
      <c r="I194" s="47">
        <v>2.25</v>
      </c>
      <c r="J194" s="47">
        <v>2.85</v>
      </c>
      <c r="K194" s="47">
        <v>3</v>
      </c>
      <c r="L194" s="47">
        <v>3.31</v>
      </c>
      <c r="M194" s="46">
        <f t="shared" si="6"/>
        <v>2.7725</v>
      </c>
    </row>
    <row r="195" spans="2:13" ht="14.45" thickBot="1">
      <c r="B195" s="45" t="s">
        <v>256</v>
      </c>
      <c r="C195" s="45">
        <v>1990</v>
      </c>
      <c r="D195" s="45">
        <f t="shared" si="4"/>
        <v>36</v>
      </c>
      <c r="E195" s="33">
        <v>3.08</v>
      </c>
      <c r="F195" s="41">
        <v>2.06</v>
      </c>
      <c r="G195" s="41">
        <v>2.68</v>
      </c>
      <c r="H195" s="41">
        <v>2.4500000000000002</v>
      </c>
      <c r="I195" s="41">
        <v>2.5499999999999998</v>
      </c>
      <c r="J195" s="41">
        <v>2.4500000000000002</v>
      </c>
      <c r="K195" s="41">
        <v>2.7</v>
      </c>
      <c r="L195" s="41">
        <v>3.38</v>
      </c>
      <c r="M195" s="46">
        <f t="shared" si="6"/>
        <v>2.6687499999999997</v>
      </c>
    </row>
    <row r="196" spans="2:13" ht="14.45" thickBot="1">
      <c r="B196" s="45" t="s">
        <v>257</v>
      </c>
      <c r="C196" s="45">
        <v>1980</v>
      </c>
      <c r="D196" s="45">
        <f t="shared" ref="D196:D214" si="7">2026-C196</f>
        <v>46</v>
      </c>
      <c r="E196" s="33">
        <v>3.15</v>
      </c>
      <c r="F196" s="47">
        <v>2</v>
      </c>
      <c r="G196" s="47">
        <v>2.77</v>
      </c>
      <c r="H196" s="47">
        <v>2.17</v>
      </c>
      <c r="I196" s="47">
        <v>2.25</v>
      </c>
      <c r="J196" s="47">
        <v>2.78</v>
      </c>
      <c r="K196" s="47">
        <v>2.77</v>
      </c>
      <c r="L196" s="47">
        <v>3.02</v>
      </c>
      <c r="M196" s="46">
        <f t="shared" si="6"/>
        <v>2.61375</v>
      </c>
    </row>
    <row r="197" spans="2:13" ht="14.45" thickBot="1">
      <c r="B197" s="45" t="s">
        <v>258</v>
      </c>
      <c r="C197" s="45">
        <v>1968</v>
      </c>
      <c r="D197" s="45">
        <f t="shared" si="7"/>
        <v>58</v>
      </c>
      <c r="E197" s="33">
        <v>3.43</v>
      </c>
      <c r="F197" s="47">
        <v>2.48</v>
      </c>
      <c r="G197" s="47">
        <v>2.75</v>
      </c>
      <c r="H197" s="47">
        <v>2.56</v>
      </c>
      <c r="I197" s="47">
        <v>2.35</v>
      </c>
      <c r="J197" s="47">
        <v>2.8</v>
      </c>
      <c r="K197" s="47">
        <v>2.94</v>
      </c>
      <c r="L197" s="47">
        <v>3.17</v>
      </c>
      <c r="M197" s="46">
        <f t="shared" si="6"/>
        <v>2.8100000000000005</v>
      </c>
    </row>
    <row r="198" spans="2:13" ht="14.45" thickBot="1">
      <c r="B198" s="45" t="s">
        <v>259</v>
      </c>
      <c r="C198" s="45">
        <v>1992</v>
      </c>
      <c r="D198" s="45">
        <f t="shared" si="7"/>
        <v>34</v>
      </c>
      <c r="E198" s="33">
        <v>2.29</v>
      </c>
      <c r="F198" s="47">
        <v>2.27</v>
      </c>
      <c r="G198" s="47">
        <v>2.6</v>
      </c>
      <c r="H198" s="47">
        <v>2.41</v>
      </c>
      <c r="I198" s="47">
        <v>2.33</v>
      </c>
      <c r="J198" s="47">
        <v>2.75</v>
      </c>
      <c r="K198" s="47">
        <v>2.7</v>
      </c>
      <c r="L198" s="47">
        <v>2.81</v>
      </c>
      <c r="M198" s="46">
        <f t="shared" si="6"/>
        <v>2.52</v>
      </c>
    </row>
    <row r="199" spans="2:13" ht="14.45" thickBot="1">
      <c r="B199" s="45" t="s">
        <v>260</v>
      </c>
      <c r="C199" s="45">
        <v>1995</v>
      </c>
      <c r="D199" s="45">
        <f t="shared" si="7"/>
        <v>31</v>
      </c>
      <c r="E199" s="33">
        <v>2.71</v>
      </c>
      <c r="F199" s="47">
        <v>2.61</v>
      </c>
      <c r="G199" s="47">
        <v>2.78</v>
      </c>
      <c r="H199" s="47">
        <v>2.42</v>
      </c>
      <c r="I199" s="47">
        <v>2.4700000000000002</v>
      </c>
      <c r="J199" s="47">
        <v>2.56</v>
      </c>
      <c r="K199" s="47">
        <v>2.7</v>
      </c>
      <c r="L199" s="47">
        <v>2.82</v>
      </c>
      <c r="M199" s="46">
        <f t="shared" si="6"/>
        <v>2.63375</v>
      </c>
    </row>
    <row r="200" spans="2:13" ht="14.45" thickBot="1">
      <c r="B200" s="45" t="s">
        <v>261</v>
      </c>
      <c r="C200" s="45">
        <v>1984</v>
      </c>
      <c r="D200" s="45">
        <f t="shared" si="7"/>
        <v>42</v>
      </c>
      <c r="E200" s="33">
        <v>3.07</v>
      </c>
      <c r="F200" s="47">
        <v>2.4700000000000002</v>
      </c>
      <c r="G200" s="47">
        <v>2.95</v>
      </c>
      <c r="H200" s="47">
        <v>2.4700000000000002</v>
      </c>
      <c r="I200" s="47">
        <v>2.5099999999999998</v>
      </c>
      <c r="J200" s="47">
        <v>2.82</v>
      </c>
      <c r="K200" s="47">
        <v>2.9</v>
      </c>
      <c r="L200" s="47">
        <v>2.88</v>
      </c>
      <c r="M200" s="46">
        <f t="shared" si="6"/>
        <v>2.7587499999999996</v>
      </c>
    </row>
    <row r="201" spans="2:13" ht="14.45" thickBot="1">
      <c r="B201" s="45" t="s">
        <v>262</v>
      </c>
      <c r="C201" s="45">
        <v>1992</v>
      </c>
      <c r="D201" s="45">
        <f t="shared" si="7"/>
        <v>34</v>
      </c>
      <c r="E201" s="33">
        <v>2.8570000000000002</v>
      </c>
      <c r="F201" s="47">
        <v>2.194</v>
      </c>
      <c r="G201" s="47">
        <v>2.1560000000000001</v>
      </c>
      <c r="H201" s="47">
        <v>2.3889999999999998</v>
      </c>
      <c r="I201" s="47">
        <v>2.65</v>
      </c>
      <c r="J201" s="47">
        <v>2.4710000000000001</v>
      </c>
      <c r="K201" s="47">
        <v>2.56</v>
      </c>
      <c r="L201" s="47">
        <v>2.625</v>
      </c>
      <c r="M201" s="46">
        <f t="shared" si="6"/>
        <v>2.4877500000000001</v>
      </c>
    </row>
    <row r="202" spans="2:13" ht="14.45" thickBot="1">
      <c r="B202" s="45" t="s">
        <v>263</v>
      </c>
      <c r="C202" s="45">
        <v>1980</v>
      </c>
      <c r="D202" s="45">
        <f t="shared" si="7"/>
        <v>46</v>
      </c>
      <c r="E202" s="33">
        <v>3.36</v>
      </c>
      <c r="F202" s="47">
        <v>2.5299999999999998</v>
      </c>
      <c r="G202" s="47">
        <v>2.69</v>
      </c>
      <c r="H202" s="47">
        <v>2.59</v>
      </c>
      <c r="I202" s="47">
        <v>2.5</v>
      </c>
      <c r="J202" s="47">
        <v>2.4300000000000002</v>
      </c>
      <c r="K202" s="47">
        <v>2.86</v>
      </c>
      <c r="L202" s="47">
        <v>2.54</v>
      </c>
      <c r="M202" s="46">
        <f t="shared" si="6"/>
        <v>2.6875</v>
      </c>
    </row>
    <row r="203" spans="2:13" ht="14.45" thickBot="1">
      <c r="B203" s="45" t="s">
        <v>264</v>
      </c>
      <c r="C203" s="45">
        <v>1980</v>
      </c>
      <c r="D203" s="45">
        <f t="shared" si="7"/>
        <v>46</v>
      </c>
      <c r="E203" s="33">
        <v>3.57</v>
      </c>
      <c r="F203" s="41">
        <v>2.87</v>
      </c>
      <c r="G203" s="41">
        <v>2.67</v>
      </c>
      <c r="H203" s="41">
        <v>2.67</v>
      </c>
      <c r="I203" s="41">
        <v>2.94</v>
      </c>
      <c r="J203" s="41">
        <v>2.96</v>
      </c>
      <c r="K203" s="41">
        <v>2.86</v>
      </c>
      <c r="L203" s="41">
        <v>3.21</v>
      </c>
      <c r="M203" s="46">
        <f t="shared" si="6"/>
        <v>2.96875</v>
      </c>
    </row>
    <row r="204" spans="2:13" ht="14.45" thickBot="1">
      <c r="B204" s="45" t="s">
        <v>265</v>
      </c>
      <c r="C204" s="45">
        <v>1993</v>
      </c>
      <c r="D204" s="45">
        <f t="shared" si="7"/>
        <v>33</v>
      </c>
      <c r="E204" s="33">
        <v>3.43</v>
      </c>
      <c r="F204" s="41">
        <v>2.33</v>
      </c>
      <c r="G204" s="41">
        <v>2.59</v>
      </c>
      <c r="H204" s="41">
        <v>2.52</v>
      </c>
      <c r="I204" s="41">
        <v>2.46</v>
      </c>
      <c r="J204" s="41">
        <v>2.94</v>
      </c>
      <c r="K204" s="41">
        <v>2.62</v>
      </c>
      <c r="L204" s="41">
        <v>3.13</v>
      </c>
      <c r="M204" s="46">
        <f t="shared" si="6"/>
        <v>2.7524999999999999</v>
      </c>
    </row>
    <row r="205" spans="2:13" ht="14.45" thickBot="1">
      <c r="B205" s="45" t="s">
        <v>266</v>
      </c>
      <c r="C205" s="45">
        <v>1994</v>
      </c>
      <c r="D205" s="45">
        <f t="shared" si="7"/>
        <v>32</v>
      </c>
      <c r="E205" s="33">
        <v>3.29</v>
      </c>
      <c r="F205" s="47">
        <v>2</v>
      </c>
      <c r="G205" s="47">
        <v>2.4900000000000002</v>
      </c>
      <c r="H205" s="47">
        <v>2.61</v>
      </c>
      <c r="I205" s="47">
        <v>2.33</v>
      </c>
      <c r="J205" s="47">
        <v>2.81</v>
      </c>
      <c r="K205" s="47">
        <v>2.93</v>
      </c>
      <c r="L205" s="47">
        <v>3.03</v>
      </c>
      <c r="M205" s="46">
        <f t="shared" si="6"/>
        <v>2.6862500000000002</v>
      </c>
    </row>
    <row r="206" spans="2:13" ht="14.45" thickBot="1">
      <c r="B206" s="45" t="s">
        <v>267</v>
      </c>
      <c r="C206" s="45">
        <v>1998</v>
      </c>
      <c r="D206" s="45">
        <f t="shared" si="7"/>
        <v>28</v>
      </c>
      <c r="E206" s="33">
        <v>3.93</v>
      </c>
      <c r="F206" s="47">
        <v>2.4300000000000002</v>
      </c>
      <c r="G206" s="47">
        <v>2.36</v>
      </c>
      <c r="H206" s="47">
        <v>2.5299999999999998</v>
      </c>
      <c r="I206" s="47">
        <v>2.71</v>
      </c>
      <c r="J206" s="47">
        <v>2.99</v>
      </c>
      <c r="K206" s="47">
        <v>2.63</v>
      </c>
      <c r="L206" s="47">
        <v>3.15</v>
      </c>
      <c r="M206" s="46">
        <f t="shared" si="6"/>
        <v>2.8412500000000001</v>
      </c>
    </row>
    <row r="207" spans="2:13" ht="14.45" thickBot="1">
      <c r="B207" s="45" t="s">
        <v>268</v>
      </c>
      <c r="C207" s="45">
        <v>1997</v>
      </c>
      <c r="D207" s="45">
        <f t="shared" si="7"/>
        <v>29</v>
      </c>
      <c r="E207" s="33">
        <v>3.47</v>
      </c>
      <c r="F207" s="47">
        <v>2.94</v>
      </c>
      <c r="G207" s="47">
        <v>2.97</v>
      </c>
      <c r="H207" s="47">
        <v>2.75</v>
      </c>
      <c r="I207" s="47">
        <v>2.81</v>
      </c>
      <c r="J207" s="47">
        <v>2.89</v>
      </c>
      <c r="K207" s="47">
        <v>3.04</v>
      </c>
      <c r="L207" s="47">
        <v>3.33</v>
      </c>
      <c r="M207" s="46">
        <f t="shared" si="6"/>
        <v>3.0250000000000004</v>
      </c>
    </row>
    <row r="208" spans="2:13" ht="14.45" thickBot="1">
      <c r="B208" s="45" t="s">
        <v>269</v>
      </c>
      <c r="C208" s="45">
        <v>1998</v>
      </c>
      <c r="D208" s="45">
        <f t="shared" si="7"/>
        <v>28</v>
      </c>
      <c r="E208" s="33">
        <v>3.27</v>
      </c>
      <c r="F208" s="47">
        <v>2.74</v>
      </c>
      <c r="G208" s="47">
        <v>2.89</v>
      </c>
      <c r="H208" s="47">
        <v>2.76</v>
      </c>
      <c r="I208" s="47">
        <v>3</v>
      </c>
      <c r="J208" s="47">
        <v>2.92</v>
      </c>
      <c r="K208" s="47">
        <v>3</v>
      </c>
      <c r="L208" s="47">
        <v>3.33</v>
      </c>
      <c r="M208" s="46">
        <f t="shared" si="6"/>
        <v>2.9887499999999996</v>
      </c>
    </row>
    <row r="209" spans="2:13" ht="14.45" thickBot="1">
      <c r="B209" s="45" t="s">
        <v>270</v>
      </c>
      <c r="C209" s="45">
        <v>1996</v>
      </c>
      <c r="D209" s="45">
        <f t="shared" si="7"/>
        <v>30</v>
      </c>
      <c r="E209" s="33">
        <v>2.87</v>
      </c>
      <c r="F209" s="47">
        <v>2.8</v>
      </c>
      <c r="G209" s="47">
        <v>2.94</v>
      </c>
      <c r="H209" s="47">
        <v>2.71</v>
      </c>
      <c r="I209" s="47">
        <v>2.73</v>
      </c>
      <c r="J209" s="47">
        <v>2.85</v>
      </c>
      <c r="K209" s="47">
        <v>2.83</v>
      </c>
      <c r="L209" s="47">
        <v>3.22</v>
      </c>
      <c r="M209" s="46">
        <f t="shared" si="6"/>
        <v>2.8687500000000004</v>
      </c>
    </row>
    <row r="210" spans="2:13" ht="14.45" thickBot="1">
      <c r="B210" s="45" t="s">
        <v>271</v>
      </c>
      <c r="C210" s="45">
        <v>1998</v>
      </c>
      <c r="D210" s="45">
        <f t="shared" si="7"/>
        <v>28</v>
      </c>
      <c r="E210" s="33">
        <v>2.4300000000000002</v>
      </c>
      <c r="F210" s="41">
        <v>2.2200000000000002</v>
      </c>
      <c r="G210" s="41">
        <v>2.44</v>
      </c>
      <c r="H210" s="41">
        <v>2.56</v>
      </c>
      <c r="I210" s="41">
        <v>2.75</v>
      </c>
      <c r="J210" s="41">
        <v>2.16</v>
      </c>
      <c r="K210" s="41">
        <v>2.86</v>
      </c>
      <c r="L210" s="41">
        <v>2.65</v>
      </c>
      <c r="M210" s="46">
        <f t="shared" si="6"/>
        <v>2.50875</v>
      </c>
    </row>
    <row r="211" spans="2:13" ht="14.45" thickBot="1">
      <c r="B211" s="45" t="s">
        <v>272</v>
      </c>
      <c r="C211" s="45">
        <v>1998</v>
      </c>
      <c r="D211" s="45">
        <f t="shared" si="7"/>
        <v>28</v>
      </c>
      <c r="E211" s="33">
        <v>3.29</v>
      </c>
      <c r="F211" s="41">
        <v>2.95</v>
      </c>
      <c r="G211" s="41">
        <v>2.9</v>
      </c>
      <c r="H211" s="41">
        <v>2.88</v>
      </c>
      <c r="I211" s="41">
        <v>3</v>
      </c>
      <c r="J211" s="41">
        <v>2.92</v>
      </c>
      <c r="K211" s="41">
        <v>2.92</v>
      </c>
      <c r="L211" s="41">
        <v>3.28</v>
      </c>
      <c r="M211" s="46">
        <f t="shared" si="6"/>
        <v>3.0175000000000001</v>
      </c>
    </row>
    <row r="212" spans="2:13" ht="14.45" thickBot="1">
      <c r="B212" s="45" t="s">
        <v>273</v>
      </c>
      <c r="C212" s="45">
        <v>1994</v>
      </c>
      <c r="D212" s="45">
        <f t="shared" si="7"/>
        <v>32</v>
      </c>
      <c r="E212" s="33">
        <v>2.6</v>
      </c>
      <c r="F212" s="47">
        <v>2.7</v>
      </c>
      <c r="G212" s="47">
        <v>2.94</v>
      </c>
      <c r="H212" s="47">
        <v>2.63</v>
      </c>
      <c r="I212" s="47">
        <v>2.63</v>
      </c>
      <c r="J212" s="47">
        <v>2.84</v>
      </c>
      <c r="K212" s="47">
        <v>3</v>
      </c>
      <c r="L212" s="47">
        <v>3.23</v>
      </c>
      <c r="M212" s="46">
        <f t="shared" si="6"/>
        <v>2.82125</v>
      </c>
    </row>
    <row r="213" spans="2:13" ht="14.45" thickBot="1">
      <c r="B213" s="45" t="s">
        <v>274</v>
      </c>
      <c r="C213" s="45">
        <v>1982</v>
      </c>
      <c r="D213" s="45">
        <f t="shared" si="7"/>
        <v>44</v>
      </c>
      <c r="E213" s="33">
        <v>2.57</v>
      </c>
      <c r="F213" s="47">
        <v>1.9</v>
      </c>
      <c r="G213" s="47">
        <v>2.5299999999999998</v>
      </c>
      <c r="H213" s="47">
        <v>2.3199999999999998</v>
      </c>
      <c r="I213" s="47">
        <v>2.39</v>
      </c>
      <c r="J213" s="47">
        <v>2.3199999999999998</v>
      </c>
      <c r="K213" s="47">
        <v>2.89</v>
      </c>
      <c r="L213" s="47">
        <v>3.02</v>
      </c>
      <c r="M213" s="46">
        <f t="shared" si="6"/>
        <v>2.4925000000000002</v>
      </c>
    </row>
    <row r="214" spans="2:13" ht="14.45" thickBot="1">
      <c r="B214" s="45" t="s">
        <v>275</v>
      </c>
      <c r="C214" s="45">
        <v>1990</v>
      </c>
      <c r="D214" s="45">
        <f t="shared" si="7"/>
        <v>36</v>
      </c>
      <c r="E214" s="33">
        <v>3</v>
      </c>
      <c r="F214" s="47">
        <v>2.23</v>
      </c>
      <c r="G214" s="47">
        <v>2.11</v>
      </c>
      <c r="H214" s="47">
        <v>2.39</v>
      </c>
      <c r="I214" s="47">
        <v>2.48</v>
      </c>
      <c r="J214" s="47">
        <v>2.88</v>
      </c>
      <c r="K214" s="47">
        <v>2.5499999999999998</v>
      </c>
      <c r="L214" s="47">
        <v>2.68</v>
      </c>
      <c r="M214" s="46">
        <f t="shared" si="6"/>
        <v>2.54</v>
      </c>
    </row>
  </sheetData>
  <mergeCells count="11">
    <mergeCell ref="G1:G2"/>
    <mergeCell ref="A1:A2"/>
    <mergeCell ref="B1:B2"/>
    <mergeCell ref="C1:C3"/>
    <mergeCell ref="E1:E2"/>
    <mergeCell ref="F1:F2"/>
    <mergeCell ref="H1:H2"/>
    <mergeCell ref="I1:I2"/>
    <mergeCell ref="J1:J2"/>
    <mergeCell ref="K1:K2"/>
    <mergeCell ref="L1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B3:N46"/>
  <sheetViews>
    <sheetView topLeftCell="A28" workbookViewId="0">
      <selection activeCell="K17" sqref="K17"/>
    </sheetView>
  </sheetViews>
  <sheetFormatPr defaultColWidth="12.7109375" defaultRowHeight="15.75" customHeight="1"/>
  <cols>
    <col min="1" max="1" width="8.42578125" customWidth="1"/>
    <col min="2" max="2" width="4" customWidth="1"/>
    <col min="3" max="3" width="2.42578125" customWidth="1"/>
    <col min="4" max="4" width="12.7109375" customWidth="1"/>
    <col min="8" max="8" width="3" customWidth="1"/>
    <col min="9" max="9" width="2.42578125" customWidth="1"/>
    <col min="10" max="10" width="3" customWidth="1"/>
    <col min="11" max="11" width="21.7109375" customWidth="1"/>
  </cols>
  <sheetData>
    <row r="3" spans="2:14" ht="15.75" customHeight="1">
      <c r="B3" s="195">
        <v>1</v>
      </c>
      <c r="C3" s="195"/>
      <c r="D3" s="58"/>
      <c r="E3" s="59"/>
      <c r="F3" s="59"/>
      <c r="G3" s="59"/>
      <c r="H3" s="59"/>
      <c r="I3" s="59"/>
      <c r="J3" s="59"/>
      <c r="K3" s="59"/>
      <c r="L3" s="59"/>
      <c r="M3" s="60"/>
      <c r="N3" s="195"/>
    </row>
    <row r="4" spans="2:14" ht="15.75" customHeight="1">
      <c r="B4" s="195"/>
      <c r="C4" s="195"/>
      <c r="D4" s="61"/>
      <c r="E4" s="195"/>
      <c r="F4" s="195"/>
      <c r="G4" s="195"/>
      <c r="H4" s="195"/>
      <c r="I4" s="195"/>
      <c r="J4" s="51"/>
      <c r="K4" s="51"/>
      <c r="L4" s="51"/>
      <c r="M4" s="66"/>
      <c r="N4" s="51"/>
    </row>
    <row r="5" spans="2:14" ht="15.75" customHeight="1">
      <c r="B5" s="195"/>
      <c r="C5" s="195"/>
      <c r="D5" s="61"/>
      <c r="E5" s="195"/>
      <c r="F5" s="195"/>
      <c r="G5" s="195"/>
      <c r="H5" s="195"/>
      <c r="I5" s="195"/>
      <c r="J5" s="195"/>
      <c r="K5" s="195"/>
      <c r="L5" s="195"/>
      <c r="M5" s="62"/>
      <c r="N5" s="195"/>
    </row>
    <row r="6" spans="2:14" ht="15.75" customHeight="1">
      <c r="B6" s="195"/>
      <c r="C6" s="195"/>
      <c r="D6" s="61"/>
      <c r="E6" s="195"/>
      <c r="F6" s="195"/>
      <c r="G6" s="195"/>
      <c r="H6" s="195"/>
      <c r="I6" s="195"/>
      <c r="J6" s="195"/>
      <c r="K6" s="195"/>
      <c r="L6" s="195"/>
      <c r="M6" s="62"/>
      <c r="N6" s="195"/>
    </row>
    <row r="7" spans="2:14" ht="15.75" customHeight="1">
      <c r="B7" s="195"/>
      <c r="C7" s="195"/>
      <c r="D7" s="61"/>
      <c r="E7" s="195"/>
      <c r="F7" s="195"/>
      <c r="G7" s="195"/>
      <c r="H7" s="195"/>
      <c r="I7" s="195"/>
      <c r="J7" s="195"/>
      <c r="K7" s="195"/>
      <c r="L7" s="195"/>
      <c r="M7" s="62"/>
      <c r="N7" s="195"/>
    </row>
    <row r="8" spans="2:14" ht="15.75" customHeight="1">
      <c r="B8" s="195"/>
      <c r="C8" s="195"/>
      <c r="D8" s="61"/>
      <c r="E8" s="195"/>
      <c r="F8" s="195"/>
      <c r="G8" s="195"/>
      <c r="H8" s="195"/>
      <c r="I8" s="195"/>
      <c r="J8" s="195"/>
      <c r="K8" s="195"/>
      <c r="L8" s="195"/>
      <c r="M8" s="62"/>
      <c r="N8" s="195"/>
    </row>
    <row r="9" spans="2:14" ht="15.75" customHeight="1">
      <c r="B9" s="195"/>
      <c r="C9" s="195"/>
      <c r="D9" s="61"/>
      <c r="E9" s="195"/>
      <c r="F9" s="195"/>
      <c r="G9" s="195"/>
      <c r="H9" s="195"/>
      <c r="I9" s="195"/>
      <c r="J9" s="195"/>
      <c r="K9" s="195"/>
      <c r="L9" s="195"/>
      <c r="M9" s="62"/>
      <c r="N9" s="195"/>
    </row>
    <row r="10" spans="2:14" ht="15.75" customHeight="1">
      <c r="B10" s="195"/>
      <c r="C10" s="195"/>
      <c r="D10" s="61"/>
      <c r="E10" s="195"/>
      <c r="F10" s="195"/>
      <c r="G10" s="195"/>
      <c r="H10" s="195"/>
      <c r="I10" s="195"/>
      <c r="J10" s="195"/>
      <c r="K10" s="195"/>
      <c r="L10" s="195"/>
      <c r="M10" s="62"/>
      <c r="N10" s="195"/>
    </row>
    <row r="11" spans="2:14" ht="9" customHeight="1">
      <c r="B11" s="195"/>
      <c r="C11" s="195"/>
      <c r="D11" s="61"/>
      <c r="E11" s="195"/>
      <c r="F11" s="195"/>
      <c r="G11" s="195"/>
      <c r="H11" s="195"/>
      <c r="I11" s="195"/>
      <c r="J11" s="195"/>
      <c r="K11" s="195"/>
      <c r="L11" s="195"/>
      <c r="M11" s="62"/>
      <c r="N11" s="195"/>
    </row>
    <row r="12" spans="2:14" ht="15.75" customHeight="1">
      <c r="B12" s="195"/>
      <c r="C12" s="195"/>
      <c r="D12" s="61"/>
      <c r="E12" s="195"/>
      <c r="F12" s="195"/>
      <c r="G12" s="195"/>
      <c r="H12" s="195"/>
      <c r="I12" s="195"/>
      <c r="J12" s="195"/>
      <c r="K12" s="195"/>
      <c r="L12" s="195"/>
      <c r="M12" s="62"/>
      <c r="N12" s="195"/>
    </row>
    <row r="13" spans="2:14" ht="15.75" customHeight="1">
      <c r="B13" s="195"/>
      <c r="C13" s="195"/>
      <c r="D13" s="61"/>
      <c r="E13" s="195"/>
      <c r="F13" s="195"/>
      <c r="G13" s="195"/>
      <c r="H13" s="195"/>
      <c r="I13" s="195"/>
      <c r="J13" s="51"/>
      <c r="K13" s="51"/>
      <c r="L13" s="51"/>
      <c r="M13" s="66"/>
      <c r="N13" s="51"/>
    </row>
    <row r="14" spans="2:14" ht="15.75" customHeight="1">
      <c r="B14" s="195"/>
      <c r="C14" s="195"/>
      <c r="D14" s="61"/>
      <c r="E14" s="195"/>
      <c r="F14" s="195"/>
      <c r="G14" s="195"/>
      <c r="H14" s="195"/>
      <c r="I14" s="195"/>
      <c r="J14" s="51"/>
      <c r="K14" s="51"/>
      <c r="L14" s="51"/>
      <c r="M14" s="66"/>
      <c r="N14" s="51"/>
    </row>
    <row r="15" spans="2:14" ht="15.75" customHeight="1">
      <c r="B15" s="195"/>
      <c r="C15" s="195"/>
      <c r="D15" s="61"/>
      <c r="E15" s="195"/>
      <c r="F15" s="195"/>
      <c r="G15" s="195"/>
      <c r="H15" s="195"/>
      <c r="I15" s="195"/>
      <c r="J15" s="51"/>
      <c r="K15" s="51"/>
      <c r="L15" s="51"/>
      <c r="M15" s="66"/>
      <c r="N15" s="51"/>
    </row>
    <row r="16" spans="2:14" ht="15.75" customHeight="1">
      <c r="B16" s="195"/>
      <c r="C16" s="195"/>
      <c r="D16" s="63"/>
      <c r="E16" s="64"/>
      <c r="F16" s="64"/>
      <c r="G16" s="64"/>
      <c r="H16" s="64"/>
      <c r="I16" s="64"/>
      <c r="J16" s="64"/>
      <c r="K16" s="64"/>
      <c r="L16" s="64"/>
      <c r="M16" s="65"/>
      <c r="N16" s="195"/>
    </row>
    <row r="18" spans="2:14" ht="15.75" customHeight="1">
      <c r="B18" s="195"/>
      <c r="C18" s="252" t="s">
        <v>276</v>
      </c>
      <c r="D18" s="252"/>
      <c r="E18" s="252"/>
      <c r="F18" s="252"/>
      <c r="G18" s="252"/>
      <c r="H18" s="195"/>
      <c r="I18" s="195"/>
      <c r="J18" s="195"/>
      <c r="K18" s="195"/>
      <c r="L18" s="195"/>
      <c r="M18" s="195"/>
      <c r="N18" s="195"/>
    </row>
    <row r="19" spans="2:14" ht="15.75" customHeight="1">
      <c r="B19" s="195"/>
      <c r="C19" s="252"/>
      <c r="D19" s="252"/>
      <c r="E19" s="252"/>
      <c r="F19" s="252"/>
      <c r="G19" s="252"/>
      <c r="H19" s="195"/>
      <c r="I19" s="57"/>
      <c r="J19" s="67" t="s">
        <v>277</v>
      </c>
      <c r="K19" s="195"/>
      <c r="L19" s="195"/>
      <c r="M19" s="195"/>
      <c r="N19" s="195"/>
    </row>
    <row r="20" spans="2:14" ht="15.75" customHeight="1">
      <c r="B20" s="195"/>
      <c r="C20" s="252"/>
      <c r="D20" s="252"/>
      <c r="E20" s="252"/>
      <c r="F20" s="252"/>
      <c r="G20" s="252"/>
      <c r="H20" s="195"/>
      <c r="I20" s="56"/>
      <c r="J20" s="67" t="s">
        <v>278</v>
      </c>
      <c r="K20" s="195"/>
      <c r="L20" s="195"/>
      <c r="M20" s="195"/>
      <c r="N20" s="195"/>
    </row>
    <row r="21" spans="2:14" ht="15.75" customHeight="1">
      <c r="B21" s="195"/>
      <c r="C21" s="252"/>
      <c r="D21" s="252"/>
      <c r="E21" s="252"/>
      <c r="F21" s="252"/>
      <c r="G21" s="252"/>
      <c r="H21" s="195"/>
      <c r="I21" s="195"/>
      <c r="J21" s="195"/>
      <c r="K21" s="195"/>
      <c r="L21" s="195"/>
      <c r="M21" s="195"/>
      <c r="N21" s="195"/>
    </row>
    <row r="22" spans="2:14" ht="15.75" customHeight="1">
      <c r="B22" s="195"/>
      <c r="C22" s="51"/>
      <c r="D22" s="51"/>
      <c r="E22" s="51"/>
      <c r="F22" s="51"/>
      <c r="G22" s="51"/>
      <c r="H22" s="195"/>
      <c r="I22" s="195"/>
      <c r="J22" s="195"/>
      <c r="K22" s="195"/>
      <c r="L22" s="195"/>
      <c r="M22" s="195"/>
      <c r="N22" s="195"/>
    </row>
    <row r="23" spans="2:14" ht="15.75" customHeight="1">
      <c r="B23" s="195">
        <v>2</v>
      </c>
      <c r="C23" s="253" t="s">
        <v>279</v>
      </c>
      <c r="D23" s="253"/>
      <c r="E23" s="253"/>
      <c r="F23" s="253"/>
      <c r="G23" s="50" t="e">
        <f>AVERAGE(G28,G32,G40,G44,N28,N36,N42)</f>
        <v>#REF!</v>
      </c>
      <c r="H23" s="195"/>
      <c r="I23" s="195"/>
      <c r="J23" s="195"/>
      <c r="K23" s="195"/>
      <c r="L23" s="195"/>
      <c r="M23" s="195"/>
      <c r="N23" s="195"/>
    </row>
    <row r="25" spans="2:14" ht="15.75" customHeight="1">
      <c r="B25" s="195"/>
      <c r="C25" s="195"/>
      <c r="D25" s="254" t="s">
        <v>62</v>
      </c>
      <c r="E25" s="254"/>
      <c r="F25" s="254"/>
      <c r="G25" s="254"/>
      <c r="H25" s="195"/>
      <c r="I25" s="195"/>
      <c r="J25" s="195"/>
      <c r="K25" s="195"/>
      <c r="L25" s="195"/>
      <c r="M25" s="195"/>
      <c r="N25" s="195"/>
    </row>
    <row r="26" spans="2:14" ht="15.75" customHeight="1">
      <c r="B26" s="195"/>
      <c r="C26" s="195"/>
      <c r="D26" s="52">
        <v>1</v>
      </c>
      <c r="E26" s="53">
        <v>2</v>
      </c>
      <c r="F26" s="54">
        <v>3</v>
      </c>
      <c r="G26" s="55">
        <v>4</v>
      </c>
      <c r="H26" s="195"/>
      <c r="I26" s="195"/>
      <c r="J26" s="195"/>
      <c r="K26" s="195"/>
      <c r="L26" s="195"/>
      <c r="M26" s="195"/>
      <c r="N26" s="195"/>
    </row>
    <row r="28" spans="2:14" ht="15.75" customHeight="1">
      <c r="B28" s="195"/>
      <c r="C28" s="255" t="str">
        <f>'Hull &amp; Cons'!B2</f>
        <v>HULL &amp; CONSTRUCTION OVERALL CAP RATING</v>
      </c>
      <c r="D28" s="255"/>
      <c r="E28" s="255"/>
      <c r="F28" s="255"/>
      <c r="G28" s="50">
        <f>'Hull &amp; Cons'!H2</f>
        <v>4</v>
      </c>
      <c r="H28" s="195"/>
      <c r="I28" s="255" t="e">
        <f>#REF!</f>
        <v>#REF!</v>
      </c>
      <c r="J28" s="255"/>
      <c r="K28" s="255"/>
      <c r="L28" s="255"/>
      <c r="M28" s="255"/>
      <c r="N28" s="50" t="e">
        <f>#REF!</f>
        <v>#REF!</v>
      </c>
    </row>
    <row r="29" spans="2:14" ht="15.75" customHeight="1">
      <c r="B29" s="195"/>
      <c r="C29" s="50"/>
      <c r="D29" s="50" t="str">
        <f>'Hull &amp; Cons'!B4</f>
        <v>Hull</v>
      </c>
      <c r="E29" s="195"/>
      <c r="F29" s="50">
        <v>1</v>
      </c>
      <c r="G29" s="50"/>
      <c r="H29" s="195"/>
      <c r="I29" s="50"/>
      <c r="J29" s="50" t="e">
        <f>#REF!</f>
        <v>#REF!</v>
      </c>
      <c r="K29" s="50"/>
      <c r="L29" s="50"/>
      <c r="M29" s="50" t="e">
        <f>#REF!</f>
        <v>#REF!</v>
      </c>
      <c r="N29" s="195"/>
    </row>
    <row r="30" spans="2:14" ht="15.75" customHeight="1">
      <c r="B30" s="195"/>
      <c r="C30" s="50"/>
      <c r="D30" s="50" t="str">
        <f>'Hull &amp; Cons'!B34</f>
        <v>Construction</v>
      </c>
      <c r="E30" s="195"/>
      <c r="F30" s="50">
        <f>'Hull &amp; Cons'!H34</f>
        <v>4</v>
      </c>
      <c r="G30" s="50"/>
      <c r="H30" s="195"/>
      <c r="I30" s="50"/>
      <c r="J30" s="50" t="e">
        <f>#REF!</f>
        <v>#REF!</v>
      </c>
      <c r="K30" s="50"/>
      <c r="L30" s="50"/>
      <c r="M30" s="50" t="e">
        <f>#REF!</f>
        <v>#REF!</v>
      </c>
      <c r="N30" s="195"/>
    </row>
    <row r="31" spans="2:14" ht="15.75" customHeight="1">
      <c r="B31" s="195"/>
      <c r="C31" s="50"/>
      <c r="D31" s="50"/>
      <c r="E31" s="50"/>
      <c r="F31" s="50"/>
      <c r="G31" s="50"/>
      <c r="H31" s="195"/>
      <c r="I31" s="50"/>
      <c r="J31" s="50" t="e">
        <f>#REF!</f>
        <v>#REF!</v>
      </c>
      <c r="K31" s="50"/>
      <c r="L31" s="50"/>
      <c r="M31" s="50" t="e">
        <f>#REF!</f>
        <v>#REF!</v>
      </c>
      <c r="N31" s="195"/>
    </row>
    <row r="32" spans="2:14" ht="15.75" customHeight="1">
      <c r="B32" s="195"/>
      <c r="C32" s="256" t="str">
        <f>Ramp!B2</f>
        <v>RAMP</v>
      </c>
      <c r="D32" s="256"/>
      <c r="E32" s="256"/>
      <c r="F32" s="256"/>
      <c r="G32" s="50">
        <f>Ramp!H2</f>
        <v>4</v>
      </c>
      <c r="H32" s="195"/>
      <c r="I32" s="50"/>
      <c r="J32" s="50" t="e">
        <f>#REF!</f>
        <v>#REF!</v>
      </c>
      <c r="K32" s="50"/>
      <c r="L32" s="50"/>
      <c r="M32" s="50" t="e">
        <f>#REF!</f>
        <v>#REF!</v>
      </c>
      <c r="N32" s="195"/>
    </row>
    <row r="33" spans="3:14" ht="15.75" customHeight="1">
      <c r="C33" s="50"/>
      <c r="D33" s="50" t="str">
        <f>Ramp!B4</f>
        <v>Fore Ramp</v>
      </c>
      <c r="E33" s="195"/>
      <c r="F33" s="50">
        <f>Ramp!H4</f>
        <v>4</v>
      </c>
      <c r="G33" s="50"/>
      <c r="H33" s="195"/>
      <c r="I33" s="50"/>
      <c r="J33" s="50" t="str">
        <f>'PUMP&amp;PIPE - xx'!B3</f>
        <v>Pump</v>
      </c>
      <c r="K33" s="50"/>
      <c r="L33" s="50"/>
      <c r="M33" s="50">
        <f>'PUMP&amp;PIPE - xx'!I3</f>
        <v>2.5</v>
      </c>
      <c r="N33" s="195"/>
    </row>
    <row r="34" spans="3:14" ht="15.75" customHeight="1">
      <c r="C34" s="50"/>
      <c r="D34" s="50" t="str">
        <f>Ramp!B28</f>
        <v>Bow Visor</v>
      </c>
      <c r="E34" s="195"/>
      <c r="F34" s="50">
        <f>Ramp!H28</f>
        <v>4</v>
      </c>
      <c r="G34" s="50"/>
      <c r="H34" s="195"/>
      <c r="I34" s="50"/>
      <c r="J34" s="50" t="str">
        <f>'PUMP&amp;PIPE - xx'!B42</f>
        <v>Pipe</v>
      </c>
      <c r="K34" s="50"/>
      <c r="L34" s="50"/>
      <c r="M34" s="50">
        <f>'PUMP&amp;PIPE - xx'!I42</f>
        <v>1</v>
      </c>
      <c r="N34" s="195"/>
    </row>
    <row r="35" spans="3:14" ht="15.75" customHeight="1">
      <c r="C35" s="50"/>
      <c r="D35" s="50" t="str">
        <f>Ramp!B47</f>
        <v>Aft Ramp</v>
      </c>
      <c r="E35" s="195"/>
      <c r="F35" s="50">
        <f>Ramp!H47</f>
        <v>4</v>
      </c>
      <c r="G35" s="50"/>
      <c r="H35" s="195"/>
      <c r="I35" s="50"/>
      <c r="J35" s="50"/>
      <c r="K35" s="50"/>
      <c r="L35" s="50"/>
      <c r="M35" s="50"/>
      <c r="N35" s="195"/>
    </row>
    <row r="36" spans="3:14" ht="15.75" customHeight="1">
      <c r="C36" s="50"/>
      <c r="D36" s="50" t="str">
        <f>Ramp!B71</f>
        <v>Portside Ramp</v>
      </c>
      <c r="E36" s="195"/>
      <c r="F36" s="50">
        <f>Ramp!H71</f>
        <v>4</v>
      </c>
      <c r="G36" s="50"/>
      <c r="H36" s="195"/>
      <c r="I36" s="256" t="str">
        <f>'BRIDGE &amp; NAVIGATION'!B2</f>
        <v>BRIDGE &amp; NAVIGATION ROOM</v>
      </c>
      <c r="J36" s="256"/>
      <c r="K36" s="256"/>
      <c r="L36" s="256"/>
      <c r="M36" s="256"/>
      <c r="N36" s="50">
        <f>'BRIDGE &amp; NAVIGATION'!H2</f>
        <v>4</v>
      </c>
    </row>
    <row r="37" spans="3:14" ht="15.75" customHeight="1">
      <c r="C37" s="50"/>
      <c r="D37" s="50" t="str">
        <f>Ramp!B95</f>
        <v>Starboard Ramp</v>
      </c>
      <c r="E37" s="195"/>
      <c r="F37" s="50">
        <f>Ramp!H95</f>
        <v>4</v>
      </c>
      <c r="G37" s="50"/>
      <c r="H37" s="195"/>
      <c r="I37" s="50"/>
      <c r="J37" s="50" t="str">
        <f>'BRIDGE &amp; NAVIGATION'!B4</f>
        <v>General Condition</v>
      </c>
      <c r="K37" s="50"/>
      <c r="L37" s="50"/>
      <c r="M37" s="50">
        <f>'BRIDGE &amp; NAVIGATION'!H4</f>
        <v>4</v>
      </c>
      <c r="N37" s="195"/>
    </row>
    <row r="38" spans="3:14" ht="15.75" customHeight="1">
      <c r="C38" s="50"/>
      <c r="D38" s="50" t="str">
        <f>Ramp!B119</f>
        <v>In Ramp</v>
      </c>
      <c r="E38" s="195"/>
      <c r="F38" s="50">
        <f>Ramp!H119</f>
        <v>4</v>
      </c>
      <c r="G38" s="50"/>
      <c r="H38" s="195"/>
      <c r="I38" s="50"/>
      <c r="J38" s="50" t="str">
        <f>'BRIDGE &amp; NAVIGATION'!B50</f>
        <v>Navigation Equipment</v>
      </c>
      <c r="K38" s="50"/>
      <c r="L38" s="50"/>
      <c r="M38" s="50">
        <f>'BRIDGE &amp; NAVIGATION'!H50</f>
        <v>4</v>
      </c>
      <c r="N38" s="195"/>
    </row>
    <row r="39" spans="3:14" ht="15.75" customHeight="1">
      <c r="C39" s="50"/>
      <c r="D39" s="50"/>
      <c r="E39" s="50"/>
      <c r="F39" s="50"/>
      <c r="G39" s="50"/>
      <c r="H39" s="195"/>
      <c r="I39" s="50"/>
      <c r="J39" s="50" t="str">
        <f>'BRIDGE &amp; NAVIGATION'!B73</f>
        <v>Communication Equipment</v>
      </c>
      <c r="K39" s="50"/>
      <c r="L39" s="50"/>
      <c r="M39" s="50">
        <f>'BRIDGE &amp; NAVIGATION'!H73</f>
        <v>4</v>
      </c>
      <c r="N39" s="195"/>
    </row>
    <row r="40" spans="3:14" ht="15.75" customHeight="1">
      <c r="C40" s="256" t="str">
        <f>Accomodation!B2</f>
        <v>ACCOMODATION</v>
      </c>
      <c r="D40" s="256"/>
      <c r="E40" s="256"/>
      <c r="F40" s="256"/>
      <c r="G40" s="50">
        <f>Accomodation!H2</f>
        <v>4</v>
      </c>
      <c r="H40" s="195"/>
      <c r="I40" s="50"/>
      <c r="J40" s="50" t="str">
        <f>'BRIDGE &amp; NAVIGATION'!B90</f>
        <v>Navigation Light</v>
      </c>
      <c r="K40" s="50"/>
      <c r="L40" s="50"/>
      <c r="M40" s="50">
        <f>'BRIDGE &amp; NAVIGATION'!H90</f>
        <v>4</v>
      </c>
      <c r="N40" s="195"/>
    </row>
    <row r="41" spans="3:14" ht="15.75" customHeight="1">
      <c r="C41" s="50"/>
      <c r="D41" s="50" t="str">
        <f>Accomodation!B4</f>
        <v>Crew</v>
      </c>
      <c r="E41" s="195"/>
      <c r="F41" s="50">
        <f>Accomodation!H4</f>
        <v>4</v>
      </c>
      <c r="G41" s="50"/>
      <c r="H41" s="195"/>
      <c r="I41" s="50"/>
      <c r="J41" s="50"/>
      <c r="K41" s="50"/>
      <c r="L41" s="50"/>
      <c r="M41" s="50"/>
      <c r="N41" s="195"/>
    </row>
    <row r="42" spans="3:14" ht="15.75" customHeight="1">
      <c r="C42" s="50"/>
      <c r="D42" s="50" t="str">
        <f>Accomodation!B41</f>
        <v>Passenger</v>
      </c>
      <c r="E42" s="195"/>
      <c r="F42" s="50">
        <f>Accomodation!H41</f>
        <v>4</v>
      </c>
      <c r="G42" s="50"/>
      <c r="H42" s="195"/>
      <c r="I42" s="256" t="str">
        <f>'SHIP SAFETY OPERATION'!B2</f>
        <v>SHIP SAFETY  OPERATION</v>
      </c>
      <c r="J42" s="256"/>
      <c r="K42" s="256"/>
      <c r="L42" s="256"/>
      <c r="M42" s="256"/>
      <c r="N42" s="50">
        <f>'SHIP SAFETY OPERATION'!H2</f>
        <v>4</v>
      </c>
    </row>
    <row r="43" spans="3:14" ht="15.75" customHeight="1">
      <c r="C43" s="50"/>
      <c r="D43" s="50"/>
      <c r="E43" s="50"/>
      <c r="F43" s="50"/>
      <c r="G43" s="50"/>
      <c r="H43" s="195"/>
      <c r="I43" s="50"/>
      <c r="J43" s="50" t="str">
        <f>'SHIP SAFETY OPERATION'!B4</f>
        <v>Operation Document</v>
      </c>
      <c r="K43" s="50"/>
      <c r="L43" s="50"/>
      <c r="M43" s="50">
        <f>'SHIP SAFETY OPERATION'!H4</f>
        <v>4</v>
      </c>
      <c r="N43" s="195"/>
    </row>
    <row r="44" spans="3:14" ht="15.75" customHeight="1">
      <c r="C44" s="256" t="e">
        <f>#REF!</f>
        <v>#REF!</v>
      </c>
      <c r="D44" s="256"/>
      <c r="E44" s="256"/>
      <c r="F44" s="256"/>
      <c r="G44" s="50" t="e">
        <f>#REF!</f>
        <v>#REF!</v>
      </c>
      <c r="H44" s="195"/>
      <c r="I44" s="50"/>
      <c r="J44" s="50" t="str">
        <f>'SHIP SAFETY OPERATION'!B54</f>
        <v>Life Saving Appliance</v>
      </c>
      <c r="K44" s="50"/>
      <c r="L44" s="50"/>
      <c r="M44" s="50">
        <f ca="1">'SHIP SAFETY OPERATION'!H54</f>
        <v>2.1555555555555559</v>
      </c>
      <c r="N44" s="195"/>
    </row>
    <row r="45" spans="3:14" ht="15.75" customHeight="1">
      <c r="C45" s="50"/>
      <c r="D45" s="50" t="e">
        <f>#REF!</f>
        <v>#REF!</v>
      </c>
      <c r="E45" s="195"/>
      <c r="F45" s="50" t="e">
        <f>#REF!</f>
        <v>#REF!</v>
      </c>
      <c r="G45" s="50"/>
      <c r="H45" s="195"/>
      <c r="I45" s="50"/>
      <c r="J45" s="50" t="str">
        <f>'SHIP SAFETY OPERATION'!B153</f>
        <v>Fire Fighting Appliance</v>
      </c>
      <c r="K45" s="50"/>
      <c r="L45" s="50"/>
      <c r="M45" s="50">
        <f>'SHIP SAFETY OPERATION'!H153</f>
        <v>4</v>
      </c>
      <c r="N45" s="195"/>
    </row>
    <row r="46" spans="3:14" ht="15.75" customHeight="1">
      <c r="C46" s="50"/>
      <c r="D46" s="50" t="e">
        <f>#REF!</f>
        <v>#REF!</v>
      </c>
      <c r="E46" s="195"/>
      <c r="F46" s="50" t="e">
        <f>#REF!</f>
        <v>#REF!</v>
      </c>
      <c r="G46" s="195"/>
      <c r="H46" s="195"/>
      <c r="I46" s="195"/>
      <c r="J46" s="195"/>
      <c r="K46" s="195"/>
      <c r="L46" s="195"/>
      <c r="M46" s="195"/>
      <c r="N46" s="195"/>
    </row>
  </sheetData>
  <mergeCells count="10">
    <mergeCell ref="I36:M36"/>
    <mergeCell ref="C32:F32"/>
    <mergeCell ref="C40:F40"/>
    <mergeCell ref="C44:F44"/>
    <mergeCell ref="I42:M42"/>
    <mergeCell ref="C18:G21"/>
    <mergeCell ref="C23:F23"/>
    <mergeCell ref="D25:G25"/>
    <mergeCell ref="C28:F28"/>
    <mergeCell ref="I28:M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DDF6-C834-441A-BD7E-71488B95481C}">
  <sheetPr>
    <tabColor rgb="FFFF0000"/>
    <outlinePr summaryBelow="0" summaryRight="0"/>
  </sheetPr>
  <dimension ref="C2:Q24"/>
  <sheetViews>
    <sheetView workbookViewId="0">
      <selection activeCell="O21" sqref="O21"/>
    </sheetView>
  </sheetViews>
  <sheetFormatPr defaultColWidth="12.7109375" defaultRowHeight="15.75" customHeight="1"/>
  <cols>
    <col min="1" max="1" width="8.42578125" style="79" customWidth="1"/>
    <col min="2" max="2" width="4" style="79" customWidth="1"/>
    <col min="3" max="3" width="2.28515625" style="79" customWidth="1"/>
    <col min="4" max="5" width="13.7109375" style="79" customWidth="1"/>
    <col min="6" max="6" width="8.7109375" style="79" customWidth="1"/>
    <col min="7" max="7" width="2.28515625" style="79" customWidth="1"/>
    <col min="8" max="8" width="8.7109375" style="93" customWidth="1"/>
    <col min="9" max="9" width="6.7109375" style="93" customWidth="1"/>
    <col min="10" max="10" width="2.28515625" style="93" customWidth="1"/>
    <col min="11" max="12" width="13.7109375" style="93" customWidth="1"/>
    <col min="13" max="13" width="8.7109375" style="93" customWidth="1"/>
    <col min="14" max="14" width="2.28515625" style="93" customWidth="1"/>
    <col min="15" max="15" width="8.7109375" style="93" customWidth="1"/>
    <col min="16" max="16384" width="12.7109375" style="79"/>
  </cols>
  <sheetData>
    <row r="2" spans="3:17" ht="15.75" customHeight="1">
      <c r="C2" s="144"/>
      <c r="D2" s="144"/>
      <c r="E2" s="144"/>
      <c r="F2" s="144"/>
      <c r="G2" s="144"/>
      <c r="H2" s="145"/>
      <c r="P2" s="194"/>
      <c r="Q2" s="194"/>
    </row>
    <row r="3" spans="3:17" ht="30" customHeight="1">
      <c r="C3" s="263" t="s">
        <v>280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  <c r="P3" s="194"/>
      <c r="Q3" s="194"/>
    </row>
    <row r="4" spans="3:17" ht="30" customHeight="1">
      <c r="C4" s="266" t="s">
        <v>281</v>
      </c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93" t="s">
        <v>282</v>
      </c>
      <c r="O4" s="160">
        <f>AVERAGE(H6,H10,H18,H22,O6,O14,O20)</f>
        <v>4</v>
      </c>
      <c r="P4" s="194"/>
      <c r="Q4" s="151"/>
    </row>
    <row r="5" spans="3:17" ht="15.75" customHeight="1">
      <c r="C5" s="157"/>
      <c r="D5" s="95"/>
      <c r="E5" s="95"/>
      <c r="F5" s="95"/>
      <c r="G5" s="95"/>
      <c r="H5" s="158"/>
      <c r="I5" s="158"/>
      <c r="J5" s="158"/>
      <c r="K5" s="158"/>
      <c r="L5" s="158"/>
      <c r="M5" s="158"/>
      <c r="N5" s="158"/>
      <c r="O5" s="159"/>
      <c r="P5" s="194"/>
      <c r="Q5" s="194"/>
    </row>
    <row r="6" spans="3:17" ht="15.75" customHeight="1">
      <c r="C6" s="260" t="s">
        <v>283</v>
      </c>
      <c r="D6" s="261"/>
      <c r="E6" s="261"/>
      <c r="F6" s="261"/>
      <c r="G6" s="146" t="s">
        <v>282</v>
      </c>
      <c r="H6" s="147">
        <f>'Hull &amp; Cons'!H2</f>
        <v>4</v>
      </c>
      <c r="J6" s="261" t="s">
        <v>284</v>
      </c>
      <c r="K6" s="261"/>
      <c r="L6" s="261"/>
      <c r="M6" s="261"/>
      <c r="N6" s="146" t="s">
        <v>282</v>
      </c>
      <c r="O6" s="149">
        <f>'ER&amp;Machinery-1'!H2</f>
        <v>4</v>
      </c>
      <c r="P6" s="194"/>
      <c r="Q6" s="194"/>
    </row>
    <row r="7" spans="3:17" ht="15.75" customHeight="1">
      <c r="C7" s="150" t="s">
        <v>285</v>
      </c>
      <c r="D7" s="259" t="str">
        <f>'Hull &amp; Cons'!B4</f>
        <v>Hull</v>
      </c>
      <c r="E7" s="259"/>
      <c r="F7" s="151">
        <f>'Hull &amp; Cons'!H4</f>
        <v>4</v>
      </c>
      <c r="G7" s="151"/>
      <c r="H7" s="145"/>
      <c r="J7" s="145" t="s">
        <v>285</v>
      </c>
      <c r="K7" s="259" t="str">
        <f>'ER&amp;Machinery-1'!B4</f>
        <v>General Condition</v>
      </c>
      <c r="L7" s="259"/>
      <c r="M7" s="145">
        <f>'ER&amp;Machinery-1'!H4</f>
        <v>4</v>
      </c>
      <c r="N7" s="145"/>
      <c r="O7" s="148"/>
      <c r="P7" s="194"/>
      <c r="Q7" s="194"/>
    </row>
    <row r="8" spans="3:17" ht="15.75" customHeight="1">
      <c r="C8" s="150" t="s">
        <v>285</v>
      </c>
      <c r="D8" s="259" t="str">
        <f>'Hull &amp; Cons'!B34</f>
        <v>Construction</v>
      </c>
      <c r="E8" s="259"/>
      <c r="F8" s="151">
        <f>'Hull &amp; Cons'!H34</f>
        <v>4</v>
      </c>
      <c r="G8" s="151"/>
      <c r="H8" s="145"/>
      <c r="J8" s="145" t="s">
        <v>285</v>
      </c>
      <c r="K8" s="259" t="str">
        <f>'ER&amp;Machinery-1'!B66</f>
        <v>Main Engine</v>
      </c>
      <c r="L8" s="259"/>
      <c r="M8" s="145">
        <f>'ER&amp;Machinery-1'!H66</f>
        <v>4</v>
      </c>
      <c r="N8" s="145"/>
      <c r="O8" s="148"/>
      <c r="P8" s="194"/>
      <c r="Q8" s="194"/>
    </row>
    <row r="9" spans="3:17" ht="15.75" customHeight="1">
      <c r="C9" s="150"/>
      <c r="D9" s="151"/>
      <c r="E9" s="151"/>
      <c r="F9" s="151"/>
      <c r="G9" s="151"/>
      <c r="H9" s="145"/>
      <c r="J9" s="145" t="s">
        <v>285</v>
      </c>
      <c r="K9" s="259" t="str">
        <f>'ER&amp;Machinery-1'!B110</f>
        <v>Auxiliary Engine</v>
      </c>
      <c r="L9" s="259"/>
      <c r="M9" s="145">
        <f>'ER&amp;Machinery-1'!H110</f>
        <v>4</v>
      </c>
      <c r="N9" s="145"/>
      <c r="O9" s="148"/>
      <c r="P9" s="194"/>
      <c r="Q9" s="194"/>
    </row>
    <row r="10" spans="3:17" ht="15.75" customHeight="1">
      <c r="C10" s="258" t="s">
        <v>286</v>
      </c>
      <c r="D10" s="257"/>
      <c r="E10" s="257"/>
      <c r="F10" s="257"/>
      <c r="G10" s="146" t="s">
        <v>282</v>
      </c>
      <c r="H10" s="147">
        <f>Ramp!H2</f>
        <v>4</v>
      </c>
      <c r="J10" s="145" t="s">
        <v>285</v>
      </c>
      <c r="K10" s="259" t="str">
        <f>'ER&amp;Machinery-1'!B154</f>
        <v>Generator</v>
      </c>
      <c r="L10" s="259"/>
      <c r="M10" s="145">
        <f>'ER&amp;Machinery-1'!H154</f>
        <v>4</v>
      </c>
      <c r="O10" s="148"/>
      <c r="P10" s="194"/>
      <c r="Q10" s="194"/>
    </row>
    <row r="11" spans="3:17" ht="15.75" customHeight="1">
      <c r="C11" s="150" t="s">
        <v>285</v>
      </c>
      <c r="D11" s="259" t="str">
        <f>Ramp!B4</f>
        <v>Fore Ramp</v>
      </c>
      <c r="E11" s="259"/>
      <c r="F11" s="151">
        <f>Ramp!H4</f>
        <v>4</v>
      </c>
      <c r="G11" s="151"/>
      <c r="H11" s="145"/>
      <c r="J11" s="145" t="s">
        <v>285</v>
      </c>
      <c r="K11" s="259" t="str">
        <f>'ER&amp;MAchinery-2'!B3</f>
        <v>Pump</v>
      </c>
      <c r="L11" s="259"/>
      <c r="M11" s="145">
        <f>'ER&amp;MAchinery-2'!I3</f>
        <v>4</v>
      </c>
      <c r="N11" s="145"/>
      <c r="O11" s="148"/>
      <c r="P11" s="194"/>
      <c r="Q11" s="194"/>
    </row>
    <row r="12" spans="3:17" ht="15.75" customHeight="1">
      <c r="C12" s="150" t="s">
        <v>285</v>
      </c>
      <c r="D12" s="259" t="str">
        <f>Ramp!B28</f>
        <v>Bow Visor</v>
      </c>
      <c r="E12" s="259"/>
      <c r="F12" s="151">
        <f>Ramp!H28</f>
        <v>4</v>
      </c>
      <c r="G12" s="151"/>
      <c r="H12" s="145"/>
      <c r="J12" s="145" t="s">
        <v>285</v>
      </c>
      <c r="K12" s="259" t="str">
        <f>'ER&amp;MAchinery-2'!B43</f>
        <v>Pipe</v>
      </c>
      <c r="L12" s="259"/>
      <c r="M12" s="145">
        <f>'ER&amp;MAchinery-2'!I43</f>
        <v>4</v>
      </c>
      <c r="N12" s="145"/>
      <c r="O12" s="148"/>
      <c r="P12" s="194"/>
      <c r="Q12" s="194"/>
    </row>
    <row r="13" spans="3:17" ht="15.75" customHeight="1">
      <c r="C13" s="150" t="s">
        <v>285</v>
      </c>
      <c r="D13" s="259" t="str">
        <f>Ramp!B47</f>
        <v>Aft Ramp</v>
      </c>
      <c r="E13" s="259"/>
      <c r="F13" s="151">
        <f>Ramp!H47</f>
        <v>4</v>
      </c>
      <c r="G13" s="151"/>
      <c r="H13" s="145"/>
      <c r="J13" s="145"/>
      <c r="K13" s="145"/>
      <c r="L13" s="145"/>
      <c r="M13" s="145"/>
      <c r="N13" s="145"/>
      <c r="O13" s="148"/>
      <c r="P13" s="194"/>
      <c r="Q13" s="194"/>
    </row>
    <row r="14" spans="3:17" ht="15.75" customHeight="1">
      <c r="C14" s="150" t="s">
        <v>285</v>
      </c>
      <c r="D14" s="259" t="str">
        <f>Ramp!B71</f>
        <v>Portside Ramp</v>
      </c>
      <c r="E14" s="259"/>
      <c r="F14" s="151">
        <f>Ramp!H71</f>
        <v>4</v>
      </c>
      <c r="G14" s="151"/>
      <c r="H14" s="145"/>
      <c r="J14" s="257" t="s">
        <v>287</v>
      </c>
      <c r="K14" s="257"/>
      <c r="L14" s="257"/>
      <c r="M14" s="257"/>
      <c r="N14" s="147" t="s">
        <v>282</v>
      </c>
      <c r="O14" s="149">
        <f>'BRIDGE &amp; NAVIGATION'!H2</f>
        <v>4</v>
      </c>
      <c r="P14" s="194"/>
      <c r="Q14" s="194"/>
    </row>
    <row r="15" spans="3:17" ht="15.75" customHeight="1">
      <c r="C15" s="150" t="s">
        <v>285</v>
      </c>
      <c r="D15" s="259" t="str">
        <f>Ramp!B95</f>
        <v>Starboard Ramp</v>
      </c>
      <c r="E15" s="259"/>
      <c r="F15" s="151">
        <f>Ramp!H95</f>
        <v>4</v>
      </c>
      <c r="G15" s="151"/>
      <c r="H15" s="145"/>
      <c r="J15" s="93" t="s">
        <v>285</v>
      </c>
      <c r="K15" s="259" t="str">
        <f>'BRIDGE &amp; NAVIGATION'!B4</f>
        <v>General Condition</v>
      </c>
      <c r="L15" s="259"/>
      <c r="M15" s="145">
        <f>'BRIDGE &amp; NAVIGATION'!H4</f>
        <v>4</v>
      </c>
      <c r="N15" s="145"/>
      <c r="O15" s="148"/>
      <c r="P15" s="194"/>
      <c r="Q15" s="194"/>
    </row>
    <row r="16" spans="3:17" ht="15.75" customHeight="1">
      <c r="C16" s="150" t="s">
        <v>285</v>
      </c>
      <c r="D16" s="259" t="str">
        <f>Ramp!B119</f>
        <v>In Ramp</v>
      </c>
      <c r="E16" s="259"/>
      <c r="F16" s="151">
        <f>Ramp!H119</f>
        <v>4</v>
      </c>
      <c r="G16" s="151"/>
      <c r="H16" s="145"/>
      <c r="J16" s="93" t="s">
        <v>285</v>
      </c>
      <c r="K16" s="259" t="str">
        <f>'BRIDGE &amp; NAVIGATION'!B50</f>
        <v>Navigation Equipment</v>
      </c>
      <c r="L16" s="259"/>
      <c r="M16" s="145">
        <f>'BRIDGE &amp; NAVIGATION'!H50</f>
        <v>4</v>
      </c>
      <c r="N16" s="145"/>
      <c r="O16" s="148"/>
      <c r="P16" s="194"/>
      <c r="Q16" s="194"/>
    </row>
    <row r="17" spans="3:15" ht="15.75" customHeight="1">
      <c r="C17" s="150"/>
      <c r="D17" s="151"/>
      <c r="E17" s="151"/>
      <c r="F17" s="151"/>
      <c r="G17" s="151"/>
      <c r="H17" s="145"/>
      <c r="J17" s="93" t="s">
        <v>285</v>
      </c>
      <c r="K17" s="259" t="str">
        <f>'BRIDGE &amp; NAVIGATION'!B73</f>
        <v>Communication Equipment</v>
      </c>
      <c r="L17" s="259"/>
      <c r="M17" s="145">
        <f>'BRIDGE &amp; NAVIGATION'!H73</f>
        <v>4</v>
      </c>
      <c r="N17" s="145"/>
      <c r="O17" s="148"/>
    </row>
    <row r="18" spans="3:15" ht="15.75" customHeight="1">
      <c r="C18" s="258" t="s">
        <v>288</v>
      </c>
      <c r="D18" s="257"/>
      <c r="E18" s="257"/>
      <c r="F18" s="257"/>
      <c r="G18" s="146" t="s">
        <v>282</v>
      </c>
      <c r="H18" s="147">
        <f>Accomodation!H2</f>
        <v>4</v>
      </c>
      <c r="J18" s="93" t="s">
        <v>285</v>
      </c>
      <c r="K18" s="259" t="str">
        <f>'BRIDGE &amp; NAVIGATION'!B90</f>
        <v>Navigation Light</v>
      </c>
      <c r="L18" s="259"/>
      <c r="M18" s="145">
        <f>'BRIDGE &amp; NAVIGATION'!H90</f>
        <v>4</v>
      </c>
      <c r="O18" s="148"/>
    </row>
    <row r="19" spans="3:15" ht="15.75" customHeight="1">
      <c r="C19" s="150" t="s">
        <v>285</v>
      </c>
      <c r="D19" s="259" t="str">
        <f>Accomodation!B4</f>
        <v>Crew</v>
      </c>
      <c r="E19" s="259"/>
      <c r="F19" s="151">
        <f>Accomodation!H4</f>
        <v>4</v>
      </c>
      <c r="G19" s="151"/>
      <c r="H19" s="145"/>
      <c r="J19" s="145"/>
      <c r="K19" s="145"/>
      <c r="L19" s="145"/>
      <c r="M19" s="145"/>
      <c r="N19" s="145"/>
      <c r="O19" s="148"/>
    </row>
    <row r="20" spans="3:15" ht="15.75" customHeight="1">
      <c r="C20" s="150" t="s">
        <v>285</v>
      </c>
      <c r="D20" s="259" t="str">
        <f>Accomodation!B41</f>
        <v>Passenger</v>
      </c>
      <c r="E20" s="259"/>
      <c r="F20" s="151">
        <f>Accomodation!H41</f>
        <v>4</v>
      </c>
      <c r="G20" s="151"/>
      <c r="H20" s="145"/>
      <c r="J20" s="257" t="s">
        <v>289</v>
      </c>
      <c r="K20" s="257"/>
      <c r="L20" s="257"/>
      <c r="M20" s="257"/>
      <c r="N20" s="147" t="s">
        <v>282</v>
      </c>
      <c r="O20" s="149">
        <f>'SHIP SAFETY OPERATION'!H2</f>
        <v>4</v>
      </c>
    </row>
    <row r="21" spans="3:15" ht="15.75" customHeight="1">
      <c r="C21" s="150"/>
      <c r="D21" s="151"/>
      <c r="E21" s="151"/>
      <c r="F21" s="151"/>
      <c r="G21" s="151"/>
      <c r="H21" s="145"/>
      <c r="J21" s="93" t="s">
        <v>285</v>
      </c>
      <c r="K21" s="259" t="str">
        <f>'SHIP SAFETY OPERATION'!B4</f>
        <v>Operation Document</v>
      </c>
      <c r="L21" s="259"/>
      <c r="M21" s="145">
        <f>'SHIP SAFETY OPERATION'!H4</f>
        <v>4</v>
      </c>
      <c r="N21" s="145"/>
      <c r="O21" s="148"/>
    </row>
    <row r="22" spans="3:15" ht="15.75" customHeight="1">
      <c r="C22" s="258" t="s">
        <v>290</v>
      </c>
      <c r="D22" s="257"/>
      <c r="E22" s="257"/>
      <c r="F22" s="257"/>
      <c r="G22" s="146" t="s">
        <v>282</v>
      </c>
      <c r="H22" s="147">
        <f>'Deck Machinery &amp; Outfitting'!H2</f>
        <v>4</v>
      </c>
      <c r="J22" s="93" t="s">
        <v>285</v>
      </c>
      <c r="K22" s="259" t="str">
        <f>'SHIP SAFETY OPERATION'!B54</f>
        <v>Life Saving Appliance</v>
      </c>
      <c r="L22" s="259"/>
      <c r="M22" s="145">
        <f ca="1">'SHIP SAFETY OPERATION'!H54</f>
        <v>2.1555555555555559</v>
      </c>
      <c r="O22" s="148"/>
    </row>
    <row r="23" spans="3:15" ht="15.75" customHeight="1">
      <c r="C23" s="150" t="s">
        <v>285</v>
      </c>
      <c r="D23" s="259" t="str">
        <f>'Deck Machinery &amp; Outfitting'!B4</f>
        <v>Deck Machinery</v>
      </c>
      <c r="E23" s="259"/>
      <c r="F23" s="151">
        <f>'Deck Machinery &amp; Outfitting'!H4</f>
        <v>4</v>
      </c>
      <c r="G23" s="151"/>
      <c r="H23" s="145"/>
      <c r="J23" s="93" t="s">
        <v>285</v>
      </c>
      <c r="K23" s="259" t="str">
        <f>'SHIP SAFETY OPERATION'!B153</f>
        <v>Fire Fighting Appliance</v>
      </c>
      <c r="L23" s="259"/>
      <c r="M23" s="145">
        <f>'SHIP SAFETY OPERATION'!H153</f>
        <v>4</v>
      </c>
      <c r="N23" s="145"/>
      <c r="O23" s="148"/>
    </row>
    <row r="24" spans="3:15" ht="15.75" customHeight="1">
      <c r="C24" s="152" t="s">
        <v>285</v>
      </c>
      <c r="D24" s="262" t="str">
        <f>'Deck Machinery &amp; Outfitting'!B83</f>
        <v>Outfitting</v>
      </c>
      <c r="E24" s="262"/>
      <c r="F24" s="153">
        <f>'Deck Machinery &amp; Outfitting'!H83</f>
        <v>4</v>
      </c>
      <c r="G24" s="153"/>
      <c r="H24" s="154"/>
      <c r="I24" s="154"/>
      <c r="J24" s="154"/>
      <c r="K24" s="154"/>
      <c r="L24" s="154"/>
      <c r="M24" s="154"/>
      <c r="N24" s="155"/>
      <c r="O24" s="156"/>
    </row>
  </sheetData>
  <mergeCells count="34">
    <mergeCell ref="K23:L23"/>
    <mergeCell ref="C3:O3"/>
    <mergeCell ref="C4:M4"/>
    <mergeCell ref="K15:L15"/>
    <mergeCell ref="K16:L16"/>
    <mergeCell ref="K17:L17"/>
    <mergeCell ref="K18:L18"/>
    <mergeCell ref="K21:L21"/>
    <mergeCell ref="K7:L7"/>
    <mergeCell ref="K8:L8"/>
    <mergeCell ref="K9:L9"/>
    <mergeCell ref="K10:L10"/>
    <mergeCell ref="K11:L11"/>
    <mergeCell ref="K12:L12"/>
    <mergeCell ref="D23:E23"/>
    <mergeCell ref="J14:M14"/>
    <mergeCell ref="D24:E24"/>
    <mergeCell ref="D12:E12"/>
    <mergeCell ref="D13:E13"/>
    <mergeCell ref="D14:E14"/>
    <mergeCell ref="D15:E15"/>
    <mergeCell ref="D16:E16"/>
    <mergeCell ref="D19:E19"/>
    <mergeCell ref="C18:F18"/>
    <mergeCell ref="J20:M20"/>
    <mergeCell ref="C22:F22"/>
    <mergeCell ref="D20:E20"/>
    <mergeCell ref="K22:L22"/>
    <mergeCell ref="C6:F6"/>
    <mergeCell ref="J6:M6"/>
    <mergeCell ref="C10:F10"/>
    <mergeCell ref="D7:E7"/>
    <mergeCell ref="D8:E8"/>
    <mergeCell ref="D11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280B-736B-445A-9605-036D2BFCF09E}">
  <sheetPr>
    <outlinePr summaryBelow="0" summaryRight="0"/>
  </sheetPr>
  <dimension ref="C2:R21"/>
  <sheetViews>
    <sheetView workbookViewId="0">
      <selection activeCell="O6" sqref="O6"/>
    </sheetView>
  </sheetViews>
  <sheetFormatPr defaultColWidth="12.7109375" defaultRowHeight="15.75" customHeight="1"/>
  <cols>
    <col min="1" max="1" width="8.42578125" customWidth="1"/>
    <col min="2" max="3" width="4" customWidth="1"/>
    <col min="4" max="4" width="2.42578125" customWidth="1"/>
    <col min="5" max="5" width="12.7109375" customWidth="1"/>
    <col min="6" max="6" width="9.140625" bestFit="1" customWidth="1"/>
    <col min="7" max="8" width="2" customWidth="1"/>
    <col min="9" max="9" width="9.140625" bestFit="1" customWidth="1"/>
    <col min="10" max="10" width="2.85546875" customWidth="1"/>
    <col min="11" max="11" width="4.28515625" customWidth="1"/>
    <col min="12" max="12" width="2.42578125" customWidth="1"/>
    <col min="13" max="13" width="3" customWidth="1"/>
    <col min="14" max="15" width="9.140625" customWidth="1"/>
    <col min="16" max="17" width="2" customWidth="1"/>
    <col min="18" max="18" width="9.140625" customWidth="1"/>
    <col min="19" max="20" width="9.140625" bestFit="1" customWidth="1"/>
  </cols>
  <sheetData>
    <row r="2" spans="3:18" ht="15.75" customHeight="1">
      <c r="C2" s="218" t="s">
        <v>291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</row>
    <row r="4" spans="3:18" ht="15" customHeight="1">
      <c r="C4" s="73" t="s">
        <v>292</v>
      </c>
      <c r="D4" s="269" t="str">
        <f>'Hull &amp; Cons'!B2</f>
        <v>HULL &amp; CONSTRUCTION OVERALL CAP RATING</v>
      </c>
      <c r="E4" s="269"/>
      <c r="F4" s="269"/>
      <c r="G4" s="269"/>
      <c r="H4" s="207" t="s">
        <v>282</v>
      </c>
      <c r="I4" s="206">
        <f>'Hull &amp; Cons'!H2</f>
        <v>4</v>
      </c>
      <c r="J4" s="207"/>
      <c r="K4" s="73" t="s">
        <v>293</v>
      </c>
      <c r="L4" s="269" t="e">
        <f>#REF!</f>
        <v>#REF!</v>
      </c>
      <c r="M4" s="269"/>
      <c r="N4" s="269"/>
      <c r="O4" s="269"/>
      <c r="P4" s="269"/>
      <c r="Q4" s="207" t="s">
        <v>282</v>
      </c>
      <c r="R4" s="206" t="e">
        <f>#REF!</f>
        <v>#REF!</v>
      </c>
    </row>
    <row r="5" spans="3:18" ht="15" customHeight="1">
      <c r="C5" s="73" t="s">
        <v>294</v>
      </c>
      <c r="D5" s="268" t="str">
        <f>Ramp!B2</f>
        <v>RAMP</v>
      </c>
      <c r="E5" s="268"/>
      <c r="F5" s="268"/>
      <c r="G5" s="268"/>
      <c r="H5" s="207" t="s">
        <v>282</v>
      </c>
      <c r="I5" s="206">
        <f>Ramp!H2</f>
        <v>4</v>
      </c>
      <c r="J5" s="207"/>
      <c r="K5" s="73" t="s">
        <v>295</v>
      </c>
      <c r="L5" s="268" t="str">
        <f>'BRIDGE &amp; NAVIGATION'!B2</f>
        <v>BRIDGE &amp; NAVIGATION ROOM</v>
      </c>
      <c r="M5" s="268"/>
      <c r="N5" s="268"/>
      <c r="O5" s="268"/>
      <c r="P5" s="268"/>
      <c r="Q5" s="207" t="s">
        <v>282</v>
      </c>
      <c r="R5" s="206">
        <f>'BRIDGE &amp; NAVIGATION'!H2</f>
        <v>4</v>
      </c>
    </row>
    <row r="6" spans="3:18" ht="15" customHeight="1">
      <c r="C6" s="73" t="s">
        <v>296</v>
      </c>
      <c r="D6" s="268" t="str">
        <f>Accomodation!B2</f>
        <v>ACCOMODATION</v>
      </c>
      <c r="E6" s="268"/>
      <c r="F6" s="268"/>
      <c r="G6" s="268"/>
      <c r="H6" s="207" t="s">
        <v>282</v>
      </c>
      <c r="I6" s="206">
        <f>Accomodation!H2</f>
        <v>4</v>
      </c>
      <c r="J6" s="207"/>
      <c r="K6" s="73" t="s">
        <v>297</v>
      </c>
      <c r="L6" s="268" t="str">
        <f>'SHIP SAFETY OPERATION'!B2</f>
        <v>SHIP SAFETY  OPERATION</v>
      </c>
      <c r="M6" s="268"/>
      <c r="N6" s="268"/>
      <c r="O6" s="268"/>
      <c r="P6" s="268"/>
      <c r="Q6" s="207" t="s">
        <v>282</v>
      </c>
      <c r="R6" s="206">
        <f>'SHIP SAFETY OPERATION'!H2</f>
        <v>4</v>
      </c>
    </row>
    <row r="7" spans="3:18" ht="15" customHeight="1">
      <c r="C7" s="73" t="s">
        <v>298</v>
      </c>
      <c r="D7" s="268" t="e">
        <f>#REF!</f>
        <v>#REF!</v>
      </c>
      <c r="E7" s="268"/>
      <c r="F7" s="268"/>
      <c r="G7" s="268"/>
      <c r="H7" s="207" t="s">
        <v>282</v>
      </c>
      <c r="I7" s="206" t="e">
        <f>#REF!</f>
        <v>#REF!</v>
      </c>
      <c r="J7" s="207"/>
      <c r="K7" s="207"/>
      <c r="L7" s="75"/>
      <c r="M7" s="268"/>
      <c r="N7" s="268"/>
      <c r="O7" s="268"/>
      <c r="P7" s="206"/>
      <c r="Q7" s="206"/>
      <c r="R7" s="207"/>
    </row>
    <row r="8" spans="3:18" ht="15" customHeight="1">
      <c r="C8" s="195"/>
      <c r="D8" s="72"/>
      <c r="E8" s="72"/>
      <c r="F8" s="72"/>
      <c r="G8" s="72"/>
      <c r="H8" s="72"/>
      <c r="I8" s="72"/>
      <c r="J8" s="207"/>
      <c r="K8" s="207"/>
      <c r="L8" s="75"/>
      <c r="M8" s="268"/>
      <c r="N8" s="268"/>
      <c r="O8" s="268"/>
      <c r="P8" s="206"/>
      <c r="Q8" s="206"/>
      <c r="R8" s="207"/>
    </row>
    <row r="9" spans="3:18" ht="15" customHeight="1">
      <c r="C9" s="195"/>
      <c r="D9" s="195"/>
      <c r="E9" s="195"/>
      <c r="F9" s="195"/>
      <c r="G9" s="195"/>
      <c r="H9" s="195"/>
      <c r="I9" s="195"/>
      <c r="J9" s="207"/>
      <c r="K9" s="207"/>
      <c r="L9" s="75"/>
      <c r="M9" s="268"/>
      <c r="N9" s="268"/>
      <c r="O9" s="268"/>
      <c r="P9" s="206"/>
      <c r="Q9" s="206"/>
      <c r="R9" s="207"/>
    </row>
    <row r="10" spans="3:18" ht="15" customHeight="1">
      <c r="C10" s="195"/>
      <c r="D10" s="195"/>
      <c r="E10" s="195"/>
      <c r="F10" s="195"/>
      <c r="G10" s="195"/>
      <c r="H10" s="195"/>
      <c r="I10" s="195"/>
      <c r="J10" s="207"/>
      <c r="K10" s="207"/>
      <c r="L10" s="207"/>
      <c r="M10" s="207"/>
      <c r="N10" s="207"/>
      <c r="O10" s="207"/>
      <c r="P10" s="206"/>
      <c r="Q10" s="207"/>
      <c r="R10" s="207"/>
    </row>
    <row r="11" spans="3:18" ht="15" customHeight="1">
      <c r="C11" s="195"/>
      <c r="D11" s="195"/>
      <c r="E11" s="195"/>
      <c r="F11" s="195"/>
      <c r="G11" s="195"/>
      <c r="H11" s="195"/>
      <c r="I11" s="195"/>
      <c r="J11" s="207"/>
      <c r="K11" s="72"/>
      <c r="L11" s="72"/>
      <c r="M11" s="72"/>
      <c r="N11" s="72"/>
      <c r="O11" s="72"/>
      <c r="P11" s="72"/>
      <c r="Q11" s="72"/>
      <c r="R11" s="72"/>
    </row>
    <row r="12" spans="3:18" ht="15" customHeight="1">
      <c r="C12" s="195"/>
      <c r="D12" s="195"/>
      <c r="E12" s="195"/>
      <c r="F12" s="195"/>
      <c r="G12" s="195"/>
      <c r="H12" s="195"/>
      <c r="I12" s="195"/>
      <c r="J12" s="207"/>
      <c r="K12" s="195"/>
      <c r="L12" s="195"/>
      <c r="M12" s="195"/>
      <c r="N12" s="195"/>
      <c r="O12" s="195"/>
      <c r="P12" s="195"/>
      <c r="Q12" s="195"/>
      <c r="R12" s="195"/>
    </row>
    <row r="13" spans="3:18" ht="15" customHeight="1">
      <c r="C13" s="195"/>
      <c r="D13" s="195"/>
      <c r="E13" s="195"/>
      <c r="F13" s="195"/>
      <c r="G13" s="195"/>
      <c r="H13" s="195"/>
      <c r="I13" s="195"/>
      <c r="J13" s="72"/>
      <c r="K13" s="195"/>
      <c r="L13" s="195"/>
      <c r="M13" s="195"/>
      <c r="N13" s="195"/>
      <c r="O13" s="195"/>
      <c r="P13" s="195"/>
      <c r="Q13" s="195"/>
      <c r="R13" s="195"/>
    </row>
    <row r="14" spans="3:18" ht="15" customHeight="1"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</row>
    <row r="15" spans="3:18" ht="15" customHeight="1"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</row>
    <row r="16" spans="3:18" ht="15" customHeight="1"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</row>
    <row r="17" ht="15" customHeight="1"/>
    <row r="18" ht="15" customHeight="1"/>
    <row r="19" ht="15" customHeight="1"/>
    <row r="21" ht="13.15"/>
  </sheetData>
  <mergeCells count="11">
    <mergeCell ref="L5:P5"/>
    <mergeCell ref="D5:G5"/>
    <mergeCell ref="C2:R2"/>
    <mergeCell ref="D4:G4"/>
    <mergeCell ref="L4:P4"/>
    <mergeCell ref="M7:O7"/>
    <mergeCell ref="D7:G7"/>
    <mergeCell ref="M8:O8"/>
    <mergeCell ref="M9:O9"/>
    <mergeCell ref="D6:G6"/>
    <mergeCell ref="L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E25D-550C-4425-9002-06A51C6D7728}">
  <sheetPr>
    <outlinePr summaryBelow="0" summaryRight="0"/>
  </sheetPr>
  <dimension ref="C2:R23"/>
  <sheetViews>
    <sheetView workbookViewId="0">
      <selection activeCell="O10" sqref="O10"/>
    </sheetView>
  </sheetViews>
  <sheetFormatPr defaultColWidth="12.7109375" defaultRowHeight="15.75" customHeight="1"/>
  <cols>
    <col min="1" max="1" width="8.42578125" customWidth="1"/>
    <col min="2" max="3" width="4" customWidth="1"/>
    <col min="4" max="4" width="2.42578125" customWidth="1"/>
    <col min="5" max="5" width="12.7109375" customWidth="1"/>
    <col min="6" max="6" width="9.140625" bestFit="1" customWidth="1"/>
    <col min="7" max="8" width="2" customWidth="1"/>
    <col min="9" max="9" width="9.140625" bestFit="1" customWidth="1"/>
    <col min="10" max="10" width="2.85546875" customWidth="1"/>
    <col min="11" max="11" width="4.28515625" customWidth="1"/>
    <col min="12" max="12" width="2.42578125" customWidth="1"/>
    <col min="13" max="13" width="3" customWidth="1"/>
    <col min="14" max="15" width="9.140625" customWidth="1"/>
    <col min="16" max="17" width="2" customWidth="1"/>
    <col min="18" max="18" width="9.140625" customWidth="1"/>
  </cols>
  <sheetData>
    <row r="2" spans="3:18" ht="15.75" customHeight="1">
      <c r="C2" s="218" t="s">
        <v>291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</row>
    <row r="4" spans="3:18" ht="15" customHeight="1">
      <c r="C4" s="73" t="s">
        <v>292</v>
      </c>
      <c r="D4" s="269" t="str">
        <f>'Hull &amp; Cons'!B2</f>
        <v>HULL &amp; CONSTRUCTION OVERALL CAP RATING</v>
      </c>
      <c r="E4" s="269"/>
      <c r="F4" s="269"/>
      <c r="G4" s="269"/>
      <c r="H4" s="207" t="s">
        <v>282</v>
      </c>
      <c r="I4" s="206">
        <f>'Hull &amp; Cons'!H2</f>
        <v>4</v>
      </c>
      <c r="J4" s="207"/>
      <c r="K4" s="73" t="s">
        <v>293</v>
      </c>
      <c r="L4" s="269" t="e">
        <f>#REF!</f>
        <v>#REF!</v>
      </c>
      <c r="M4" s="269"/>
      <c r="N4" s="269"/>
      <c r="O4" s="269"/>
      <c r="P4" s="269"/>
      <c r="Q4" s="207" t="s">
        <v>282</v>
      </c>
      <c r="R4" s="206" t="e">
        <f>#REF!</f>
        <v>#REF!</v>
      </c>
    </row>
    <row r="5" spans="3:18" ht="15" customHeight="1">
      <c r="C5" s="74"/>
      <c r="D5" s="75" t="s">
        <v>285</v>
      </c>
      <c r="E5" s="268" t="str">
        <f>'Hull &amp; Cons'!B4</f>
        <v>Hull</v>
      </c>
      <c r="F5" s="268"/>
      <c r="G5" s="206"/>
      <c r="H5" s="206"/>
      <c r="I5" s="206"/>
      <c r="J5" s="207"/>
      <c r="K5" s="74"/>
      <c r="L5" s="75" t="s">
        <v>285</v>
      </c>
      <c r="M5" s="268" t="e">
        <f>#REF!</f>
        <v>#REF!</v>
      </c>
      <c r="N5" s="268"/>
      <c r="O5" s="268"/>
      <c r="P5" s="206"/>
      <c r="Q5" s="206"/>
      <c r="R5" s="207"/>
    </row>
    <row r="6" spans="3:18" ht="15" customHeight="1">
      <c r="C6" s="74"/>
      <c r="D6" s="75" t="s">
        <v>285</v>
      </c>
      <c r="E6" s="268" t="str">
        <f>'Hull &amp; Cons'!B34</f>
        <v>Construction</v>
      </c>
      <c r="F6" s="268"/>
      <c r="G6" s="206"/>
      <c r="H6" s="206"/>
      <c r="I6" s="206"/>
      <c r="J6" s="207"/>
      <c r="K6" s="74"/>
      <c r="L6" s="75" t="s">
        <v>285</v>
      </c>
      <c r="M6" s="268" t="e">
        <f>#REF!</f>
        <v>#REF!</v>
      </c>
      <c r="N6" s="268"/>
      <c r="O6" s="268"/>
      <c r="P6" s="206"/>
      <c r="Q6" s="206"/>
      <c r="R6" s="207"/>
    </row>
    <row r="7" spans="3:18" ht="15" customHeight="1">
      <c r="C7" s="74"/>
      <c r="D7" s="206"/>
      <c r="E7" s="206"/>
      <c r="F7" s="206"/>
      <c r="G7" s="206"/>
      <c r="H7" s="206"/>
      <c r="I7" s="206"/>
      <c r="J7" s="207"/>
      <c r="K7" s="74"/>
      <c r="L7" s="75" t="s">
        <v>285</v>
      </c>
      <c r="M7" s="268" t="e">
        <f>#REF!</f>
        <v>#REF!</v>
      </c>
      <c r="N7" s="268"/>
      <c r="O7" s="268"/>
      <c r="P7" s="206"/>
      <c r="Q7" s="206"/>
      <c r="R7" s="207"/>
    </row>
    <row r="8" spans="3:18" ht="15" customHeight="1">
      <c r="C8" s="73" t="s">
        <v>294</v>
      </c>
      <c r="D8" s="268" t="str">
        <f>Ramp!B2</f>
        <v>RAMP</v>
      </c>
      <c r="E8" s="268"/>
      <c r="F8" s="268"/>
      <c r="G8" s="268"/>
      <c r="H8" s="207" t="s">
        <v>282</v>
      </c>
      <c r="I8" s="206">
        <f>Ramp!H2</f>
        <v>4</v>
      </c>
      <c r="J8" s="207"/>
      <c r="K8" s="74"/>
      <c r="L8" s="75" t="s">
        <v>285</v>
      </c>
      <c r="M8" s="268" t="e">
        <f>#REF!</f>
        <v>#REF!</v>
      </c>
      <c r="N8" s="268"/>
      <c r="O8" s="268"/>
      <c r="P8" s="206"/>
      <c r="Q8" s="206"/>
      <c r="R8" s="207"/>
    </row>
    <row r="9" spans="3:18" ht="15" customHeight="1">
      <c r="C9" s="74"/>
      <c r="D9" s="75" t="s">
        <v>285</v>
      </c>
      <c r="E9" s="268" t="str">
        <f>Ramp!B4</f>
        <v>Fore Ramp</v>
      </c>
      <c r="F9" s="268"/>
      <c r="G9" s="206"/>
      <c r="H9" s="206"/>
      <c r="I9" s="206"/>
      <c r="J9" s="207"/>
      <c r="K9" s="74"/>
      <c r="L9" s="75" t="s">
        <v>285</v>
      </c>
      <c r="M9" s="268" t="str">
        <f>'PUMP&amp;PIPE - xx'!B3</f>
        <v>Pump</v>
      </c>
      <c r="N9" s="268"/>
      <c r="O9" s="268"/>
      <c r="P9" s="206"/>
      <c r="Q9" s="206"/>
      <c r="R9" s="207"/>
    </row>
    <row r="10" spans="3:18" ht="15" customHeight="1">
      <c r="C10" s="74"/>
      <c r="D10" s="75" t="s">
        <v>285</v>
      </c>
      <c r="E10" s="268" t="str">
        <f>Ramp!B28</f>
        <v>Bow Visor</v>
      </c>
      <c r="F10" s="268"/>
      <c r="G10" s="206"/>
      <c r="H10" s="206"/>
      <c r="I10" s="206"/>
      <c r="J10" s="207"/>
      <c r="K10" s="74"/>
      <c r="L10" s="75" t="s">
        <v>285</v>
      </c>
      <c r="M10" s="268" t="str">
        <f>'PUMP&amp;PIPE - xx'!B42</f>
        <v>Pipe</v>
      </c>
      <c r="N10" s="268"/>
      <c r="O10" s="268"/>
      <c r="P10" s="206"/>
      <c r="Q10" s="206"/>
      <c r="R10" s="207"/>
    </row>
    <row r="11" spans="3:18" ht="15" customHeight="1">
      <c r="C11" s="74"/>
      <c r="D11" s="75" t="s">
        <v>285</v>
      </c>
      <c r="E11" s="268" t="str">
        <f>Ramp!B47</f>
        <v>Aft Ramp</v>
      </c>
      <c r="F11" s="268"/>
      <c r="G11" s="206"/>
      <c r="H11" s="206"/>
      <c r="I11" s="206"/>
      <c r="J11" s="207"/>
      <c r="K11" s="74"/>
      <c r="L11" s="206"/>
      <c r="M11" s="206"/>
      <c r="N11" s="206"/>
      <c r="O11" s="206"/>
      <c r="P11" s="206"/>
      <c r="Q11" s="206"/>
      <c r="R11" s="207"/>
    </row>
    <row r="12" spans="3:18" ht="15" customHeight="1">
      <c r="C12" s="74"/>
      <c r="D12" s="75" t="s">
        <v>285</v>
      </c>
      <c r="E12" s="268" t="str">
        <f>Ramp!B71</f>
        <v>Portside Ramp</v>
      </c>
      <c r="F12" s="268"/>
      <c r="G12" s="206"/>
      <c r="H12" s="206"/>
      <c r="I12" s="206"/>
      <c r="J12" s="207"/>
      <c r="K12" s="73" t="s">
        <v>295</v>
      </c>
      <c r="L12" s="268" t="str">
        <f>'BRIDGE &amp; NAVIGATION'!B2</f>
        <v>BRIDGE &amp; NAVIGATION ROOM</v>
      </c>
      <c r="M12" s="268"/>
      <c r="N12" s="268"/>
      <c r="O12" s="268"/>
      <c r="P12" s="268"/>
      <c r="Q12" s="207" t="s">
        <v>282</v>
      </c>
      <c r="R12" s="206">
        <f>'BRIDGE &amp; NAVIGATION'!H2</f>
        <v>4</v>
      </c>
    </row>
    <row r="13" spans="3:18" ht="15" customHeight="1">
      <c r="C13" s="74"/>
      <c r="D13" s="75" t="s">
        <v>285</v>
      </c>
      <c r="E13" s="268" t="str">
        <f>Ramp!B95</f>
        <v>Starboard Ramp</v>
      </c>
      <c r="F13" s="268"/>
      <c r="G13" s="206"/>
      <c r="H13" s="206"/>
      <c r="I13" s="206"/>
      <c r="J13" s="207"/>
      <c r="K13" s="74"/>
      <c r="L13" s="75" t="s">
        <v>285</v>
      </c>
      <c r="M13" s="268" t="str">
        <f>'BRIDGE &amp; NAVIGATION'!B4</f>
        <v>General Condition</v>
      </c>
      <c r="N13" s="268"/>
      <c r="O13" s="268"/>
      <c r="P13" s="206"/>
      <c r="Q13" s="206"/>
      <c r="R13" s="207"/>
    </row>
    <row r="14" spans="3:18" ht="15" customHeight="1">
      <c r="C14" s="74"/>
      <c r="D14" s="75" t="s">
        <v>285</v>
      </c>
      <c r="E14" s="268" t="str">
        <f>Ramp!B119</f>
        <v>In Ramp</v>
      </c>
      <c r="F14" s="268"/>
      <c r="G14" s="206"/>
      <c r="H14" s="206"/>
      <c r="I14" s="206"/>
      <c r="J14" s="207"/>
      <c r="K14" s="74"/>
      <c r="L14" s="75" t="s">
        <v>285</v>
      </c>
      <c r="M14" s="268" t="str">
        <f>'BRIDGE &amp; NAVIGATION'!B50</f>
        <v>Navigation Equipment</v>
      </c>
      <c r="N14" s="268"/>
      <c r="O14" s="268"/>
      <c r="P14" s="206"/>
      <c r="Q14" s="206"/>
      <c r="R14" s="207"/>
    </row>
    <row r="15" spans="3:18" ht="15" customHeight="1">
      <c r="C15" s="74"/>
      <c r="D15" s="206"/>
      <c r="E15" s="206"/>
      <c r="F15" s="206"/>
      <c r="G15" s="206"/>
      <c r="H15" s="206"/>
      <c r="I15" s="206"/>
      <c r="J15" s="207"/>
      <c r="K15" s="74"/>
      <c r="L15" s="75" t="s">
        <v>285</v>
      </c>
      <c r="M15" s="268" t="str">
        <f>'BRIDGE &amp; NAVIGATION'!B73</f>
        <v>Communication Equipment</v>
      </c>
      <c r="N15" s="268"/>
      <c r="O15" s="268"/>
      <c r="P15" s="206"/>
      <c r="Q15" s="206"/>
      <c r="R15" s="207"/>
    </row>
    <row r="16" spans="3:18" ht="15" customHeight="1">
      <c r="C16" s="73" t="s">
        <v>296</v>
      </c>
      <c r="D16" s="268" t="str">
        <f>Accomodation!B2</f>
        <v>ACCOMODATION</v>
      </c>
      <c r="E16" s="268"/>
      <c r="F16" s="268"/>
      <c r="G16" s="268"/>
      <c r="H16" s="207" t="s">
        <v>282</v>
      </c>
      <c r="I16" s="206">
        <f>Accomodation!H2</f>
        <v>4</v>
      </c>
      <c r="J16" s="207"/>
      <c r="K16" s="74"/>
      <c r="L16" s="75" t="s">
        <v>285</v>
      </c>
      <c r="M16" s="268" t="str">
        <f>'BRIDGE &amp; NAVIGATION'!B90</f>
        <v>Navigation Light</v>
      </c>
      <c r="N16" s="268"/>
      <c r="O16" s="268"/>
      <c r="P16" s="206"/>
      <c r="Q16" s="206"/>
      <c r="R16" s="207"/>
    </row>
    <row r="17" spans="3:18" ht="15" customHeight="1">
      <c r="C17" s="74"/>
      <c r="D17" s="75" t="s">
        <v>285</v>
      </c>
      <c r="E17" s="268" t="str">
        <f>Accomodation!B4</f>
        <v>Crew</v>
      </c>
      <c r="F17" s="268"/>
      <c r="G17" s="206"/>
      <c r="H17" s="206"/>
      <c r="I17" s="206"/>
      <c r="J17" s="207"/>
      <c r="K17" s="74"/>
      <c r="L17" s="206"/>
      <c r="M17" s="206"/>
      <c r="N17" s="206"/>
      <c r="O17" s="206"/>
      <c r="P17" s="206"/>
      <c r="Q17" s="206"/>
      <c r="R17" s="207"/>
    </row>
    <row r="18" spans="3:18" ht="15" customHeight="1">
      <c r="C18" s="74"/>
      <c r="D18" s="75" t="s">
        <v>285</v>
      </c>
      <c r="E18" s="268" t="str">
        <f>Accomodation!B41</f>
        <v>Passenger</v>
      </c>
      <c r="F18" s="268"/>
      <c r="G18" s="206"/>
      <c r="H18" s="206"/>
      <c r="I18" s="206"/>
      <c r="J18" s="207"/>
      <c r="K18" s="73" t="s">
        <v>297</v>
      </c>
      <c r="L18" s="268" t="str">
        <f>'SHIP SAFETY OPERATION'!B2</f>
        <v>SHIP SAFETY  OPERATION</v>
      </c>
      <c r="M18" s="268"/>
      <c r="N18" s="268"/>
      <c r="O18" s="268"/>
      <c r="P18" s="268"/>
      <c r="Q18" s="207" t="s">
        <v>282</v>
      </c>
      <c r="R18" s="206">
        <f>'SHIP SAFETY OPERATION'!H2</f>
        <v>4</v>
      </c>
    </row>
    <row r="19" spans="3:18" ht="15" customHeight="1">
      <c r="C19" s="74"/>
      <c r="D19" s="206"/>
      <c r="E19" s="206"/>
      <c r="F19" s="206"/>
      <c r="G19" s="206"/>
      <c r="H19" s="206"/>
      <c r="I19" s="206"/>
      <c r="J19" s="207"/>
      <c r="K19" s="207"/>
      <c r="L19" s="75" t="s">
        <v>285</v>
      </c>
      <c r="M19" s="268" t="str">
        <f>'SHIP SAFETY OPERATION'!B4</f>
        <v>Operation Document</v>
      </c>
      <c r="N19" s="268"/>
      <c r="O19" s="268"/>
      <c r="P19" s="206"/>
      <c r="Q19" s="206"/>
      <c r="R19" s="207"/>
    </row>
    <row r="20" spans="3:18" ht="15" customHeight="1">
      <c r="C20" s="73" t="s">
        <v>298</v>
      </c>
      <c r="D20" s="268" t="e">
        <f>#REF!</f>
        <v>#REF!</v>
      </c>
      <c r="E20" s="268"/>
      <c r="F20" s="268"/>
      <c r="G20" s="268"/>
      <c r="H20" s="207" t="s">
        <v>282</v>
      </c>
      <c r="I20" s="206" t="e">
        <f>#REF!</f>
        <v>#REF!</v>
      </c>
      <c r="J20" s="207"/>
      <c r="K20" s="207"/>
      <c r="L20" s="75" t="s">
        <v>285</v>
      </c>
      <c r="M20" s="268" t="str">
        <f>'SHIP SAFETY OPERATION'!B54</f>
        <v>Life Saving Appliance</v>
      </c>
      <c r="N20" s="268"/>
      <c r="O20" s="268"/>
      <c r="P20" s="206"/>
      <c r="Q20" s="206"/>
      <c r="R20" s="207"/>
    </row>
    <row r="21" spans="3:18" ht="15" customHeight="1">
      <c r="C21" s="76"/>
      <c r="D21" s="75" t="s">
        <v>285</v>
      </c>
      <c r="E21" s="268" t="e">
        <f>#REF!</f>
        <v>#REF!</v>
      </c>
      <c r="F21" s="268"/>
      <c r="G21" s="206"/>
      <c r="H21" s="206"/>
      <c r="I21" s="206"/>
      <c r="J21" s="207"/>
      <c r="K21" s="207"/>
      <c r="L21" s="75" t="s">
        <v>285</v>
      </c>
      <c r="M21" s="268" t="str">
        <f>'SHIP SAFETY OPERATION'!B153</f>
        <v>Fire Fighting Appliance</v>
      </c>
      <c r="N21" s="268"/>
      <c r="O21" s="268"/>
      <c r="P21" s="206"/>
      <c r="Q21" s="206"/>
      <c r="R21" s="207"/>
    </row>
    <row r="22" spans="3:18" ht="15" customHeight="1">
      <c r="C22" s="76"/>
      <c r="D22" s="75" t="s">
        <v>285</v>
      </c>
      <c r="E22" s="268" t="e">
        <f>#REF!</f>
        <v>#REF!</v>
      </c>
      <c r="F22" s="268"/>
      <c r="G22" s="206"/>
      <c r="H22" s="206"/>
      <c r="I22" s="207"/>
      <c r="J22" s="207"/>
      <c r="K22" s="207"/>
      <c r="L22" s="207"/>
      <c r="M22" s="207"/>
      <c r="N22" s="207"/>
      <c r="O22" s="207"/>
      <c r="P22" s="206"/>
      <c r="Q22" s="207"/>
      <c r="R22" s="207"/>
    </row>
    <row r="23" spans="3:18" ht="15.75" customHeight="1">
      <c r="C23" s="195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</row>
  </sheetData>
  <mergeCells count="33">
    <mergeCell ref="E9:F9"/>
    <mergeCell ref="M9:O9"/>
    <mergeCell ref="D4:G4"/>
    <mergeCell ref="L4:P4"/>
    <mergeCell ref="E5:F5"/>
    <mergeCell ref="M5:O5"/>
    <mergeCell ref="E6:F6"/>
    <mergeCell ref="M6:O6"/>
    <mergeCell ref="M7:O7"/>
    <mergeCell ref="D8:G8"/>
    <mergeCell ref="M8:O8"/>
    <mergeCell ref="M10:O10"/>
    <mergeCell ref="E11:F11"/>
    <mergeCell ref="E12:F12"/>
    <mergeCell ref="L12:P12"/>
    <mergeCell ref="E13:F13"/>
    <mergeCell ref="M13:O13"/>
    <mergeCell ref="E22:F22"/>
    <mergeCell ref="C2:R2"/>
    <mergeCell ref="E18:F18"/>
    <mergeCell ref="L18:P18"/>
    <mergeCell ref="M19:O19"/>
    <mergeCell ref="D20:G20"/>
    <mergeCell ref="M20:O20"/>
    <mergeCell ref="E21:F21"/>
    <mergeCell ref="M21:O21"/>
    <mergeCell ref="E14:F14"/>
    <mergeCell ref="M14:O14"/>
    <mergeCell ref="M15:O15"/>
    <mergeCell ref="D16:G16"/>
    <mergeCell ref="M16:O16"/>
    <mergeCell ref="E17:F17"/>
    <mergeCell ref="E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E1D1-A2F8-4736-90E8-8C03E30EE7E1}">
  <sheetPr>
    <outlinePr summaryBelow="0" summaryRight="0"/>
  </sheetPr>
  <dimension ref="B2:T27"/>
  <sheetViews>
    <sheetView workbookViewId="0">
      <selection activeCell="P14" sqref="P14"/>
    </sheetView>
  </sheetViews>
  <sheetFormatPr defaultColWidth="12.7109375" defaultRowHeight="15.75" customHeight="1"/>
  <cols>
    <col min="1" max="1" width="8.42578125" customWidth="1"/>
    <col min="2" max="3" width="4" customWidth="1"/>
    <col min="4" max="4" width="2.42578125" customWidth="1"/>
    <col min="5" max="5" width="12.7109375" customWidth="1"/>
    <col min="6" max="6" width="9.140625" bestFit="1" customWidth="1"/>
    <col min="7" max="7" width="2" customWidth="1"/>
    <col min="8" max="8" width="9.140625" bestFit="1" customWidth="1"/>
    <col min="9" max="9" width="2" customWidth="1"/>
    <col min="10" max="10" width="9.140625" bestFit="1" customWidth="1"/>
    <col min="11" max="11" width="2.85546875" customWidth="1"/>
    <col min="12" max="12" width="4.28515625" customWidth="1"/>
    <col min="13" max="13" width="2.42578125" customWidth="1"/>
    <col min="14" max="14" width="3" customWidth="1"/>
    <col min="15" max="16" width="9.140625" customWidth="1"/>
    <col min="17" max="17" width="2" customWidth="1"/>
    <col min="18" max="18" width="9.140625" customWidth="1"/>
    <col min="19" max="19" width="2" customWidth="1"/>
    <col min="20" max="20" width="9.140625" customWidth="1"/>
  </cols>
  <sheetData>
    <row r="2" spans="2:20" ht="15.75" customHeight="1">
      <c r="B2" s="195">
        <v>2</v>
      </c>
      <c r="C2" s="195"/>
      <c r="D2" s="253" t="s">
        <v>279</v>
      </c>
      <c r="E2" s="253"/>
      <c r="F2" s="253"/>
      <c r="G2" s="253"/>
      <c r="H2" s="253"/>
      <c r="I2" s="253"/>
      <c r="J2" s="253"/>
      <c r="K2" s="256" t="e">
        <f>AVERAGE(J8,J12,J20,J24,T8,T16,T22)</f>
        <v>#REF!</v>
      </c>
      <c r="L2" s="256"/>
      <c r="M2" s="256"/>
      <c r="N2" s="256"/>
      <c r="O2" s="195"/>
      <c r="P2" s="195"/>
      <c r="Q2" s="195"/>
      <c r="R2" s="195"/>
      <c r="S2" s="195"/>
      <c r="T2" s="195"/>
    </row>
    <row r="4" spans="2:20" ht="15.75" customHeight="1">
      <c r="B4" s="195"/>
      <c r="C4" s="195"/>
      <c r="D4" s="195"/>
      <c r="E4" s="270" t="s">
        <v>62</v>
      </c>
      <c r="F4" s="270"/>
      <c r="G4" s="270"/>
      <c r="H4" s="270"/>
      <c r="I4" s="270"/>
      <c r="J4" s="270"/>
      <c r="K4" s="195"/>
      <c r="L4" s="195"/>
      <c r="M4" s="195"/>
      <c r="N4" s="195"/>
      <c r="O4" s="195"/>
      <c r="P4" s="195"/>
      <c r="Q4" s="195"/>
      <c r="R4" s="195"/>
      <c r="S4" s="195"/>
      <c r="T4" s="195"/>
    </row>
    <row r="5" spans="2:20" ht="15.75" customHeight="1">
      <c r="B5" s="195"/>
      <c r="C5" s="195"/>
      <c r="D5" s="195"/>
      <c r="E5" s="68">
        <v>1</v>
      </c>
      <c r="F5" s="69">
        <v>2</v>
      </c>
      <c r="G5" s="69"/>
      <c r="H5" s="70">
        <v>3</v>
      </c>
      <c r="I5" s="70"/>
      <c r="J5" s="71">
        <v>4</v>
      </c>
      <c r="K5" s="195"/>
      <c r="L5" s="195"/>
      <c r="M5" s="195"/>
      <c r="N5" s="195"/>
      <c r="O5" s="195"/>
      <c r="P5" s="195"/>
      <c r="Q5" s="195"/>
      <c r="R5" s="195"/>
      <c r="S5" s="195"/>
      <c r="T5" s="195"/>
    </row>
    <row r="8" spans="2:20" ht="15" customHeight="1">
      <c r="B8" s="195"/>
      <c r="C8" s="73" t="s">
        <v>292</v>
      </c>
      <c r="D8" s="269" t="str">
        <f>'Hull &amp; Cons'!B2</f>
        <v>HULL &amp; CONSTRUCTION OVERALL CAP RATING</v>
      </c>
      <c r="E8" s="269"/>
      <c r="F8" s="269"/>
      <c r="G8" s="269"/>
      <c r="H8" s="269"/>
      <c r="I8" s="207" t="s">
        <v>282</v>
      </c>
      <c r="J8" s="206">
        <f>'Hull &amp; Cons'!H2</f>
        <v>4</v>
      </c>
      <c r="K8" s="207"/>
      <c r="L8" s="73" t="s">
        <v>293</v>
      </c>
      <c r="M8" s="269" t="e">
        <f>#REF!</f>
        <v>#REF!</v>
      </c>
      <c r="N8" s="269"/>
      <c r="O8" s="269"/>
      <c r="P8" s="269"/>
      <c r="Q8" s="269"/>
      <c r="R8" s="269"/>
      <c r="S8" s="207" t="s">
        <v>282</v>
      </c>
      <c r="T8" s="206" t="e">
        <f>#REF!</f>
        <v>#REF!</v>
      </c>
    </row>
    <row r="9" spans="2:20" ht="15" customHeight="1">
      <c r="B9" s="195"/>
      <c r="C9" s="74"/>
      <c r="D9" s="75" t="s">
        <v>285</v>
      </c>
      <c r="E9" s="268" t="str">
        <f>'Hull &amp; Cons'!B4</f>
        <v>Hull</v>
      </c>
      <c r="F9" s="268"/>
      <c r="G9" s="206" t="s">
        <v>282</v>
      </c>
      <c r="H9" s="206">
        <f>'Hull &amp; Cons'!H4</f>
        <v>4</v>
      </c>
      <c r="I9" s="206"/>
      <c r="J9" s="206"/>
      <c r="K9" s="207"/>
      <c r="L9" s="74"/>
      <c r="M9" s="75" t="s">
        <v>285</v>
      </c>
      <c r="N9" s="268" t="e">
        <f>#REF!</f>
        <v>#REF!</v>
      </c>
      <c r="O9" s="268"/>
      <c r="P9" s="268"/>
      <c r="Q9" s="206" t="s">
        <v>282</v>
      </c>
      <c r="R9" s="206" t="e">
        <f>#REF!</f>
        <v>#REF!</v>
      </c>
      <c r="S9" s="206"/>
      <c r="T9" s="207"/>
    </row>
    <row r="10" spans="2:20" ht="15" customHeight="1">
      <c r="B10" s="195"/>
      <c r="C10" s="74"/>
      <c r="D10" s="75" t="s">
        <v>285</v>
      </c>
      <c r="E10" s="268" t="str">
        <f>'Hull &amp; Cons'!B34</f>
        <v>Construction</v>
      </c>
      <c r="F10" s="268"/>
      <c r="G10" s="206" t="s">
        <v>282</v>
      </c>
      <c r="H10" s="206">
        <f>'Hull &amp; Cons'!H34</f>
        <v>4</v>
      </c>
      <c r="I10" s="206"/>
      <c r="J10" s="206"/>
      <c r="K10" s="207"/>
      <c r="L10" s="74"/>
      <c r="M10" s="75" t="s">
        <v>285</v>
      </c>
      <c r="N10" s="268" t="e">
        <f>#REF!</f>
        <v>#REF!</v>
      </c>
      <c r="O10" s="268"/>
      <c r="P10" s="268"/>
      <c r="Q10" s="206" t="s">
        <v>282</v>
      </c>
      <c r="R10" s="206" t="e">
        <f>#REF!</f>
        <v>#REF!</v>
      </c>
      <c r="S10" s="206"/>
      <c r="T10" s="207"/>
    </row>
    <row r="11" spans="2:20" ht="15" customHeight="1">
      <c r="B11" s="195"/>
      <c r="C11" s="74"/>
      <c r="D11" s="206"/>
      <c r="E11" s="206"/>
      <c r="F11" s="206"/>
      <c r="G11" s="206"/>
      <c r="H11" s="206"/>
      <c r="I11" s="206"/>
      <c r="J11" s="206"/>
      <c r="K11" s="207"/>
      <c r="L11" s="74"/>
      <c r="M11" s="75" t="s">
        <v>285</v>
      </c>
      <c r="N11" s="268" t="e">
        <f>#REF!</f>
        <v>#REF!</v>
      </c>
      <c r="O11" s="268"/>
      <c r="P11" s="268"/>
      <c r="Q11" s="206" t="s">
        <v>282</v>
      </c>
      <c r="R11" s="206" t="e">
        <f>#REF!</f>
        <v>#REF!</v>
      </c>
      <c r="S11" s="206"/>
      <c r="T11" s="207"/>
    </row>
    <row r="12" spans="2:20" ht="15" customHeight="1">
      <c r="B12" s="195"/>
      <c r="C12" s="73" t="s">
        <v>294</v>
      </c>
      <c r="D12" s="268" t="str">
        <f>Ramp!B2</f>
        <v>RAMP</v>
      </c>
      <c r="E12" s="268"/>
      <c r="F12" s="268"/>
      <c r="G12" s="268"/>
      <c r="H12" s="268"/>
      <c r="I12" s="207" t="s">
        <v>282</v>
      </c>
      <c r="J12" s="206">
        <f>Ramp!H2</f>
        <v>4</v>
      </c>
      <c r="K12" s="207"/>
      <c r="L12" s="74"/>
      <c r="M12" s="75" t="s">
        <v>285</v>
      </c>
      <c r="N12" s="268" t="e">
        <f>#REF!</f>
        <v>#REF!</v>
      </c>
      <c r="O12" s="268"/>
      <c r="P12" s="268"/>
      <c r="Q12" s="206" t="s">
        <v>282</v>
      </c>
      <c r="R12" s="206" t="e">
        <f>#REF!</f>
        <v>#REF!</v>
      </c>
      <c r="S12" s="206"/>
      <c r="T12" s="207"/>
    </row>
    <row r="13" spans="2:20" ht="15" customHeight="1">
      <c r="B13" s="195"/>
      <c r="C13" s="74"/>
      <c r="D13" s="75" t="s">
        <v>285</v>
      </c>
      <c r="E13" s="268" t="str">
        <f>Ramp!B4</f>
        <v>Fore Ramp</v>
      </c>
      <c r="F13" s="268"/>
      <c r="G13" s="206" t="s">
        <v>282</v>
      </c>
      <c r="H13" s="206">
        <f>Ramp!H4</f>
        <v>4</v>
      </c>
      <c r="I13" s="206"/>
      <c r="J13" s="206"/>
      <c r="K13" s="207"/>
      <c r="L13" s="74"/>
      <c r="M13" s="75" t="s">
        <v>285</v>
      </c>
      <c r="N13" s="268" t="str">
        <f>'PUMP&amp;PIPE - xx'!B3</f>
        <v>Pump</v>
      </c>
      <c r="O13" s="268"/>
      <c r="P13" s="268"/>
      <c r="Q13" s="206" t="s">
        <v>282</v>
      </c>
      <c r="R13" s="206">
        <f>'PUMP&amp;PIPE - xx'!I3</f>
        <v>2.5</v>
      </c>
      <c r="S13" s="206"/>
      <c r="T13" s="207"/>
    </row>
    <row r="14" spans="2:20" ht="15" customHeight="1">
      <c r="B14" s="195"/>
      <c r="C14" s="74"/>
      <c r="D14" s="75" t="s">
        <v>285</v>
      </c>
      <c r="E14" s="268" t="str">
        <f>Ramp!B28</f>
        <v>Bow Visor</v>
      </c>
      <c r="F14" s="268"/>
      <c r="G14" s="206" t="s">
        <v>282</v>
      </c>
      <c r="H14" s="206">
        <f>Ramp!H28</f>
        <v>4</v>
      </c>
      <c r="I14" s="206"/>
      <c r="J14" s="206"/>
      <c r="K14" s="207"/>
      <c r="L14" s="74"/>
      <c r="M14" s="75" t="s">
        <v>285</v>
      </c>
      <c r="N14" s="268" t="str">
        <f>'PUMP&amp;PIPE - xx'!B42</f>
        <v>Pipe</v>
      </c>
      <c r="O14" s="268"/>
      <c r="P14" s="268"/>
      <c r="Q14" s="206" t="s">
        <v>282</v>
      </c>
      <c r="R14" s="206">
        <f>'PUMP&amp;PIPE - xx'!I42</f>
        <v>1</v>
      </c>
      <c r="S14" s="206"/>
      <c r="T14" s="207"/>
    </row>
    <row r="15" spans="2:20" ht="15" customHeight="1">
      <c r="B15" s="195"/>
      <c r="C15" s="74"/>
      <c r="D15" s="75" t="s">
        <v>285</v>
      </c>
      <c r="E15" s="268" t="str">
        <f>Ramp!B47</f>
        <v>Aft Ramp</v>
      </c>
      <c r="F15" s="268"/>
      <c r="G15" s="206" t="s">
        <v>282</v>
      </c>
      <c r="H15" s="206">
        <f>Ramp!H47</f>
        <v>4</v>
      </c>
      <c r="I15" s="206"/>
      <c r="J15" s="206"/>
      <c r="K15" s="207"/>
      <c r="L15" s="74"/>
      <c r="M15" s="206"/>
      <c r="N15" s="206"/>
      <c r="O15" s="206"/>
      <c r="P15" s="206"/>
      <c r="Q15" s="206"/>
      <c r="R15" s="206"/>
      <c r="S15" s="206"/>
      <c r="T15" s="207"/>
    </row>
    <row r="16" spans="2:20" ht="15" customHeight="1">
      <c r="B16" s="195"/>
      <c r="C16" s="74"/>
      <c r="D16" s="75" t="s">
        <v>285</v>
      </c>
      <c r="E16" s="268" t="str">
        <f>Ramp!B71</f>
        <v>Portside Ramp</v>
      </c>
      <c r="F16" s="268"/>
      <c r="G16" s="206" t="s">
        <v>282</v>
      </c>
      <c r="H16" s="206">
        <f>Ramp!H71</f>
        <v>4</v>
      </c>
      <c r="I16" s="206"/>
      <c r="J16" s="206"/>
      <c r="K16" s="207"/>
      <c r="L16" s="73" t="s">
        <v>295</v>
      </c>
      <c r="M16" s="268" t="str">
        <f>'BRIDGE &amp; NAVIGATION'!B2</f>
        <v>BRIDGE &amp; NAVIGATION ROOM</v>
      </c>
      <c r="N16" s="268"/>
      <c r="O16" s="268"/>
      <c r="P16" s="268"/>
      <c r="Q16" s="268"/>
      <c r="R16" s="268"/>
      <c r="S16" s="207" t="s">
        <v>282</v>
      </c>
      <c r="T16" s="206">
        <f>'BRIDGE &amp; NAVIGATION'!H2</f>
        <v>4</v>
      </c>
    </row>
    <row r="17" spans="3:20" ht="15" customHeight="1">
      <c r="C17" s="74"/>
      <c r="D17" s="75" t="s">
        <v>285</v>
      </c>
      <c r="E17" s="268" t="str">
        <f>Ramp!B95</f>
        <v>Starboard Ramp</v>
      </c>
      <c r="F17" s="268"/>
      <c r="G17" s="206" t="s">
        <v>282</v>
      </c>
      <c r="H17" s="206">
        <f>Ramp!H95</f>
        <v>4</v>
      </c>
      <c r="I17" s="206"/>
      <c r="J17" s="206"/>
      <c r="K17" s="207"/>
      <c r="L17" s="74"/>
      <c r="M17" s="75" t="s">
        <v>285</v>
      </c>
      <c r="N17" s="268" t="str">
        <f>'BRIDGE &amp; NAVIGATION'!B4</f>
        <v>General Condition</v>
      </c>
      <c r="O17" s="268"/>
      <c r="P17" s="268"/>
      <c r="Q17" s="206" t="s">
        <v>282</v>
      </c>
      <c r="R17" s="206">
        <f>'BRIDGE &amp; NAVIGATION'!H4</f>
        <v>4</v>
      </c>
      <c r="S17" s="206"/>
      <c r="T17" s="207"/>
    </row>
    <row r="18" spans="3:20" ht="15" customHeight="1">
      <c r="C18" s="74"/>
      <c r="D18" s="75" t="s">
        <v>285</v>
      </c>
      <c r="E18" s="268" t="str">
        <f>Ramp!B119</f>
        <v>In Ramp</v>
      </c>
      <c r="F18" s="268"/>
      <c r="G18" s="206" t="s">
        <v>282</v>
      </c>
      <c r="H18" s="206">
        <f>Ramp!H119</f>
        <v>4</v>
      </c>
      <c r="I18" s="206"/>
      <c r="J18" s="206"/>
      <c r="K18" s="207"/>
      <c r="L18" s="74"/>
      <c r="M18" s="75" t="s">
        <v>285</v>
      </c>
      <c r="N18" s="268" t="str">
        <f>'BRIDGE &amp; NAVIGATION'!B50</f>
        <v>Navigation Equipment</v>
      </c>
      <c r="O18" s="268"/>
      <c r="P18" s="268"/>
      <c r="Q18" s="206" t="s">
        <v>282</v>
      </c>
      <c r="R18" s="206">
        <f>'BRIDGE &amp; NAVIGATION'!H50</f>
        <v>4</v>
      </c>
      <c r="S18" s="206"/>
      <c r="T18" s="207"/>
    </row>
    <row r="19" spans="3:20" ht="15" customHeight="1">
      <c r="C19" s="74"/>
      <c r="D19" s="206"/>
      <c r="E19" s="206"/>
      <c r="F19" s="206"/>
      <c r="G19" s="206"/>
      <c r="H19" s="206"/>
      <c r="I19" s="206"/>
      <c r="J19" s="206"/>
      <c r="K19" s="207"/>
      <c r="L19" s="74"/>
      <c r="M19" s="75" t="s">
        <v>285</v>
      </c>
      <c r="N19" s="268" t="str">
        <f>'BRIDGE &amp; NAVIGATION'!B73</f>
        <v>Communication Equipment</v>
      </c>
      <c r="O19" s="268"/>
      <c r="P19" s="268"/>
      <c r="Q19" s="206" t="s">
        <v>282</v>
      </c>
      <c r="R19" s="206">
        <f>'BRIDGE &amp; NAVIGATION'!H73</f>
        <v>4</v>
      </c>
      <c r="S19" s="206"/>
      <c r="T19" s="207"/>
    </row>
    <row r="20" spans="3:20" ht="15" customHeight="1">
      <c r="C20" s="73" t="s">
        <v>296</v>
      </c>
      <c r="D20" s="268" t="str">
        <f>Accomodation!B2</f>
        <v>ACCOMODATION</v>
      </c>
      <c r="E20" s="268"/>
      <c r="F20" s="268"/>
      <c r="G20" s="268"/>
      <c r="H20" s="268"/>
      <c r="I20" s="207" t="s">
        <v>282</v>
      </c>
      <c r="J20" s="206">
        <f>Accomodation!H2</f>
        <v>4</v>
      </c>
      <c r="K20" s="207"/>
      <c r="L20" s="74"/>
      <c r="M20" s="75" t="s">
        <v>285</v>
      </c>
      <c r="N20" s="268" t="str">
        <f>'BRIDGE &amp; NAVIGATION'!B90</f>
        <v>Navigation Light</v>
      </c>
      <c r="O20" s="268"/>
      <c r="P20" s="268"/>
      <c r="Q20" s="206" t="s">
        <v>282</v>
      </c>
      <c r="R20" s="206">
        <f>'BRIDGE &amp; NAVIGATION'!H90</f>
        <v>4</v>
      </c>
      <c r="S20" s="206"/>
      <c r="T20" s="207"/>
    </row>
    <row r="21" spans="3:20" ht="15" customHeight="1">
      <c r="C21" s="74"/>
      <c r="D21" s="75" t="s">
        <v>285</v>
      </c>
      <c r="E21" s="268" t="str">
        <f>Accomodation!B4</f>
        <v>Crew</v>
      </c>
      <c r="F21" s="268"/>
      <c r="G21" s="206" t="s">
        <v>282</v>
      </c>
      <c r="H21" s="206">
        <f>Accomodation!H4</f>
        <v>4</v>
      </c>
      <c r="I21" s="206"/>
      <c r="J21" s="206"/>
      <c r="K21" s="207"/>
      <c r="L21" s="74"/>
      <c r="M21" s="206"/>
      <c r="N21" s="206"/>
      <c r="O21" s="206"/>
      <c r="P21" s="206"/>
      <c r="Q21" s="206"/>
      <c r="R21" s="206"/>
      <c r="S21" s="206"/>
      <c r="T21" s="207"/>
    </row>
    <row r="22" spans="3:20" ht="15" customHeight="1">
      <c r="C22" s="74"/>
      <c r="D22" s="75" t="s">
        <v>285</v>
      </c>
      <c r="E22" s="268" t="str">
        <f>Accomodation!B41</f>
        <v>Passenger</v>
      </c>
      <c r="F22" s="268"/>
      <c r="G22" s="206" t="s">
        <v>282</v>
      </c>
      <c r="H22" s="206">
        <f>Accomodation!H41</f>
        <v>4</v>
      </c>
      <c r="I22" s="206"/>
      <c r="J22" s="206"/>
      <c r="K22" s="207"/>
      <c r="L22" s="73" t="s">
        <v>297</v>
      </c>
      <c r="M22" s="268" t="str">
        <f>'SHIP SAFETY OPERATION'!B2</f>
        <v>SHIP SAFETY  OPERATION</v>
      </c>
      <c r="N22" s="268"/>
      <c r="O22" s="268"/>
      <c r="P22" s="268"/>
      <c r="Q22" s="268"/>
      <c r="R22" s="268"/>
      <c r="S22" s="207" t="s">
        <v>282</v>
      </c>
      <c r="T22" s="206">
        <f>'SHIP SAFETY OPERATION'!H2</f>
        <v>4</v>
      </c>
    </row>
    <row r="23" spans="3:20" ht="15" customHeight="1">
      <c r="C23" s="74"/>
      <c r="D23" s="206"/>
      <c r="E23" s="206"/>
      <c r="F23" s="206"/>
      <c r="G23" s="206"/>
      <c r="H23" s="206"/>
      <c r="I23" s="206"/>
      <c r="J23" s="206"/>
      <c r="K23" s="207"/>
      <c r="L23" s="207"/>
      <c r="M23" s="75" t="s">
        <v>285</v>
      </c>
      <c r="N23" s="268" t="str">
        <f>'SHIP SAFETY OPERATION'!B4</f>
        <v>Operation Document</v>
      </c>
      <c r="O23" s="268"/>
      <c r="P23" s="268"/>
      <c r="Q23" s="206" t="s">
        <v>282</v>
      </c>
      <c r="R23" s="206">
        <f>'SHIP SAFETY OPERATION'!H4</f>
        <v>4</v>
      </c>
      <c r="S23" s="206"/>
      <c r="T23" s="207"/>
    </row>
    <row r="24" spans="3:20" ht="15" customHeight="1">
      <c r="C24" s="73" t="s">
        <v>298</v>
      </c>
      <c r="D24" s="268" t="e">
        <f>#REF!</f>
        <v>#REF!</v>
      </c>
      <c r="E24" s="268"/>
      <c r="F24" s="268"/>
      <c r="G24" s="268"/>
      <c r="H24" s="268"/>
      <c r="I24" s="207" t="s">
        <v>282</v>
      </c>
      <c r="J24" s="206" t="e">
        <f>#REF!</f>
        <v>#REF!</v>
      </c>
      <c r="K24" s="207"/>
      <c r="L24" s="207"/>
      <c r="M24" s="75" t="s">
        <v>285</v>
      </c>
      <c r="N24" s="268" t="str">
        <f>'SHIP SAFETY OPERATION'!B54</f>
        <v>Life Saving Appliance</v>
      </c>
      <c r="O24" s="268"/>
      <c r="P24" s="268"/>
      <c r="Q24" s="206" t="s">
        <v>282</v>
      </c>
      <c r="R24" s="206">
        <f ca="1">'SHIP SAFETY OPERATION'!H54</f>
        <v>2.1555555555555559</v>
      </c>
      <c r="S24" s="206"/>
      <c r="T24" s="207"/>
    </row>
    <row r="25" spans="3:20" ht="15" customHeight="1">
      <c r="C25" s="76"/>
      <c r="D25" s="75" t="s">
        <v>285</v>
      </c>
      <c r="E25" s="268" t="e">
        <f>#REF!</f>
        <v>#REF!</v>
      </c>
      <c r="F25" s="268"/>
      <c r="G25" s="206" t="s">
        <v>282</v>
      </c>
      <c r="H25" s="206" t="e">
        <f>#REF!</f>
        <v>#REF!</v>
      </c>
      <c r="I25" s="206"/>
      <c r="J25" s="206"/>
      <c r="K25" s="207"/>
      <c r="L25" s="207"/>
      <c r="M25" s="75" t="s">
        <v>285</v>
      </c>
      <c r="N25" s="268" t="str">
        <f>'SHIP SAFETY OPERATION'!B153</f>
        <v>Fire Fighting Appliance</v>
      </c>
      <c r="O25" s="268"/>
      <c r="P25" s="268"/>
      <c r="Q25" s="206" t="s">
        <v>282</v>
      </c>
      <c r="R25" s="206">
        <f>'SHIP SAFETY OPERATION'!H153</f>
        <v>4</v>
      </c>
      <c r="S25" s="206"/>
      <c r="T25" s="207"/>
    </row>
    <row r="26" spans="3:20" ht="15" customHeight="1">
      <c r="C26" s="76"/>
      <c r="D26" s="75" t="s">
        <v>285</v>
      </c>
      <c r="E26" s="268" t="e">
        <f>#REF!</f>
        <v>#REF!</v>
      </c>
      <c r="F26" s="268"/>
      <c r="G26" s="206" t="s">
        <v>282</v>
      </c>
      <c r="H26" s="206" t="e">
        <f>#REF!</f>
        <v>#REF!</v>
      </c>
      <c r="I26" s="206"/>
      <c r="J26" s="207"/>
      <c r="K26" s="207"/>
      <c r="L26" s="207"/>
      <c r="M26" s="207"/>
      <c r="N26" s="207"/>
      <c r="O26" s="207"/>
      <c r="P26" s="207"/>
      <c r="Q26" s="206"/>
      <c r="R26" s="207"/>
      <c r="S26" s="207"/>
      <c r="T26" s="207"/>
    </row>
    <row r="27" spans="3:20" ht="15.75" customHeight="1">
      <c r="C27" s="195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</row>
  </sheetData>
  <mergeCells count="35">
    <mergeCell ref="N14:P14"/>
    <mergeCell ref="N12:P12"/>
    <mergeCell ref="N11:P11"/>
    <mergeCell ref="N18:P18"/>
    <mergeCell ref="N19:P19"/>
    <mergeCell ref="N17:P17"/>
    <mergeCell ref="D2:J2"/>
    <mergeCell ref="E4:J4"/>
    <mergeCell ref="D8:H8"/>
    <mergeCell ref="M8:R8"/>
    <mergeCell ref="E16:F16"/>
    <mergeCell ref="E9:F9"/>
    <mergeCell ref="E10:F10"/>
    <mergeCell ref="E13:F13"/>
    <mergeCell ref="E14:F14"/>
    <mergeCell ref="E15:F15"/>
    <mergeCell ref="D12:H12"/>
    <mergeCell ref="M16:R16"/>
    <mergeCell ref="N13:P13"/>
    <mergeCell ref="N10:P10"/>
    <mergeCell ref="N9:P9"/>
    <mergeCell ref="K2:N2"/>
    <mergeCell ref="E25:F25"/>
    <mergeCell ref="E26:F26"/>
    <mergeCell ref="N25:P25"/>
    <mergeCell ref="N24:P24"/>
    <mergeCell ref="N23:P23"/>
    <mergeCell ref="D20:H20"/>
    <mergeCell ref="M22:R22"/>
    <mergeCell ref="D24:H24"/>
    <mergeCell ref="E17:F17"/>
    <mergeCell ref="E18:F18"/>
    <mergeCell ref="E21:F21"/>
    <mergeCell ref="E22:F22"/>
    <mergeCell ref="N20:P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</sheetPr>
  <dimension ref="A1:AA1025"/>
  <sheetViews>
    <sheetView workbookViewId="0">
      <selection sqref="A1:H54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79" customWidth="1"/>
    <col min="9" max="27" width="12.7109375" style="77"/>
    <col min="28" max="16384" width="12.7109375" style="79"/>
  </cols>
  <sheetData>
    <row r="1" spans="1:8" ht="33" customHeight="1">
      <c r="A1" s="204" t="s">
        <v>299</v>
      </c>
      <c r="B1" s="264" t="s">
        <v>300</v>
      </c>
      <c r="C1" s="264"/>
      <c r="D1" s="264"/>
      <c r="E1" s="264"/>
      <c r="F1" s="264"/>
      <c r="G1" s="264"/>
      <c r="H1" s="102" t="s">
        <v>301</v>
      </c>
    </row>
    <row r="2" spans="1:8" ht="20.25" customHeight="1">
      <c r="A2" s="100" t="s">
        <v>302</v>
      </c>
      <c r="B2" s="276" t="s">
        <v>303</v>
      </c>
      <c r="C2" s="277"/>
      <c r="D2" s="277"/>
      <c r="E2" s="277"/>
      <c r="F2" s="277"/>
      <c r="G2" s="277"/>
      <c r="H2" s="101">
        <f>AVERAGE(H4,H34)</f>
        <v>4</v>
      </c>
    </row>
    <row r="3" spans="1:8" ht="15" customHeight="1">
      <c r="A3" s="94"/>
      <c r="B3" s="95"/>
      <c r="C3" s="95"/>
      <c r="D3" s="96"/>
      <c r="E3" s="96"/>
      <c r="F3" s="96"/>
      <c r="G3" s="96"/>
      <c r="H3" s="97"/>
    </row>
    <row r="4" spans="1:8" ht="15.75" customHeight="1">
      <c r="A4" s="98">
        <v>1</v>
      </c>
      <c r="B4" s="215" t="s">
        <v>304</v>
      </c>
      <c r="C4" s="278"/>
      <c r="D4" s="278"/>
      <c r="E4" s="278"/>
      <c r="F4" s="278"/>
      <c r="G4" s="278"/>
      <c r="H4" s="90">
        <f>AVERAGE(H5:H27)</f>
        <v>4</v>
      </c>
    </row>
    <row r="5" spans="1:8" ht="15.75" customHeight="1">
      <c r="A5" s="82"/>
      <c r="B5" s="80">
        <v>46023</v>
      </c>
      <c r="C5" s="193"/>
      <c r="D5" s="193" t="s">
        <v>305</v>
      </c>
      <c r="E5" s="194"/>
      <c r="F5" s="194"/>
      <c r="G5" s="194"/>
      <c r="H5" s="90">
        <f>AVERAGE(G7:G8)</f>
        <v>4</v>
      </c>
    </row>
    <row r="6" spans="1:8" ht="15.75" hidden="1" customHeight="1">
      <c r="A6" s="82"/>
      <c r="B6" s="193"/>
      <c r="C6" s="193"/>
      <c r="D6" s="193"/>
      <c r="E6" s="92" t="s">
        <v>4</v>
      </c>
      <c r="F6" s="92" t="s">
        <v>10</v>
      </c>
      <c r="G6" s="92" t="s">
        <v>306</v>
      </c>
      <c r="H6" s="91"/>
    </row>
    <row r="7" spans="1:8" ht="15.75" hidden="1" customHeight="1">
      <c r="A7" s="82"/>
      <c r="B7" s="193"/>
      <c r="C7" s="193" t="s">
        <v>307</v>
      </c>
      <c r="D7" s="193" t="s">
        <v>308</v>
      </c>
      <c r="E7" s="92">
        <v>4</v>
      </c>
      <c r="F7" s="92">
        <v>4</v>
      </c>
      <c r="G7" s="92">
        <f t="shared" ref="G7" si="0">AVERAGE(E7:F7)</f>
        <v>4</v>
      </c>
      <c r="H7" s="91"/>
    </row>
    <row r="8" spans="1:8" ht="15.75" hidden="1" customHeight="1">
      <c r="A8" s="82"/>
      <c r="B8" s="193"/>
      <c r="C8" s="193" t="s">
        <v>309</v>
      </c>
      <c r="D8" s="193" t="s">
        <v>310</v>
      </c>
      <c r="E8" s="92">
        <v>4</v>
      </c>
      <c r="F8" s="92">
        <v>4</v>
      </c>
      <c r="G8" s="92">
        <f t="shared" ref="G8" si="1">AVERAGE(E8:F8)</f>
        <v>4</v>
      </c>
      <c r="H8" s="90"/>
    </row>
    <row r="9" spans="1:8" ht="15.75" hidden="1" customHeight="1">
      <c r="A9" s="82"/>
      <c r="B9" s="192" t="s">
        <v>311</v>
      </c>
      <c r="C9" s="271"/>
      <c r="D9" s="271"/>
      <c r="E9" s="271"/>
      <c r="F9" s="271"/>
      <c r="G9" s="271"/>
      <c r="H9" s="272"/>
    </row>
    <row r="10" spans="1:8" ht="15.75" hidden="1" customHeight="1">
      <c r="A10" s="99"/>
      <c r="B10" s="87" t="s">
        <v>285</v>
      </c>
      <c r="C10" s="271" t="s">
        <v>312</v>
      </c>
      <c r="D10" s="271"/>
      <c r="E10" s="271"/>
      <c r="F10" s="271"/>
      <c r="G10" s="271"/>
      <c r="H10" s="272"/>
    </row>
    <row r="11" spans="1:8" ht="15.75" hidden="1" customHeight="1">
      <c r="A11" s="82"/>
      <c r="B11" s="87" t="s">
        <v>285</v>
      </c>
      <c r="C11" s="271" t="s">
        <v>312</v>
      </c>
      <c r="D11" s="271"/>
      <c r="E11" s="271"/>
      <c r="F11" s="271"/>
      <c r="G11" s="271"/>
      <c r="H11" s="272"/>
    </row>
    <row r="12" spans="1:8" ht="15.75" hidden="1" customHeight="1">
      <c r="A12" s="82"/>
      <c r="B12" s="86"/>
      <c r="C12" s="193"/>
      <c r="D12" s="193"/>
      <c r="E12" s="92"/>
      <c r="F12" s="92"/>
      <c r="G12" s="92"/>
      <c r="H12" s="91"/>
    </row>
    <row r="13" spans="1:8" ht="15.75" customHeight="1">
      <c r="A13" s="82"/>
      <c r="B13" s="80">
        <v>46054</v>
      </c>
      <c r="C13" s="193"/>
      <c r="D13" s="193" t="s">
        <v>313</v>
      </c>
      <c r="E13" s="93"/>
      <c r="F13" s="93"/>
      <c r="G13" s="93"/>
      <c r="H13" s="90">
        <f>AVERAGE(G15:G19)</f>
        <v>4</v>
      </c>
    </row>
    <row r="14" spans="1:8" ht="15.75" hidden="1" customHeight="1">
      <c r="A14" s="82"/>
      <c r="B14" s="193"/>
      <c r="C14" s="193"/>
      <c r="D14" s="193"/>
      <c r="E14" s="92" t="s">
        <v>4</v>
      </c>
      <c r="F14" s="92" t="s">
        <v>10</v>
      </c>
      <c r="G14" s="92" t="s">
        <v>306</v>
      </c>
      <c r="H14" s="91"/>
    </row>
    <row r="15" spans="1:8" ht="15.75" hidden="1" customHeight="1">
      <c r="A15" s="82"/>
      <c r="B15" s="193"/>
      <c r="C15" s="193" t="s">
        <v>307</v>
      </c>
      <c r="D15" s="193" t="s">
        <v>314</v>
      </c>
      <c r="E15" s="92">
        <v>4</v>
      </c>
      <c r="F15" s="92">
        <v>4</v>
      </c>
      <c r="G15" s="92">
        <f t="shared" ref="G15:G19" si="2">AVERAGE(E15:F15)</f>
        <v>4</v>
      </c>
      <c r="H15" s="91"/>
    </row>
    <row r="16" spans="1:8" ht="15.75" hidden="1" customHeight="1">
      <c r="A16" s="82"/>
      <c r="B16" s="193"/>
      <c r="C16" s="193" t="s">
        <v>309</v>
      </c>
      <c r="D16" s="193" t="s">
        <v>315</v>
      </c>
      <c r="E16" s="92">
        <v>4</v>
      </c>
      <c r="F16" s="92">
        <v>4</v>
      </c>
      <c r="G16" s="92">
        <f t="shared" si="2"/>
        <v>4</v>
      </c>
      <c r="H16" s="90"/>
    </row>
    <row r="17" spans="1:8" ht="15.75" hidden="1" customHeight="1">
      <c r="A17" s="82"/>
      <c r="B17" s="193"/>
      <c r="C17" s="193" t="s">
        <v>316</v>
      </c>
      <c r="D17" s="193" t="s">
        <v>317</v>
      </c>
      <c r="E17" s="92">
        <v>4</v>
      </c>
      <c r="F17" s="92">
        <v>4</v>
      </c>
      <c r="G17" s="92">
        <f t="shared" si="2"/>
        <v>4</v>
      </c>
      <c r="H17" s="90"/>
    </row>
    <row r="18" spans="1:8" ht="15.75" hidden="1" customHeight="1">
      <c r="A18" s="82"/>
      <c r="B18" s="86"/>
      <c r="C18" s="193" t="s">
        <v>318</v>
      </c>
      <c r="D18" s="193" t="s">
        <v>319</v>
      </c>
      <c r="E18" s="92">
        <v>4</v>
      </c>
      <c r="F18" s="92">
        <v>4</v>
      </c>
      <c r="G18" s="92">
        <f t="shared" si="2"/>
        <v>4</v>
      </c>
      <c r="H18" s="90"/>
    </row>
    <row r="19" spans="1:8" ht="15.75" hidden="1" customHeight="1">
      <c r="A19" s="82"/>
      <c r="B19" s="86"/>
      <c r="C19" s="193" t="s">
        <v>320</v>
      </c>
      <c r="D19" s="193" t="s">
        <v>321</v>
      </c>
      <c r="E19" s="92">
        <v>4</v>
      </c>
      <c r="F19" s="92">
        <v>4</v>
      </c>
      <c r="G19" s="92">
        <f t="shared" si="2"/>
        <v>4</v>
      </c>
      <c r="H19" s="90"/>
    </row>
    <row r="20" spans="1:8" ht="15.75" hidden="1" customHeight="1">
      <c r="A20" s="82"/>
      <c r="B20" s="192" t="s">
        <v>311</v>
      </c>
      <c r="C20" s="271"/>
      <c r="D20" s="271"/>
      <c r="E20" s="271"/>
      <c r="F20" s="271"/>
      <c r="G20" s="271"/>
      <c r="H20" s="272"/>
    </row>
    <row r="21" spans="1:8" ht="15.75" hidden="1" customHeight="1">
      <c r="A21" s="99"/>
      <c r="B21" s="87" t="s">
        <v>285</v>
      </c>
      <c r="C21" s="271" t="s">
        <v>312</v>
      </c>
      <c r="D21" s="271"/>
      <c r="E21" s="271"/>
      <c r="F21" s="271"/>
      <c r="G21" s="271"/>
      <c r="H21" s="272"/>
    </row>
    <row r="22" spans="1:8" ht="15.75" hidden="1" customHeight="1">
      <c r="A22" s="82"/>
      <c r="B22" s="87" t="s">
        <v>285</v>
      </c>
      <c r="C22" s="271" t="s">
        <v>312</v>
      </c>
      <c r="D22" s="271"/>
      <c r="E22" s="271"/>
      <c r="F22" s="271"/>
      <c r="G22" s="271"/>
      <c r="H22" s="272"/>
    </row>
    <row r="23" spans="1:8" ht="15.75" hidden="1" customHeight="1">
      <c r="A23" s="82"/>
      <c r="B23" s="86"/>
      <c r="C23" s="193"/>
      <c r="D23" s="193"/>
      <c r="E23" s="92"/>
      <c r="F23" s="92"/>
      <c r="G23" s="92"/>
      <c r="H23" s="91"/>
    </row>
    <row r="24" spans="1:8" ht="15.75" customHeight="1">
      <c r="A24" s="82"/>
      <c r="B24" s="78">
        <v>1.3</v>
      </c>
      <c r="C24" s="193"/>
      <c r="D24" s="193" t="s">
        <v>322</v>
      </c>
      <c r="E24" s="93"/>
      <c r="F24" s="93"/>
      <c r="G24" s="93"/>
      <c r="H24" s="90">
        <f>AVERAGE(G26:G28)</f>
        <v>4</v>
      </c>
    </row>
    <row r="25" spans="1:8" ht="15.75" hidden="1" customHeight="1">
      <c r="A25" s="82"/>
      <c r="B25" s="193"/>
      <c r="C25" s="193"/>
      <c r="D25" s="193"/>
      <c r="E25" s="92" t="s">
        <v>4</v>
      </c>
      <c r="F25" s="92" t="s">
        <v>10</v>
      </c>
      <c r="G25" s="92" t="s">
        <v>306</v>
      </c>
      <c r="H25" s="91"/>
    </row>
    <row r="26" spans="1:8" ht="15.75" hidden="1" customHeight="1">
      <c r="A26" s="82"/>
      <c r="B26" s="193"/>
      <c r="C26" s="193" t="s">
        <v>307</v>
      </c>
      <c r="D26" s="193" t="s">
        <v>323</v>
      </c>
      <c r="E26" s="92">
        <v>4</v>
      </c>
      <c r="F26" s="92">
        <v>4</v>
      </c>
      <c r="G26" s="92">
        <f t="shared" ref="G26:G28" si="3">AVERAGE(E26:F26)</f>
        <v>4</v>
      </c>
      <c r="H26" s="91"/>
    </row>
    <row r="27" spans="1:8" ht="15.75" hidden="1" customHeight="1">
      <c r="A27" s="82"/>
      <c r="B27" s="193"/>
      <c r="C27" s="193" t="s">
        <v>309</v>
      </c>
      <c r="D27" s="193" t="s">
        <v>324</v>
      </c>
      <c r="E27" s="92">
        <v>4</v>
      </c>
      <c r="F27" s="92">
        <v>4</v>
      </c>
      <c r="G27" s="92">
        <f t="shared" si="3"/>
        <v>4</v>
      </c>
      <c r="H27" s="90"/>
    </row>
    <row r="28" spans="1:8" ht="15.75" hidden="1" customHeight="1">
      <c r="A28" s="82"/>
      <c r="B28" s="193"/>
      <c r="C28" s="193" t="s">
        <v>316</v>
      </c>
      <c r="D28" s="193" t="s">
        <v>325</v>
      </c>
      <c r="E28" s="92">
        <v>4</v>
      </c>
      <c r="F28" s="92">
        <v>4</v>
      </c>
      <c r="G28" s="92">
        <f t="shared" si="3"/>
        <v>4</v>
      </c>
      <c r="H28" s="91"/>
    </row>
    <row r="29" spans="1:8" ht="15.75" hidden="1" customHeight="1">
      <c r="A29" s="82"/>
      <c r="B29" s="192" t="s">
        <v>311</v>
      </c>
      <c r="C29" s="271"/>
      <c r="D29" s="271"/>
      <c r="E29" s="271"/>
      <c r="F29" s="271"/>
      <c r="G29" s="271"/>
      <c r="H29" s="272"/>
    </row>
    <row r="30" spans="1:8" ht="15.75" hidden="1" customHeight="1">
      <c r="A30" s="99"/>
      <c r="B30" s="87" t="s">
        <v>285</v>
      </c>
      <c r="C30" s="271" t="s">
        <v>312</v>
      </c>
      <c r="D30" s="271"/>
      <c r="E30" s="271"/>
      <c r="F30" s="271"/>
      <c r="G30" s="271"/>
      <c r="H30" s="272"/>
    </row>
    <row r="31" spans="1:8" ht="15.75" hidden="1" customHeight="1">
      <c r="A31" s="82"/>
      <c r="B31" s="87" t="s">
        <v>285</v>
      </c>
      <c r="C31" s="271" t="s">
        <v>312</v>
      </c>
      <c r="D31" s="271"/>
      <c r="E31" s="271"/>
      <c r="F31" s="271"/>
      <c r="G31" s="271"/>
      <c r="H31" s="272"/>
    </row>
    <row r="32" spans="1:8" ht="15.75" hidden="1" customHeight="1">
      <c r="A32" s="82"/>
      <c r="B32" s="87"/>
      <c r="C32" s="271"/>
      <c r="D32" s="271"/>
      <c r="E32" s="271"/>
      <c r="F32" s="271"/>
      <c r="G32" s="271"/>
      <c r="H32" s="272"/>
    </row>
    <row r="33" spans="1:8" ht="15.75" customHeight="1">
      <c r="A33" s="94"/>
      <c r="B33" s="95"/>
      <c r="C33" s="95"/>
      <c r="D33" s="96"/>
      <c r="E33" s="96"/>
      <c r="F33" s="96"/>
      <c r="G33" s="96"/>
      <c r="H33" s="97"/>
    </row>
    <row r="34" spans="1:8" ht="15.75" customHeight="1">
      <c r="A34" s="98">
        <v>2</v>
      </c>
      <c r="B34" s="275" t="s">
        <v>326</v>
      </c>
      <c r="C34" s="275"/>
      <c r="D34" s="275"/>
      <c r="E34" s="275"/>
      <c r="F34" s="275"/>
      <c r="G34" s="275"/>
      <c r="H34" s="103">
        <f>AVERAGE(H35:H54)</f>
        <v>4</v>
      </c>
    </row>
    <row r="35" spans="1:8" ht="15.75" customHeight="1">
      <c r="A35" s="82"/>
      <c r="B35" s="80">
        <v>46024</v>
      </c>
      <c r="C35" s="193"/>
      <c r="D35" s="193" t="s">
        <v>327</v>
      </c>
      <c r="E35" s="194"/>
      <c r="F35" s="194"/>
      <c r="G35" s="194"/>
      <c r="H35" s="83">
        <f>AVERAGE(G37:G39)</f>
        <v>4</v>
      </c>
    </row>
    <row r="36" spans="1:8" ht="15.75" hidden="1" customHeight="1">
      <c r="A36" s="82"/>
      <c r="B36" s="193"/>
      <c r="C36" s="193"/>
      <c r="D36" s="193"/>
      <c r="E36" s="92" t="s">
        <v>4</v>
      </c>
      <c r="F36" s="92" t="s">
        <v>10</v>
      </c>
      <c r="G36" s="92" t="s">
        <v>306</v>
      </c>
      <c r="H36" s="84"/>
    </row>
    <row r="37" spans="1:8" ht="15.75" hidden="1" customHeight="1">
      <c r="A37" s="82"/>
      <c r="B37" s="193"/>
      <c r="C37" s="193" t="s">
        <v>307</v>
      </c>
      <c r="D37" s="193" t="s">
        <v>328</v>
      </c>
      <c r="E37" s="92">
        <v>4</v>
      </c>
      <c r="F37" s="92">
        <v>4</v>
      </c>
      <c r="G37" s="92">
        <f t="shared" ref="G37:G40" si="4">AVERAGE(E37:F37)</f>
        <v>4</v>
      </c>
      <c r="H37" s="84"/>
    </row>
    <row r="38" spans="1:8" ht="15.6" hidden="1">
      <c r="A38" s="82"/>
      <c r="B38" s="193"/>
      <c r="C38" s="193" t="s">
        <v>309</v>
      </c>
      <c r="D38" s="193" t="s">
        <v>329</v>
      </c>
      <c r="E38" s="92">
        <v>4</v>
      </c>
      <c r="F38" s="92">
        <v>4</v>
      </c>
      <c r="G38" s="92">
        <f t="shared" si="4"/>
        <v>4</v>
      </c>
      <c r="H38" s="85"/>
    </row>
    <row r="39" spans="1:8" ht="15.6" hidden="1">
      <c r="A39" s="82"/>
      <c r="B39" s="193"/>
      <c r="C39" s="193" t="s">
        <v>316</v>
      </c>
      <c r="D39" s="193" t="s">
        <v>330</v>
      </c>
      <c r="E39" s="92">
        <v>4</v>
      </c>
      <c r="F39" s="92">
        <v>4</v>
      </c>
      <c r="G39" s="92">
        <f t="shared" si="4"/>
        <v>4</v>
      </c>
      <c r="H39" s="85"/>
    </row>
    <row r="40" spans="1:8" ht="15.6" hidden="1">
      <c r="A40" s="82"/>
      <c r="B40" s="86"/>
      <c r="C40" s="193" t="s">
        <v>320</v>
      </c>
      <c r="D40" s="193" t="s">
        <v>331</v>
      </c>
      <c r="E40" s="92" t="s">
        <v>285</v>
      </c>
      <c r="F40" s="92">
        <v>4</v>
      </c>
      <c r="G40" s="92">
        <f t="shared" si="4"/>
        <v>4</v>
      </c>
      <c r="H40" s="84"/>
    </row>
    <row r="41" spans="1:8" ht="15.75" hidden="1" customHeight="1">
      <c r="A41" s="82"/>
      <c r="B41" s="192" t="s">
        <v>311</v>
      </c>
      <c r="C41" s="271"/>
      <c r="D41" s="271"/>
      <c r="E41" s="271"/>
      <c r="F41" s="271"/>
      <c r="G41" s="271"/>
      <c r="H41" s="272"/>
    </row>
    <row r="42" spans="1:8" ht="15.75" hidden="1" customHeight="1">
      <c r="A42" s="99"/>
      <c r="B42" s="87" t="s">
        <v>285</v>
      </c>
      <c r="C42" s="271" t="s">
        <v>312</v>
      </c>
      <c r="D42" s="271"/>
      <c r="E42" s="271"/>
      <c r="F42" s="271"/>
      <c r="G42" s="271"/>
      <c r="H42" s="272"/>
    </row>
    <row r="43" spans="1:8" ht="15.75" hidden="1" customHeight="1">
      <c r="A43" s="82"/>
      <c r="B43" s="87" t="s">
        <v>285</v>
      </c>
      <c r="C43" s="271" t="s">
        <v>312</v>
      </c>
      <c r="D43" s="271"/>
      <c r="E43" s="271"/>
      <c r="F43" s="271"/>
      <c r="G43" s="271"/>
      <c r="H43" s="272"/>
    </row>
    <row r="44" spans="1:8" ht="15.6" hidden="1">
      <c r="A44" s="82"/>
      <c r="B44" s="80"/>
      <c r="C44" s="193"/>
      <c r="D44" s="193"/>
      <c r="E44" s="92"/>
      <c r="F44" s="92"/>
      <c r="G44" s="92"/>
      <c r="H44" s="83"/>
    </row>
    <row r="45" spans="1:8" ht="15.6">
      <c r="A45" s="82"/>
      <c r="B45" s="80">
        <v>46055</v>
      </c>
      <c r="C45" s="193"/>
      <c r="D45" s="193" t="s">
        <v>332</v>
      </c>
      <c r="E45" s="92"/>
      <c r="F45" s="92"/>
      <c r="G45" s="92"/>
      <c r="H45" s="83">
        <f>AVERAGE(G47:G49)</f>
        <v>4</v>
      </c>
    </row>
    <row r="46" spans="1:8" ht="15.6" hidden="1">
      <c r="A46" s="82"/>
      <c r="B46" s="193"/>
      <c r="C46" s="193"/>
      <c r="D46" s="193"/>
      <c r="E46" s="92" t="s">
        <v>4</v>
      </c>
      <c r="F46" s="92" t="s">
        <v>10</v>
      </c>
      <c r="G46" s="92" t="s">
        <v>306</v>
      </c>
      <c r="H46" s="84"/>
    </row>
    <row r="47" spans="1:8" ht="15.6" hidden="1">
      <c r="A47" s="82"/>
      <c r="B47" s="193"/>
      <c r="C47" s="193" t="s">
        <v>307</v>
      </c>
      <c r="D47" s="193" t="s">
        <v>333</v>
      </c>
      <c r="E47" s="92">
        <v>4</v>
      </c>
      <c r="F47" s="92">
        <v>4</v>
      </c>
      <c r="G47" s="92">
        <f t="shared" ref="G47:G49" si="5">AVERAGE(E47:F47)</f>
        <v>4</v>
      </c>
      <c r="H47" s="84"/>
    </row>
    <row r="48" spans="1:8" ht="15.6" hidden="1">
      <c r="A48" s="82"/>
      <c r="B48" s="193"/>
      <c r="C48" s="193" t="s">
        <v>309</v>
      </c>
      <c r="D48" s="193" t="s">
        <v>334</v>
      </c>
      <c r="E48" s="92">
        <v>4</v>
      </c>
      <c r="F48" s="92">
        <v>4</v>
      </c>
      <c r="G48" s="92">
        <f t="shared" si="5"/>
        <v>4</v>
      </c>
      <c r="H48" s="85"/>
    </row>
    <row r="49" spans="1:8" ht="15.6" hidden="1">
      <c r="A49" s="82"/>
      <c r="B49" s="193"/>
      <c r="C49" s="193" t="s">
        <v>316</v>
      </c>
      <c r="D49" s="193" t="s">
        <v>335</v>
      </c>
      <c r="E49" s="92">
        <v>4</v>
      </c>
      <c r="F49" s="92">
        <v>4</v>
      </c>
      <c r="G49" s="92">
        <f t="shared" si="5"/>
        <v>4</v>
      </c>
      <c r="H49" s="84"/>
    </row>
    <row r="50" spans="1:8" ht="15.75" hidden="1" customHeight="1">
      <c r="A50" s="82"/>
      <c r="B50" s="192" t="s">
        <v>311</v>
      </c>
      <c r="C50" s="271"/>
      <c r="D50" s="271"/>
      <c r="E50" s="271"/>
      <c r="F50" s="271"/>
      <c r="G50" s="271"/>
      <c r="H50" s="272"/>
    </row>
    <row r="51" spans="1:8" ht="15.75" hidden="1" customHeight="1">
      <c r="A51" s="99"/>
      <c r="B51" s="87" t="s">
        <v>285</v>
      </c>
      <c r="C51" s="271" t="s">
        <v>312</v>
      </c>
      <c r="D51" s="271"/>
      <c r="E51" s="271"/>
      <c r="F51" s="271"/>
      <c r="G51" s="271"/>
      <c r="H51" s="272"/>
    </row>
    <row r="52" spans="1:8" ht="15.75" hidden="1" customHeight="1">
      <c r="A52" s="82"/>
      <c r="B52" s="87" t="s">
        <v>285</v>
      </c>
      <c r="C52" s="271" t="s">
        <v>312</v>
      </c>
      <c r="D52" s="271"/>
      <c r="E52" s="271"/>
      <c r="F52" s="271"/>
      <c r="G52" s="271"/>
      <c r="H52" s="272"/>
    </row>
    <row r="53" spans="1:8" ht="15.6" hidden="1">
      <c r="A53" s="82"/>
      <c r="B53" s="86"/>
      <c r="C53" s="193"/>
      <c r="D53" s="193"/>
      <c r="E53" s="92"/>
      <c r="F53" s="92"/>
      <c r="G53" s="92"/>
      <c r="H53" s="84"/>
    </row>
    <row r="54" spans="1:8" ht="15.6">
      <c r="A54" s="82"/>
      <c r="B54" s="80">
        <v>46083</v>
      </c>
      <c r="C54" s="193"/>
      <c r="D54" s="193" t="s">
        <v>336</v>
      </c>
      <c r="E54" s="93"/>
      <c r="F54" s="93"/>
      <c r="G54" s="93"/>
      <c r="H54" s="83">
        <f>AVERAGE(G56:G58)</f>
        <v>4</v>
      </c>
    </row>
    <row r="55" spans="1:8" ht="15.6" hidden="1">
      <c r="A55" s="195"/>
      <c r="B55" s="193"/>
      <c r="C55" s="193"/>
      <c r="D55" s="193"/>
      <c r="E55" s="92" t="s">
        <v>4</v>
      </c>
      <c r="F55" s="92" t="s">
        <v>10</v>
      </c>
      <c r="G55" s="92" t="s">
        <v>306</v>
      </c>
      <c r="H55" s="85"/>
    </row>
    <row r="56" spans="1:8" ht="15.6" hidden="1">
      <c r="A56" s="82"/>
      <c r="B56" s="193"/>
      <c r="C56" s="193" t="s">
        <v>307</v>
      </c>
      <c r="D56" s="193" t="s">
        <v>337</v>
      </c>
      <c r="E56" s="92">
        <v>4</v>
      </c>
      <c r="F56" s="92">
        <v>4</v>
      </c>
      <c r="G56" s="92">
        <f t="shared" ref="G56:G58" si="6">AVERAGE(E56:F56)</f>
        <v>4</v>
      </c>
      <c r="H56" s="85"/>
    </row>
    <row r="57" spans="1:8" ht="15.6" hidden="1">
      <c r="A57" s="82"/>
      <c r="B57" s="193"/>
      <c r="C57" s="193" t="s">
        <v>309</v>
      </c>
      <c r="D57" s="193" t="s">
        <v>338</v>
      </c>
      <c r="E57" s="92">
        <v>4</v>
      </c>
      <c r="F57" s="92">
        <v>4</v>
      </c>
      <c r="G57" s="92">
        <f t="shared" si="6"/>
        <v>4</v>
      </c>
      <c r="H57" s="85"/>
    </row>
    <row r="58" spans="1:8" ht="15.6" hidden="1">
      <c r="A58" s="82"/>
      <c r="B58" s="193"/>
      <c r="C58" s="193" t="s">
        <v>316</v>
      </c>
      <c r="D58" s="193" t="s">
        <v>339</v>
      </c>
      <c r="E58" s="92">
        <v>4</v>
      </c>
      <c r="F58" s="92">
        <v>4</v>
      </c>
      <c r="G58" s="92">
        <f t="shared" si="6"/>
        <v>4</v>
      </c>
      <c r="H58" s="85"/>
    </row>
    <row r="59" spans="1:8" ht="15.6" hidden="1">
      <c r="A59" s="82"/>
      <c r="B59" s="192" t="s">
        <v>311</v>
      </c>
      <c r="C59" s="193"/>
      <c r="D59" s="193"/>
      <c r="E59" s="78"/>
      <c r="F59" s="193"/>
      <c r="G59" s="78"/>
      <c r="H59" s="85"/>
    </row>
    <row r="60" spans="1:8" ht="15.75" hidden="1" customHeight="1">
      <c r="A60" s="99"/>
      <c r="B60" s="87" t="s">
        <v>285</v>
      </c>
      <c r="C60" s="271" t="s">
        <v>312</v>
      </c>
      <c r="D60" s="271"/>
      <c r="E60" s="271"/>
      <c r="F60" s="271"/>
      <c r="G60" s="271"/>
      <c r="H60" s="272"/>
    </row>
    <row r="61" spans="1:8" ht="15.75" hidden="1" customHeight="1">
      <c r="A61" s="82"/>
      <c r="B61" s="87" t="s">
        <v>285</v>
      </c>
      <c r="C61" s="271" t="s">
        <v>312</v>
      </c>
      <c r="D61" s="271"/>
      <c r="E61" s="271"/>
      <c r="F61" s="271"/>
      <c r="G61" s="271"/>
      <c r="H61" s="272"/>
    </row>
    <row r="62" spans="1:8" ht="15.75" hidden="1" customHeight="1">
      <c r="A62" s="88"/>
      <c r="B62" s="89"/>
      <c r="C62" s="273"/>
      <c r="D62" s="273"/>
      <c r="E62" s="273"/>
      <c r="F62" s="273"/>
      <c r="G62" s="273"/>
      <c r="H62" s="274"/>
    </row>
    <row r="63" spans="1:8" ht="15.6">
      <c r="A63" s="193"/>
      <c r="B63" s="193"/>
      <c r="C63" s="193"/>
      <c r="D63" s="193"/>
      <c r="E63" s="193"/>
      <c r="F63" s="193"/>
      <c r="G63" s="193"/>
      <c r="H63" s="194"/>
    </row>
    <row r="64" spans="1:8" ht="15.6">
      <c r="A64" s="78"/>
      <c r="B64" s="193"/>
      <c r="C64" s="193"/>
      <c r="D64" s="193"/>
      <c r="E64" s="193"/>
      <c r="F64" s="193"/>
      <c r="G64" s="193"/>
      <c r="H64" s="193"/>
    </row>
    <row r="65" spans="1:8" ht="15.6">
      <c r="A65" s="193"/>
      <c r="B65" s="193"/>
      <c r="C65" s="193"/>
      <c r="D65" s="193"/>
      <c r="E65" s="193"/>
      <c r="F65" s="193"/>
      <c r="G65" s="193"/>
      <c r="H65" s="193"/>
    </row>
    <row r="66" spans="1:8" ht="15.6">
      <c r="A66" s="193"/>
      <c r="B66" s="193"/>
      <c r="C66" s="193"/>
      <c r="D66" s="193"/>
      <c r="E66" s="193"/>
      <c r="F66" s="193"/>
      <c r="G66" s="193"/>
      <c r="H66" s="193"/>
    </row>
    <row r="67" spans="1:8" ht="15.6">
      <c r="A67" s="193"/>
      <c r="B67" s="193"/>
      <c r="C67" s="193"/>
      <c r="D67" s="193"/>
      <c r="E67" s="193"/>
      <c r="F67" s="193"/>
      <c r="G67" s="193"/>
      <c r="H67" s="193"/>
    </row>
    <row r="68" spans="1:8" ht="15.6">
      <c r="A68" s="193"/>
      <c r="B68" s="193"/>
      <c r="C68" s="193"/>
      <c r="D68" s="193"/>
      <c r="E68" s="193"/>
      <c r="F68" s="193"/>
      <c r="G68" s="193"/>
      <c r="H68" s="193"/>
    </row>
    <row r="69" spans="1:8" ht="15.6">
      <c r="A69" s="193"/>
      <c r="B69" s="193"/>
      <c r="C69" s="193"/>
      <c r="D69" s="193"/>
      <c r="E69" s="193"/>
      <c r="F69" s="193"/>
      <c r="G69" s="193"/>
      <c r="H69" s="193"/>
    </row>
    <row r="70" spans="1:8" ht="15.6">
      <c r="A70" s="78"/>
      <c r="B70" s="193"/>
      <c r="C70" s="193"/>
      <c r="D70" s="193"/>
      <c r="E70" s="193"/>
      <c r="F70" s="193"/>
      <c r="G70" s="193"/>
      <c r="H70" s="193"/>
    </row>
    <row r="71" spans="1:8" ht="15.6">
      <c r="A71" s="193"/>
      <c r="B71" s="80"/>
      <c r="C71" s="193"/>
      <c r="D71" s="193"/>
      <c r="E71" s="193"/>
      <c r="F71" s="193"/>
      <c r="G71" s="193"/>
      <c r="H71" s="193"/>
    </row>
    <row r="72" spans="1:8" ht="15.6">
      <c r="A72" s="193"/>
      <c r="B72" s="193"/>
      <c r="C72" s="193"/>
      <c r="D72" s="193"/>
      <c r="E72" s="78"/>
      <c r="F72" s="78"/>
      <c r="G72" s="78"/>
      <c r="H72" s="81"/>
    </row>
    <row r="73" spans="1:8" ht="15.6">
      <c r="A73" s="193"/>
      <c r="B73" s="193"/>
      <c r="C73" s="193"/>
      <c r="D73" s="193"/>
      <c r="E73" s="78"/>
      <c r="F73" s="193"/>
      <c r="G73" s="78"/>
      <c r="H73" s="193"/>
    </row>
    <row r="74" spans="1:8" ht="15.6">
      <c r="A74" s="193"/>
      <c r="B74" s="193"/>
      <c r="C74" s="193"/>
      <c r="D74" s="193"/>
      <c r="E74" s="78"/>
      <c r="F74" s="193"/>
      <c r="G74" s="78"/>
      <c r="H74" s="193"/>
    </row>
    <row r="75" spans="1:8" ht="15.6">
      <c r="A75" s="193"/>
      <c r="B75" s="193"/>
      <c r="C75" s="193"/>
      <c r="D75" s="193"/>
      <c r="E75" s="193"/>
      <c r="F75" s="193"/>
      <c r="G75" s="193"/>
      <c r="H75" s="193"/>
    </row>
    <row r="76" spans="1:8" ht="15.6">
      <c r="A76" s="193"/>
      <c r="B76" s="193"/>
      <c r="C76" s="193"/>
      <c r="D76" s="193"/>
      <c r="E76" s="193"/>
      <c r="F76" s="193"/>
      <c r="G76" s="193"/>
      <c r="H76" s="193"/>
    </row>
    <row r="77" spans="1:8" ht="15.6">
      <c r="A77" s="193"/>
      <c r="B77" s="193"/>
      <c r="C77" s="193"/>
      <c r="D77" s="193"/>
      <c r="E77" s="193"/>
      <c r="F77" s="193"/>
      <c r="G77" s="193"/>
      <c r="H77" s="193"/>
    </row>
    <row r="78" spans="1:8" ht="15.6">
      <c r="A78" s="193"/>
      <c r="B78" s="193"/>
      <c r="C78" s="193"/>
      <c r="D78" s="193"/>
      <c r="E78" s="193"/>
      <c r="F78" s="193"/>
      <c r="G78" s="193"/>
      <c r="H78" s="193"/>
    </row>
    <row r="79" spans="1:8" ht="15.6">
      <c r="A79" s="193"/>
      <c r="B79" s="193"/>
      <c r="C79" s="193"/>
      <c r="D79" s="193"/>
      <c r="E79" s="193"/>
      <c r="F79" s="193"/>
      <c r="G79" s="193"/>
      <c r="H79" s="193"/>
    </row>
    <row r="80" spans="1:8" ht="15.6">
      <c r="A80" s="193"/>
      <c r="B80" s="193"/>
      <c r="C80" s="193"/>
      <c r="D80" s="193"/>
      <c r="E80" s="193"/>
      <c r="F80" s="193"/>
      <c r="G80" s="193"/>
      <c r="H80" s="193"/>
    </row>
    <row r="81" spans="1:8" ht="15.6">
      <c r="A81" s="193"/>
      <c r="B81" s="193"/>
      <c r="C81" s="193"/>
      <c r="D81" s="193"/>
      <c r="E81" s="193"/>
      <c r="F81" s="193"/>
      <c r="G81" s="193"/>
      <c r="H81" s="193"/>
    </row>
    <row r="82" spans="1:8" ht="15.6">
      <c r="A82" s="193"/>
      <c r="B82" s="193"/>
      <c r="C82" s="193"/>
      <c r="D82" s="193"/>
      <c r="E82" s="193"/>
      <c r="F82" s="193"/>
      <c r="G82" s="193"/>
      <c r="H82" s="193"/>
    </row>
    <row r="83" spans="1:8" ht="15.6">
      <c r="A83" s="193"/>
      <c r="B83" s="193"/>
      <c r="C83" s="193"/>
      <c r="D83" s="193"/>
      <c r="E83" s="193"/>
      <c r="F83" s="193"/>
      <c r="G83" s="193"/>
      <c r="H83" s="193"/>
    </row>
    <row r="84" spans="1:8" ht="15.6">
      <c r="A84" s="193"/>
      <c r="B84" s="193"/>
      <c r="C84" s="193"/>
      <c r="D84" s="193"/>
      <c r="E84" s="193"/>
      <c r="F84" s="193"/>
      <c r="G84" s="193"/>
      <c r="H84" s="193"/>
    </row>
    <row r="85" spans="1:8" ht="15.6">
      <c r="A85" s="193"/>
      <c r="B85" s="193"/>
      <c r="C85" s="193"/>
      <c r="D85" s="193"/>
      <c r="E85" s="193"/>
      <c r="F85" s="193"/>
      <c r="G85" s="193"/>
      <c r="H85" s="193"/>
    </row>
    <row r="86" spans="1:8" ht="15.6">
      <c r="A86" s="193"/>
      <c r="B86" s="193"/>
      <c r="C86" s="193"/>
      <c r="D86" s="193"/>
      <c r="E86" s="193"/>
      <c r="F86" s="193"/>
      <c r="G86" s="193"/>
      <c r="H86" s="193"/>
    </row>
    <row r="87" spans="1:8" ht="15.6">
      <c r="A87" s="193"/>
      <c r="B87" s="193"/>
      <c r="C87" s="193"/>
      <c r="D87" s="193"/>
      <c r="E87" s="193"/>
      <c r="F87" s="193"/>
      <c r="G87" s="193"/>
      <c r="H87" s="193"/>
    </row>
    <row r="88" spans="1:8" ht="15.6">
      <c r="A88" s="193"/>
      <c r="B88" s="193"/>
      <c r="C88" s="193"/>
      <c r="D88" s="193"/>
      <c r="E88" s="193"/>
      <c r="F88" s="193"/>
      <c r="G88" s="193"/>
      <c r="H88" s="193"/>
    </row>
    <row r="89" spans="1:8" ht="15.6">
      <c r="A89" s="193"/>
      <c r="B89" s="193"/>
      <c r="C89" s="193"/>
      <c r="D89" s="193"/>
      <c r="E89" s="193"/>
      <c r="F89" s="193"/>
      <c r="G89" s="193"/>
      <c r="H89" s="193"/>
    </row>
    <row r="90" spans="1:8" ht="15.6">
      <c r="A90" s="193"/>
      <c r="B90" s="193"/>
      <c r="C90" s="193"/>
      <c r="D90" s="193"/>
      <c r="E90" s="193"/>
      <c r="F90" s="193"/>
      <c r="G90" s="193"/>
      <c r="H90" s="193"/>
    </row>
    <row r="91" spans="1:8" ht="15.6">
      <c r="A91" s="193"/>
      <c r="B91" s="193"/>
      <c r="C91" s="193"/>
      <c r="D91" s="193"/>
      <c r="E91" s="193"/>
      <c r="F91" s="193"/>
      <c r="G91" s="193"/>
      <c r="H91" s="193"/>
    </row>
    <row r="92" spans="1:8" ht="15.6">
      <c r="A92" s="193"/>
      <c r="B92" s="193"/>
      <c r="C92" s="193"/>
      <c r="D92" s="193"/>
      <c r="E92" s="193"/>
      <c r="F92" s="193"/>
      <c r="G92" s="193"/>
      <c r="H92" s="193"/>
    </row>
    <row r="93" spans="1:8" ht="15.6">
      <c r="A93" s="193"/>
      <c r="B93" s="193"/>
      <c r="C93" s="193"/>
      <c r="D93" s="193"/>
      <c r="E93" s="193"/>
      <c r="F93" s="193"/>
      <c r="G93" s="193"/>
      <c r="H93" s="193"/>
    </row>
    <row r="94" spans="1:8" ht="15.6">
      <c r="A94" s="193"/>
      <c r="B94" s="193"/>
      <c r="C94" s="193"/>
      <c r="D94" s="193"/>
      <c r="E94" s="193"/>
      <c r="F94" s="193"/>
      <c r="G94" s="193"/>
      <c r="H94" s="193"/>
    </row>
    <row r="95" spans="1:8" ht="15.6">
      <c r="A95" s="193"/>
      <c r="B95" s="193"/>
      <c r="C95" s="193"/>
      <c r="D95" s="193"/>
      <c r="E95" s="193"/>
      <c r="F95" s="193"/>
      <c r="G95" s="193"/>
      <c r="H95" s="193"/>
    </row>
    <row r="96" spans="1:8" ht="15.6">
      <c r="A96" s="193"/>
      <c r="B96" s="193"/>
      <c r="C96" s="193"/>
      <c r="D96" s="193"/>
      <c r="E96" s="193"/>
      <c r="F96" s="193"/>
      <c r="G96" s="193"/>
      <c r="H96" s="193"/>
    </row>
    <row r="97" spans="1:8" ht="15.6">
      <c r="A97" s="193"/>
      <c r="B97" s="193"/>
      <c r="C97" s="193"/>
      <c r="D97" s="193"/>
      <c r="E97" s="193"/>
      <c r="F97" s="193"/>
      <c r="G97" s="193"/>
      <c r="H97" s="193"/>
    </row>
    <row r="98" spans="1:8" ht="15.6">
      <c r="A98" s="193"/>
      <c r="B98" s="193"/>
      <c r="C98" s="193"/>
      <c r="D98" s="193"/>
      <c r="E98" s="193"/>
      <c r="F98" s="193"/>
      <c r="G98" s="193"/>
      <c r="H98" s="193"/>
    </row>
    <row r="99" spans="1:8" ht="15.6">
      <c r="A99" s="193"/>
      <c r="B99" s="193"/>
      <c r="C99" s="193"/>
      <c r="D99" s="193"/>
      <c r="E99" s="193"/>
      <c r="F99" s="193"/>
      <c r="G99" s="193"/>
      <c r="H99" s="193"/>
    </row>
    <row r="100" spans="1:8" ht="15.6">
      <c r="A100" s="193"/>
      <c r="B100" s="193"/>
      <c r="C100" s="193"/>
      <c r="D100" s="193"/>
      <c r="E100" s="193"/>
      <c r="F100" s="193"/>
      <c r="G100" s="193"/>
      <c r="H100" s="193"/>
    </row>
    <row r="101" spans="1:8" ht="15.6">
      <c r="A101" s="193"/>
      <c r="B101" s="193"/>
      <c r="C101" s="193"/>
      <c r="D101" s="193"/>
      <c r="E101" s="193"/>
      <c r="F101" s="193"/>
      <c r="G101" s="193"/>
      <c r="H101" s="193"/>
    </row>
    <row r="102" spans="1:8" ht="15.6">
      <c r="A102" s="193"/>
      <c r="B102" s="193"/>
      <c r="C102" s="193"/>
      <c r="D102" s="193"/>
      <c r="E102" s="193"/>
      <c r="F102" s="193"/>
      <c r="G102" s="193"/>
      <c r="H102" s="193"/>
    </row>
    <row r="103" spans="1:8" ht="15.6">
      <c r="A103" s="193"/>
      <c r="B103" s="193"/>
      <c r="C103" s="193"/>
      <c r="D103" s="193"/>
      <c r="E103" s="193"/>
      <c r="F103" s="193"/>
      <c r="G103" s="193"/>
      <c r="H103" s="193"/>
    </row>
    <row r="104" spans="1:8" ht="15.6">
      <c r="A104" s="193"/>
      <c r="B104" s="193"/>
      <c r="C104" s="193"/>
      <c r="D104" s="193"/>
      <c r="E104" s="193"/>
      <c r="F104" s="193"/>
      <c r="G104" s="193"/>
      <c r="H104" s="193"/>
    </row>
    <row r="105" spans="1:8" ht="15.6">
      <c r="A105" s="193"/>
      <c r="B105" s="193"/>
      <c r="C105" s="193"/>
      <c r="D105" s="193"/>
      <c r="E105" s="193"/>
      <c r="F105" s="193"/>
      <c r="G105" s="193"/>
      <c r="H105" s="193"/>
    </row>
    <row r="106" spans="1:8" ht="15.6">
      <c r="A106" s="193"/>
      <c r="B106" s="193"/>
      <c r="C106" s="193"/>
      <c r="D106" s="193"/>
      <c r="E106" s="193"/>
      <c r="F106" s="193"/>
      <c r="G106" s="193"/>
      <c r="H106" s="193"/>
    </row>
    <row r="107" spans="1:8" ht="15.6">
      <c r="A107" s="193"/>
      <c r="B107" s="193"/>
      <c r="C107" s="193"/>
      <c r="D107" s="193"/>
      <c r="E107" s="193"/>
      <c r="F107" s="193"/>
      <c r="G107" s="193"/>
      <c r="H107" s="193"/>
    </row>
    <row r="108" spans="1:8" ht="15.6">
      <c r="A108" s="193"/>
      <c r="B108" s="193"/>
      <c r="C108" s="193"/>
      <c r="D108" s="193"/>
      <c r="E108" s="193"/>
      <c r="F108" s="193"/>
      <c r="G108" s="193"/>
      <c r="H108" s="193"/>
    </row>
    <row r="109" spans="1:8" ht="15.6">
      <c r="A109" s="193"/>
      <c r="B109" s="193"/>
      <c r="C109" s="193"/>
      <c r="D109" s="193"/>
      <c r="E109" s="193"/>
      <c r="F109" s="193"/>
      <c r="G109" s="193"/>
      <c r="H109" s="193"/>
    </row>
    <row r="110" spans="1:8" ht="15.6">
      <c r="A110" s="193"/>
      <c r="B110" s="193"/>
      <c r="C110" s="193"/>
      <c r="D110" s="193"/>
      <c r="E110" s="193"/>
      <c r="F110" s="193"/>
      <c r="G110" s="193"/>
      <c r="H110" s="193"/>
    </row>
    <row r="111" spans="1:8" ht="15.6">
      <c r="A111" s="193"/>
      <c r="B111" s="193"/>
      <c r="C111" s="193"/>
      <c r="D111" s="193"/>
      <c r="E111" s="193"/>
      <c r="F111" s="193"/>
      <c r="G111" s="193"/>
      <c r="H111" s="193"/>
    </row>
    <row r="112" spans="1:8" ht="15.6">
      <c r="A112" s="193"/>
      <c r="B112" s="193"/>
      <c r="C112" s="193"/>
      <c r="D112" s="193"/>
      <c r="E112" s="193"/>
      <c r="F112" s="193"/>
      <c r="G112" s="193"/>
      <c r="H112" s="193"/>
    </row>
    <row r="113" spans="1:8" ht="15.6">
      <c r="A113" s="193"/>
      <c r="B113" s="193"/>
      <c r="C113" s="193"/>
      <c r="D113" s="193"/>
      <c r="E113" s="193"/>
      <c r="F113" s="193"/>
      <c r="G113" s="193"/>
      <c r="H113" s="193"/>
    </row>
    <row r="114" spans="1:8" ht="15.6">
      <c r="A114" s="193"/>
      <c r="B114" s="193"/>
      <c r="C114" s="193"/>
      <c r="D114" s="193"/>
      <c r="E114" s="193"/>
      <c r="F114" s="193"/>
      <c r="G114" s="193"/>
      <c r="H114" s="193"/>
    </row>
    <row r="115" spans="1:8" ht="15.6">
      <c r="A115" s="193"/>
      <c r="B115" s="193"/>
      <c r="C115" s="193"/>
      <c r="D115" s="193"/>
      <c r="E115" s="193"/>
      <c r="F115" s="193"/>
      <c r="G115" s="193"/>
      <c r="H115" s="193"/>
    </row>
    <row r="116" spans="1:8" ht="15.6">
      <c r="A116" s="193"/>
      <c r="B116" s="193"/>
      <c r="C116" s="193"/>
      <c r="D116" s="193"/>
      <c r="E116" s="193"/>
      <c r="F116" s="193"/>
      <c r="G116" s="193"/>
      <c r="H116" s="193"/>
    </row>
    <row r="117" spans="1:8" ht="15.6">
      <c r="A117" s="193"/>
      <c r="B117" s="193"/>
      <c r="C117" s="193"/>
      <c r="D117" s="193"/>
      <c r="E117" s="193"/>
      <c r="F117" s="193"/>
      <c r="G117" s="193"/>
      <c r="H117" s="193"/>
    </row>
    <row r="118" spans="1:8" ht="15.6">
      <c r="A118" s="193"/>
      <c r="B118" s="193"/>
      <c r="C118" s="193"/>
      <c r="D118" s="193"/>
      <c r="E118" s="193"/>
      <c r="F118" s="193"/>
      <c r="G118" s="193"/>
      <c r="H118" s="193"/>
    </row>
    <row r="119" spans="1:8" ht="15.6">
      <c r="A119" s="193"/>
      <c r="B119" s="193"/>
      <c r="C119" s="193"/>
      <c r="D119" s="193"/>
      <c r="E119" s="193"/>
      <c r="F119" s="193"/>
      <c r="G119" s="193"/>
      <c r="H119" s="193"/>
    </row>
    <row r="120" spans="1:8" ht="15.6">
      <c r="A120" s="193"/>
      <c r="B120" s="193"/>
      <c r="C120" s="193"/>
      <c r="D120" s="193"/>
      <c r="E120" s="193"/>
      <c r="F120" s="193"/>
      <c r="G120" s="193"/>
      <c r="H120" s="193"/>
    </row>
    <row r="121" spans="1:8" ht="15.6">
      <c r="A121" s="193"/>
      <c r="B121" s="193"/>
      <c r="C121" s="193"/>
      <c r="D121" s="193"/>
      <c r="E121" s="193"/>
      <c r="F121" s="193"/>
      <c r="G121" s="193"/>
      <c r="H121" s="193"/>
    </row>
    <row r="122" spans="1:8" ht="15.6">
      <c r="A122" s="193"/>
      <c r="B122" s="193"/>
      <c r="C122" s="193"/>
      <c r="D122" s="193"/>
      <c r="E122" s="193"/>
      <c r="F122" s="193"/>
      <c r="G122" s="193"/>
      <c r="H122" s="193"/>
    </row>
    <row r="123" spans="1:8" ht="15.6">
      <c r="A123" s="193"/>
      <c r="B123" s="193"/>
      <c r="C123" s="193"/>
      <c r="D123" s="193"/>
      <c r="E123" s="193"/>
      <c r="F123" s="193"/>
      <c r="G123" s="193"/>
      <c r="H123" s="193"/>
    </row>
    <row r="124" spans="1:8" ht="15.6">
      <c r="A124" s="193"/>
      <c r="B124" s="193"/>
      <c r="C124" s="193"/>
      <c r="D124" s="193"/>
      <c r="E124" s="193"/>
      <c r="F124" s="193"/>
      <c r="G124" s="193"/>
      <c r="H124" s="193"/>
    </row>
    <row r="125" spans="1:8" ht="15.6">
      <c r="A125" s="193"/>
      <c r="B125" s="193"/>
      <c r="C125" s="193"/>
      <c r="D125" s="193"/>
      <c r="E125" s="193"/>
      <c r="F125" s="193"/>
      <c r="G125" s="193"/>
      <c r="H125" s="193"/>
    </row>
    <row r="126" spans="1:8" ht="15.6">
      <c r="A126" s="193"/>
      <c r="B126" s="193"/>
      <c r="C126" s="193"/>
      <c r="D126" s="193"/>
      <c r="E126" s="193"/>
      <c r="F126" s="193"/>
      <c r="G126" s="193"/>
      <c r="H126" s="193"/>
    </row>
    <row r="127" spans="1:8" ht="15.6">
      <c r="A127" s="193"/>
      <c r="B127" s="193"/>
      <c r="C127" s="193"/>
      <c r="D127" s="193"/>
      <c r="E127" s="193"/>
      <c r="F127" s="193"/>
      <c r="G127" s="193"/>
      <c r="H127" s="193"/>
    </row>
    <row r="128" spans="1:8" ht="15.6">
      <c r="A128" s="193"/>
      <c r="B128" s="193"/>
      <c r="C128" s="193"/>
      <c r="D128" s="193"/>
      <c r="E128" s="193"/>
      <c r="F128" s="193"/>
      <c r="G128" s="193"/>
      <c r="H128" s="193"/>
    </row>
    <row r="129" spans="1:8" ht="15.6">
      <c r="A129" s="193"/>
      <c r="B129" s="193"/>
      <c r="C129" s="193"/>
      <c r="D129" s="193"/>
      <c r="E129" s="193"/>
      <c r="F129" s="193"/>
      <c r="G129" s="193"/>
      <c r="H129" s="193"/>
    </row>
    <row r="130" spans="1:8" ht="15.6">
      <c r="A130" s="193"/>
      <c r="B130" s="193"/>
      <c r="C130" s="193"/>
      <c r="D130" s="193"/>
      <c r="E130" s="193"/>
      <c r="F130" s="193"/>
      <c r="G130" s="193"/>
      <c r="H130" s="193"/>
    </row>
    <row r="131" spans="1:8" ht="15.6">
      <c r="A131" s="193"/>
      <c r="B131" s="193"/>
      <c r="C131" s="193"/>
      <c r="D131" s="193"/>
      <c r="E131" s="193"/>
      <c r="F131" s="193"/>
      <c r="G131" s="193"/>
      <c r="H131" s="193"/>
    </row>
    <row r="132" spans="1:8" ht="15.6">
      <c r="A132" s="193"/>
      <c r="B132" s="193"/>
      <c r="C132" s="193"/>
      <c r="D132" s="193"/>
      <c r="E132" s="193"/>
      <c r="F132" s="193"/>
      <c r="G132" s="193"/>
      <c r="H132" s="193"/>
    </row>
    <row r="133" spans="1:8" ht="15.6">
      <c r="A133" s="193"/>
      <c r="B133" s="193"/>
      <c r="C133" s="193"/>
      <c r="D133" s="193"/>
      <c r="E133" s="193"/>
      <c r="F133" s="193"/>
      <c r="G133" s="193"/>
      <c r="H133" s="193"/>
    </row>
    <row r="134" spans="1:8" ht="15.6">
      <c r="A134" s="193"/>
      <c r="B134" s="193"/>
      <c r="C134" s="193"/>
      <c r="D134" s="193"/>
      <c r="E134" s="193"/>
      <c r="F134" s="193"/>
      <c r="G134" s="193"/>
      <c r="H134" s="193"/>
    </row>
    <row r="135" spans="1:8" ht="15.6">
      <c r="A135" s="193"/>
      <c r="B135" s="193"/>
      <c r="C135" s="193"/>
      <c r="D135" s="193"/>
      <c r="E135" s="193"/>
      <c r="F135" s="193"/>
      <c r="G135" s="193"/>
      <c r="H135" s="193"/>
    </row>
    <row r="136" spans="1:8" ht="15.6">
      <c r="A136" s="193"/>
      <c r="B136" s="193"/>
      <c r="C136" s="193"/>
      <c r="D136" s="193"/>
      <c r="E136" s="193"/>
      <c r="F136" s="193"/>
      <c r="G136" s="193"/>
      <c r="H136" s="193"/>
    </row>
    <row r="137" spans="1:8" ht="15.6">
      <c r="A137" s="193"/>
      <c r="B137" s="193"/>
      <c r="C137" s="193"/>
      <c r="D137" s="193"/>
      <c r="E137" s="193"/>
      <c r="F137" s="193"/>
      <c r="G137" s="193"/>
      <c r="H137" s="193"/>
    </row>
    <row r="138" spans="1:8" ht="15.6">
      <c r="A138" s="193"/>
      <c r="B138" s="193"/>
      <c r="C138" s="193"/>
      <c r="D138" s="193"/>
      <c r="E138" s="193"/>
      <c r="F138" s="193"/>
      <c r="G138" s="193"/>
      <c r="H138" s="193"/>
    </row>
    <row r="139" spans="1:8" ht="15.6">
      <c r="A139" s="193"/>
      <c r="B139" s="193"/>
      <c r="C139" s="193"/>
      <c r="D139" s="193"/>
      <c r="E139" s="193"/>
      <c r="F139" s="193"/>
      <c r="G139" s="193"/>
      <c r="H139" s="193"/>
    </row>
    <row r="140" spans="1:8" ht="15.6">
      <c r="A140" s="193"/>
      <c r="B140" s="193"/>
      <c r="C140" s="193"/>
      <c r="D140" s="193"/>
      <c r="E140" s="193"/>
      <c r="F140" s="193"/>
      <c r="G140" s="193"/>
      <c r="H140" s="193"/>
    </row>
    <row r="141" spans="1:8" ht="15.6">
      <c r="A141" s="193"/>
      <c r="B141" s="193"/>
      <c r="C141" s="193"/>
      <c r="D141" s="193"/>
      <c r="E141" s="193"/>
      <c r="F141" s="193"/>
      <c r="G141" s="193"/>
      <c r="H141" s="193"/>
    </row>
    <row r="142" spans="1:8" ht="15.6">
      <c r="A142" s="193"/>
      <c r="B142" s="193"/>
      <c r="C142" s="193"/>
      <c r="D142" s="193"/>
      <c r="E142" s="193"/>
      <c r="F142" s="193"/>
      <c r="G142" s="193"/>
      <c r="H142" s="193"/>
    </row>
    <row r="143" spans="1:8" ht="15.6">
      <c r="A143" s="193"/>
      <c r="B143" s="193"/>
      <c r="C143" s="193"/>
      <c r="D143" s="193"/>
      <c r="E143" s="193"/>
      <c r="F143" s="193"/>
      <c r="G143" s="193"/>
      <c r="H143" s="193"/>
    </row>
    <row r="144" spans="1:8" ht="15.6">
      <c r="A144" s="193"/>
      <c r="B144" s="193"/>
      <c r="C144" s="193"/>
      <c r="D144" s="193"/>
      <c r="E144" s="193"/>
      <c r="F144" s="193"/>
      <c r="G144" s="193"/>
      <c r="H144" s="193"/>
    </row>
    <row r="145" spans="1:8" ht="15.6">
      <c r="A145" s="193"/>
      <c r="B145" s="193"/>
      <c r="C145" s="193"/>
      <c r="D145" s="193"/>
      <c r="E145" s="193"/>
      <c r="F145" s="193"/>
      <c r="G145" s="193"/>
      <c r="H145" s="193"/>
    </row>
    <row r="146" spans="1:8" ht="15.6">
      <c r="A146" s="193"/>
      <c r="B146" s="193"/>
      <c r="C146" s="193"/>
      <c r="D146" s="193"/>
      <c r="E146" s="193"/>
      <c r="F146" s="193"/>
      <c r="G146" s="193"/>
      <c r="H146" s="193"/>
    </row>
    <row r="147" spans="1:8" ht="15.6">
      <c r="A147" s="193"/>
      <c r="B147" s="193"/>
      <c r="C147" s="193"/>
      <c r="D147" s="193"/>
      <c r="E147" s="193"/>
      <c r="F147" s="193"/>
      <c r="G147" s="193"/>
      <c r="H147" s="193"/>
    </row>
    <row r="148" spans="1:8" ht="15.6">
      <c r="A148" s="193"/>
      <c r="B148" s="193"/>
      <c r="C148" s="193"/>
      <c r="D148" s="193"/>
      <c r="E148" s="193"/>
      <c r="F148" s="193"/>
      <c r="G148" s="193"/>
      <c r="H148" s="193"/>
    </row>
    <row r="149" spans="1:8" ht="15.6">
      <c r="A149" s="193"/>
      <c r="B149" s="193"/>
      <c r="C149" s="193"/>
      <c r="D149" s="193"/>
      <c r="E149" s="193"/>
      <c r="F149" s="193"/>
      <c r="G149" s="193"/>
      <c r="H149" s="193"/>
    </row>
    <row r="150" spans="1:8" ht="15.6">
      <c r="A150" s="193"/>
      <c r="B150" s="193"/>
      <c r="C150" s="193"/>
      <c r="D150" s="193"/>
      <c r="E150" s="193"/>
      <c r="F150" s="193"/>
      <c r="G150" s="193"/>
      <c r="H150" s="193"/>
    </row>
    <row r="151" spans="1:8" ht="15.6">
      <c r="A151" s="193"/>
      <c r="B151" s="193"/>
      <c r="C151" s="193"/>
      <c r="D151" s="193"/>
      <c r="E151" s="193"/>
      <c r="F151" s="193"/>
      <c r="G151" s="193"/>
      <c r="H151" s="193"/>
    </row>
    <row r="152" spans="1:8" ht="15.6">
      <c r="A152" s="193"/>
      <c r="B152" s="193"/>
      <c r="C152" s="193"/>
      <c r="D152" s="193"/>
      <c r="E152" s="193"/>
      <c r="F152" s="193"/>
      <c r="G152" s="193"/>
      <c r="H152" s="193"/>
    </row>
    <row r="153" spans="1:8" ht="15.6">
      <c r="A153" s="193"/>
      <c r="B153" s="193"/>
      <c r="C153" s="193"/>
      <c r="D153" s="193"/>
      <c r="E153" s="193"/>
      <c r="F153" s="193"/>
      <c r="G153" s="193"/>
      <c r="H153" s="193"/>
    </row>
    <row r="154" spans="1:8" ht="15.6">
      <c r="A154" s="193"/>
      <c r="B154" s="193"/>
      <c r="C154" s="193"/>
      <c r="D154" s="193"/>
      <c r="E154" s="193"/>
      <c r="F154" s="193"/>
      <c r="G154" s="193"/>
      <c r="H154" s="193"/>
    </row>
    <row r="155" spans="1:8" ht="15.6">
      <c r="A155" s="193"/>
      <c r="B155" s="193"/>
      <c r="C155" s="193"/>
      <c r="D155" s="193"/>
      <c r="E155" s="193"/>
      <c r="F155" s="193"/>
      <c r="G155" s="193"/>
      <c r="H155" s="193"/>
    </row>
    <row r="156" spans="1:8" ht="15.6">
      <c r="A156" s="193"/>
      <c r="B156" s="193"/>
      <c r="C156" s="193"/>
      <c r="D156" s="193"/>
      <c r="E156" s="193"/>
      <c r="F156" s="193"/>
      <c r="G156" s="193"/>
      <c r="H156" s="193"/>
    </row>
    <row r="157" spans="1:8" ht="15.6">
      <c r="A157" s="193"/>
      <c r="B157" s="193"/>
      <c r="C157" s="193"/>
      <c r="D157" s="193"/>
      <c r="E157" s="193"/>
      <c r="F157" s="193"/>
      <c r="G157" s="193"/>
      <c r="H157" s="193"/>
    </row>
    <row r="158" spans="1:8" ht="15.6">
      <c r="A158" s="193"/>
      <c r="B158" s="193"/>
      <c r="C158" s="193"/>
      <c r="D158" s="193"/>
      <c r="E158" s="193"/>
      <c r="F158" s="193"/>
      <c r="G158" s="193"/>
      <c r="H158" s="193"/>
    </row>
    <row r="159" spans="1:8" ht="15.6">
      <c r="A159" s="193"/>
      <c r="B159" s="193"/>
      <c r="C159" s="193"/>
      <c r="D159" s="193"/>
      <c r="E159" s="193"/>
      <c r="F159" s="193"/>
      <c r="G159" s="193"/>
      <c r="H159" s="193"/>
    </row>
    <row r="160" spans="1:8" ht="15.6">
      <c r="A160" s="193"/>
      <c r="B160" s="193"/>
      <c r="C160" s="193"/>
      <c r="D160" s="193"/>
      <c r="E160" s="193"/>
      <c r="F160" s="193"/>
      <c r="G160" s="193"/>
      <c r="H160" s="193"/>
    </row>
    <row r="161" spans="1:8" ht="15.6">
      <c r="A161" s="193"/>
      <c r="B161" s="193"/>
      <c r="C161" s="193"/>
      <c r="D161" s="193"/>
      <c r="E161" s="193"/>
      <c r="F161" s="193"/>
      <c r="G161" s="193"/>
      <c r="H161" s="193"/>
    </row>
    <row r="162" spans="1:8" ht="15.6">
      <c r="A162" s="193"/>
      <c r="B162" s="193"/>
      <c r="C162" s="193"/>
      <c r="D162" s="193"/>
      <c r="E162" s="193"/>
      <c r="F162" s="193"/>
      <c r="G162" s="193"/>
      <c r="H162" s="193"/>
    </row>
    <row r="163" spans="1:8" ht="15.6">
      <c r="A163" s="193"/>
      <c r="B163" s="193"/>
      <c r="C163" s="193"/>
      <c r="D163" s="193"/>
      <c r="E163" s="193"/>
      <c r="F163" s="193"/>
      <c r="G163" s="193"/>
      <c r="H163" s="193"/>
    </row>
    <row r="164" spans="1:8" ht="15.6">
      <c r="A164" s="193"/>
      <c r="B164" s="193"/>
      <c r="C164" s="193"/>
      <c r="D164" s="193"/>
      <c r="E164" s="193"/>
      <c r="F164" s="193"/>
      <c r="G164" s="193"/>
      <c r="H164" s="193"/>
    </row>
    <row r="165" spans="1:8" ht="15.6">
      <c r="A165" s="193"/>
      <c r="B165" s="193"/>
      <c r="C165" s="193"/>
      <c r="D165" s="193"/>
      <c r="E165" s="193"/>
      <c r="F165" s="193"/>
      <c r="G165" s="193"/>
      <c r="H165" s="193"/>
    </row>
    <row r="166" spans="1:8" ht="15.6">
      <c r="A166" s="193"/>
      <c r="B166" s="193"/>
      <c r="C166" s="193"/>
      <c r="D166" s="193"/>
      <c r="E166" s="193"/>
      <c r="F166" s="193"/>
      <c r="G166" s="193"/>
      <c r="H166" s="193"/>
    </row>
    <row r="167" spans="1:8" ht="15.6">
      <c r="A167" s="193"/>
      <c r="B167" s="193"/>
      <c r="C167" s="193"/>
      <c r="D167" s="193"/>
      <c r="E167" s="193"/>
      <c r="F167" s="193"/>
      <c r="G167" s="193"/>
      <c r="H167" s="193"/>
    </row>
    <row r="168" spans="1:8" ht="15.6">
      <c r="A168" s="193"/>
      <c r="B168" s="193"/>
      <c r="C168" s="193"/>
      <c r="D168" s="193"/>
      <c r="E168" s="193"/>
      <c r="F168" s="193"/>
      <c r="G168" s="193"/>
      <c r="H168" s="193"/>
    </row>
    <row r="169" spans="1:8" ht="15.6">
      <c r="A169" s="193"/>
      <c r="B169" s="193"/>
      <c r="C169" s="193"/>
      <c r="D169" s="193"/>
      <c r="E169" s="193"/>
      <c r="F169" s="193"/>
      <c r="G169" s="193"/>
      <c r="H169" s="193"/>
    </row>
    <row r="170" spans="1:8" ht="15.6">
      <c r="A170" s="193"/>
      <c r="B170" s="193"/>
      <c r="C170" s="193"/>
      <c r="D170" s="193"/>
      <c r="E170" s="193"/>
      <c r="F170" s="193"/>
      <c r="G170" s="193"/>
      <c r="H170" s="193"/>
    </row>
    <row r="171" spans="1:8" ht="15.6">
      <c r="A171" s="193"/>
      <c r="B171" s="193"/>
      <c r="C171" s="193"/>
      <c r="D171" s="193"/>
      <c r="E171" s="193"/>
      <c r="F171" s="193"/>
      <c r="G171" s="193"/>
      <c r="H171" s="193"/>
    </row>
    <row r="172" spans="1:8" ht="15.6">
      <c r="A172" s="193"/>
      <c r="B172" s="193"/>
      <c r="C172" s="193"/>
      <c r="D172" s="193"/>
      <c r="E172" s="193"/>
      <c r="F172" s="193"/>
      <c r="G172" s="193"/>
      <c r="H172" s="193"/>
    </row>
    <row r="173" spans="1:8" ht="15.6">
      <c r="A173" s="193"/>
      <c r="B173" s="193"/>
      <c r="C173" s="193"/>
      <c r="D173" s="193"/>
      <c r="E173" s="193"/>
      <c r="F173" s="193"/>
      <c r="G173" s="193"/>
      <c r="H173" s="193"/>
    </row>
    <row r="174" spans="1:8" ht="15.6">
      <c r="A174" s="193"/>
      <c r="B174" s="193"/>
      <c r="C174" s="193"/>
      <c r="D174" s="193"/>
      <c r="E174" s="193"/>
      <c r="F174" s="193"/>
      <c r="G174" s="193"/>
      <c r="H174" s="193"/>
    </row>
    <row r="175" spans="1:8" ht="15.6">
      <c r="A175" s="193"/>
      <c r="B175" s="193"/>
      <c r="C175" s="193"/>
      <c r="D175" s="193"/>
      <c r="E175" s="193"/>
      <c r="F175" s="193"/>
      <c r="G175" s="193"/>
      <c r="H175" s="193"/>
    </row>
    <row r="176" spans="1:8" ht="15.6">
      <c r="A176" s="193"/>
      <c r="B176" s="193"/>
      <c r="C176" s="193"/>
      <c r="D176" s="193"/>
      <c r="E176" s="193"/>
      <c r="F176" s="193"/>
      <c r="G176" s="193"/>
      <c r="H176" s="193"/>
    </row>
    <row r="177" spans="1:8" ht="15.6">
      <c r="A177" s="193"/>
      <c r="B177" s="193"/>
      <c r="C177" s="193"/>
      <c r="D177" s="193"/>
      <c r="E177" s="193"/>
      <c r="F177" s="193"/>
      <c r="G177" s="193"/>
      <c r="H177" s="193"/>
    </row>
    <row r="178" spans="1:8" ht="15.6">
      <c r="A178" s="193"/>
      <c r="B178" s="193"/>
      <c r="C178" s="193"/>
      <c r="D178" s="193"/>
      <c r="E178" s="193"/>
      <c r="F178" s="193"/>
      <c r="G178" s="193"/>
      <c r="H178" s="193"/>
    </row>
    <row r="179" spans="1:8" ht="15.6">
      <c r="A179" s="193"/>
      <c r="B179" s="193"/>
      <c r="C179" s="193"/>
      <c r="D179" s="193"/>
      <c r="E179" s="193"/>
      <c r="F179" s="193"/>
      <c r="G179" s="193"/>
      <c r="H179" s="193"/>
    </row>
    <row r="180" spans="1:8" ht="15.6">
      <c r="A180" s="193"/>
      <c r="B180" s="193"/>
      <c r="C180" s="193"/>
      <c r="D180" s="193"/>
      <c r="E180" s="193"/>
      <c r="F180" s="193"/>
      <c r="G180" s="193"/>
      <c r="H180" s="193"/>
    </row>
    <row r="181" spans="1:8" ht="15.6">
      <c r="A181" s="193"/>
      <c r="B181" s="193"/>
      <c r="C181" s="193"/>
      <c r="D181" s="193"/>
      <c r="E181" s="193"/>
      <c r="F181" s="193"/>
      <c r="G181" s="193"/>
      <c r="H181" s="193"/>
    </row>
    <row r="182" spans="1:8" ht="15.6">
      <c r="A182" s="193"/>
      <c r="B182" s="193"/>
      <c r="C182" s="193"/>
      <c r="D182" s="193"/>
      <c r="E182" s="193"/>
      <c r="F182" s="193"/>
      <c r="G182" s="193"/>
      <c r="H182" s="193"/>
    </row>
    <row r="183" spans="1:8" ht="15.6">
      <c r="A183" s="193"/>
      <c r="B183" s="193"/>
      <c r="C183" s="193"/>
      <c r="D183" s="193"/>
      <c r="E183" s="193"/>
      <c r="F183" s="193"/>
      <c r="G183" s="193"/>
      <c r="H183" s="193"/>
    </row>
    <row r="184" spans="1:8" ht="15.6">
      <c r="A184" s="193"/>
      <c r="B184" s="193"/>
      <c r="C184" s="193"/>
      <c r="D184" s="193"/>
      <c r="E184" s="193"/>
      <c r="F184" s="193"/>
      <c r="G184" s="193"/>
      <c r="H184" s="193"/>
    </row>
    <row r="185" spans="1:8" ht="15.6">
      <c r="A185" s="193"/>
      <c r="B185" s="193"/>
      <c r="C185" s="193"/>
      <c r="D185" s="193"/>
      <c r="E185" s="193"/>
      <c r="F185" s="193"/>
      <c r="G185" s="193"/>
      <c r="H185" s="193"/>
    </row>
    <row r="186" spans="1:8" ht="15.6">
      <c r="A186" s="193"/>
      <c r="B186" s="193"/>
      <c r="C186" s="193"/>
      <c r="D186" s="193"/>
      <c r="E186" s="193"/>
      <c r="F186" s="193"/>
      <c r="G186" s="193"/>
      <c r="H186" s="193"/>
    </row>
    <row r="187" spans="1:8" ht="15.6">
      <c r="A187" s="193"/>
      <c r="B187" s="193"/>
      <c r="C187" s="193"/>
      <c r="D187" s="193"/>
      <c r="E187" s="193"/>
      <c r="F187" s="193"/>
      <c r="G187" s="193"/>
      <c r="H187" s="193"/>
    </row>
    <row r="188" spans="1:8" ht="15.6">
      <c r="A188" s="193"/>
      <c r="B188" s="193"/>
      <c r="C188" s="193"/>
      <c r="D188" s="193"/>
      <c r="E188" s="193"/>
      <c r="F188" s="193"/>
      <c r="G188" s="193"/>
      <c r="H188" s="193"/>
    </row>
    <row r="189" spans="1:8" ht="15.6">
      <c r="A189" s="193"/>
      <c r="B189" s="193"/>
      <c r="C189" s="193"/>
      <c r="D189" s="193"/>
      <c r="E189" s="193"/>
      <c r="F189" s="193"/>
      <c r="G189" s="193"/>
      <c r="H189" s="193"/>
    </row>
    <row r="190" spans="1:8" ht="15.6">
      <c r="A190" s="193"/>
      <c r="B190" s="193"/>
      <c r="C190" s="193"/>
      <c r="D190" s="193"/>
      <c r="E190" s="193"/>
      <c r="F190" s="193"/>
      <c r="G190" s="193"/>
      <c r="H190" s="193"/>
    </row>
    <row r="191" spans="1:8" ht="15.6">
      <c r="A191" s="193"/>
      <c r="B191" s="193"/>
      <c r="C191" s="193"/>
      <c r="D191" s="193"/>
      <c r="E191" s="193"/>
      <c r="F191" s="193"/>
      <c r="G191" s="193"/>
      <c r="H191" s="193"/>
    </row>
    <row r="192" spans="1:8" ht="15.6">
      <c r="A192" s="193"/>
      <c r="B192" s="193"/>
      <c r="C192" s="193"/>
      <c r="D192" s="193"/>
      <c r="E192" s="193"/>
      <c r="F192" s="193"/>
      <c r="G192" s="193"/>
      <c r="H192" s="193"/>
    </row>
    <row r="193" spans="1:8" ht="15.6">
      <c r="A193" s="193"/>
      <c r="B193" s="193"/>
      <c r="C193" s="193"/>
      <c r="D193" s="193"/>
      <c r="E193" s="193"/>
      <c r="F193" s="193"/>
      <c r="G193" s="193"/>
      <c r="H193" s="193"/>
    </row>
    <row r="194" spans="1:8" ht="15.6">
      <c r="A194" s="193"/>
      <c r="B194" s="193"/>
      <c r="C194" s="193"/>
      <c r="D194" s="193"/>
      <c r="E194" s="193"/>
      <c r="F194" s="193"/>
      <c r="G194" s="193"/>
      <c r="H194" s="193"/>
    </row>
    <row r="195" spans="1:8" ht="15.6">
      <c r="A195" s="193"/>
      <c r="B195" s="193"/>
      <c r="C195" s="193"/>
      <c r="D195" s="193"/>
      <c r="E195" s="193"/>
      <c r="F195" s="193"/>
      <c r="G195" s="193"/>
      <c r="H195" s="193"/>
    </row>
    <row r="196" spans="1:8" ht="15.6">
      <c r="A196" s="193"/>
      <c r="B196" s="193"/>
      <c r="C196" s="193"/>
      <c r="D196" s="193"/>
      <c r="E196" s="193"/>
      <c r="F196" s="193"/>
      <c r="G196" s="193"/>
      <c r="H196" s="193"/>
    </row>
    <row r="197" spans="1:8" ht="15.6">
      <c r="A197" s="193"/>
      <c r="B197" s="193"/>
      <c r="C197" s="193"/>
      <c r="D197" s="193"/>
      <c r="E197" s="193"/>
      <c r="F197" s="193"/>
      <c r="G197" s="193"/>
      <c r="H197" s="193"/>
    </row>
    <row r="198" spans="1:8" ht="15.6">
      <c r="A198" s="193"/>
      <c r="B198" s="193"/>
      <c r="C198" s="193"/>
      <c r="D198" s="193"/>
      <c r="E198" s="193"/>
      <c r="F198" s="193"/>
      <c r="G198" s="193"/>
      <c r="H198" s="193"/>
    </row>
    <row r="199" spans="1:8" ht="15.6">
      <c r="A199" s="193"/>
      <c r="B199" s="193"/>
      <c r="C199" s="193"/>
      <c r="D199" s="193"/>
      <c r="E199" s="193"/>
      <c r="F199" s="193"/>
      <c r="G199" s="193"/>
      <c r="H199" s="193"/>
    </row>
    <row r="200" spans="1:8" ht="15.6">
      <c r="A200" s="193"/>
      <c r="B200" s="193"/>
      <c r="C200" s="193"/>
      <c r="D200" s="193"/>
      <c r="E200" s="193"/>
      <c r="F200" s="193"/>
      <c r="G200" s="193"/>
      <c r="H200" s="193"/>
    </row>
    <row r="201" spans="1:8" ht="15.6">
      <c r="A201" s="193"/>
      <c r="B201" s="193"/>
      <c r="C201" s="193"/>
      <c r="D201" s="193"/>
      <c r="E201" s="193"/>
      <c r="F201" s="193"/>
      <c r="G201" s="193"/>
      <c r="H201" s="193"/>
    </row>
    <row r="202" spans="1:8" ht="15.6">
      <c r="A202" s="193"/>
      <c r="B202" s="193"/>
      <c r="C202" s="193"/>
      <c r="D202" s="193"/>
      <c r="E202" s="193"/>
      <c r="F202" s="193"/>
      <c r="G202" s="193"/>
      <c r="H202" s="193"/>
    </row>
    <row r="203" spans="1:8" ht="15.6">
      <c r="A203" s="193"/>
      <c r="B203" s="193"/>
      <c r="C203" s="193"/>
      <c r="D203" s="193"/>
      <c r="E203" s="193"/>
      <c r="F203" s="193"/>
      <c r="G203" s="193"/>
      <c r="H203" s="193"/>
    </row>
    <row r="204" spans="1:8" ht="15.6">
      <c r="A204" s="193"/>
      <c r="B204" s="193"/>
      <c r="C204" s="193"/>
      <c r="D204" s="193"/>
      <c r="E204" s="193"/>
      <c r="F204" s="193"/>
      <c r="G204" s="193"/>
      <c r="H204" s="193"/>
    </row>
    <row r="205" spans="1:8" ht="15.6">
      <c r="A205" s="193"/>
      <c r="B205" s="193"/>
      <c r="C205" s="193"/>
      <c r="D205" s="193"/>
      <c r="E205" s="193"/>
      <c r="F205" s="193"/>
      <c r="G205" s="193"/>
      <c r="H205" s="193"/>
    </row>
    <row r="206" spans="1:8" ht="15.6">
      <c r="A206" s="193"/>
      <c r="B206" s="193"/>
      <c r="C206" s="193"/>
      <c r="D206" s="193"/>
      <c r="E206" s="193"/>
      <c r="F206" s="193"/>
      <c r="G206" s="193"/>
      <c r="H206" s="193"/>
    </row>
    <row r="207" spans="1:8" ht="15.6">
      <c r="A207" s="193"/>
      <c r="B207" s="193"/>
      <c r="C207" s="193"/>
      <c r="D207" s="193"/>
      <c r="E207" s="193"/>
      <c r="F207" s="193"/>
      <c r="G207" s="193"/>
      <c r="H207" s="193"/>
    </row>
    <row r="208" spans="1:8" ht="15.6">
      <c r="A208" s="193"/>
      <c r="B208" s="193"/>
      <c r="C208" s="193"/>
      <c r="D208" s="193"/>
      <c r="E208" s="193"/>
      <c r="F208" s="193"/>
      <c r="G208" s="193"/>
      <c r="H208" s="193"/>
    </row>
    <row r="209" spans="1:8" ht="15.6">
      <c r="A209" s="193"/>
      <c r="B209" s="193"/>
      <c r="C209" s="193"/>
      <c r="D209" s="193"/>
      <c r="E209" s="193"/>
      <c r="F209" s="193"/>
      <c r="G209" s="193"/>
      <c r="H209" s="193"/>
    </row>
    <row r="210" spans="1:8" ht="15.6">
      <c r="A210" s="193"/>
      <c r="B210" s="193"/>
      <c r="C210" s="193"/>
      <c r="D210" s="193"/>
      <c r="E210" s="193"/>
      <c r="F210" s="193"/>
      <c r="G210" s="193"/>
      <c r="H210" s="193"/>
    </row>
    <row r="211" spans="1:8" ht="15.6">
      <c r="A211" s="193"/>
      <c r="B211" s="193"/>
      <c r="C211" s="193"/>
      <c r="D211" s="193"/>
      <c r="E211" s="193"/>
      <c r="F211" s="193"/>
      <c r="G211" s="193"/>
      <c r="H211" s="193"/>
    </row>
    <row r="212" spans="1:8" ht="15.6">
      <c r="A212" s="193"/>
      <c r="B212" s="193"/>
      <c r="C212" s="193"/>
      <c r="D212" s="193"/>
      <c r="E212" s="193"/>
      <c r="F212" s="193"/>
      <c r="G212" s="193"/>
      <c r="H212" s="193"/>
    </row>
    <row r="213" spans="1:8" ht="15.6">
      <c r="A213" s="193"/>
      <c r="B213" s="193"/>
      <c r="C213" s="193"/>
      <c r="D213" s="193"/>
      <c r="E213" s="193"/>
      <c r="F213" s="193"/>
      <c r="G213" s="193"/>
      <c r="H213" s="193"/>
    </row>
    <row r="214" spans="1:8" ht="15.6">
      <c r="A214" s="193"/>
      <c r="B214" s="193"/>
      <c r="C214" s="193"/>
      <c r="D214" s="193"/>
      <c r="E214" s="193"/>
      <c r="F214" s="193"/>
      <c r="G214" s="193"/>
      <c r="H214" s="193"/>
    </row>
    <row r="215" spans="1:8" ht="15.6">
      <c r="A215" s="193"/>
      <c r="B215" s="193"/>
      <c r="C215" s="193"/>
      <c r="D215" s="193"/>
      <c r="E215" s="193"/>
      <c r="F215" s="193"/>
      <c r="G215" s="193"/>
      <c r="H215" s="193"/>
    </row>
    <row r="216" spans="1:8" ht="15.6">
      <c r="A216" s="193"/>
      <c r="B216" s="193"/>
      <c r="C216" s="193"/>
      <c r="D216" s="193"/>
      <c r="E216" s="193"/>
      <c r="F216" s="193"/>
      <c r="G216" s="193"/>
      <c r="H216" s="193"/>
    </row>
    <row r="217" spans="1:8" ht="15.6">
      <c r="A217" s="193"/>
      <c r="B217" s="193"/>
      <c r="C217" s="193"/>
      <c r="D217" s="193"/>
      <c r="E217" s="193"/>
      <c r="F217" s="193"/>
      <c r="G217" s="193"/>
      <c r="H217" s="193"/>
    </row>
    <row r="218" spans="1:8" ht="15.6">
      <c r="A218" s="193"/>
      <c r="B218" s="193"/>
      <c r="C218" s="193"/>
      <c r="D218" s="193"/>
      <c r="E218" s="193"/>
      <c r="F218" s="193"/>
      <c r="G218" s="193"/>
      <c r="H218" s="193"/>
    </row>
    <row r="219" spans="1:8" ht="15.6">
      <c r="A219" s="193"/>
      <c r="B219" s="193"/>
      <c r="C219" s="193"/>
      <c r="D219" s="193"/>
      <c r="E219" s="193"/>
      <c r="F219" s="193"/>
      <c r="G219" s="193"/>
      <c r="H219" s="193"/>
    </row>
    <row r="220" spans="1:8" ht="15.6">
      <c r="A220" s="193"/>
      <c r="B220" s="193"/>
      <c r="C220" s="193"/>
      <c r="D220" s="193"/>
      <c r="E220" s="193"/>
      <c r="F220" s="193"/>
      <c r="G220" s="193"/>
      <c r="H220" s="193"/>
    </row>
    <row r="221" spans="1:8" ht="15.6">
      <c r="A221" s="193"/>
      <c r="B221" s="193"/>
      <c r="C221" s="193"/>
      <c r="D221" s="193"/>
      <c r="E221" s="193"/>
      <c r="F221" s="193"/>
      <c r="G221" s="193"/>
      <c r="H221" s="193"/>
    </row>
    <row r="222" spans="1:8" ht="15.6">
      <c r="A222" s="193"/>
      <c r="B222" s="193"/>
      <c r="C222" s="193"/>
      <c r="D222" s="193"/>
      <c r="E222" s="193"/>
      <c r="F222" s="193"/>
      <c r="G222" s="193"/>
      <c r="H222" s="193"/>
    </row>
    <row r="223" spans="1:8" ht="15.6">
      <c r="A223" s="193"/>
      <c r="B223" s="193"/>
      <c r="C223" s="193"/>
      <c r="D223" s="193"/>
      <c r="E223" s="193"/>
      <c r="F223" s="193"/>
      <c r="G223" s="193"/>
      <c r="H223" s="193"/>
    </row>
    <row r="224" spans="1:8" ht="15.6">
      <c r="A224" s="193"/>
      <c r="B224" s="193"/>
      <c r="C224" s="193"/>
      <c r="D224" s="193"/>
      <c r="E224" s="193"/>
      <c r="F224" s="193"/>
      <c r="G224" s="193"/>
      <c r="H224" s="193"/>
    </row>
    <row r="225" spans="1:8" ht="15.6">
      <c r="A225" s="193"/>
      <c r="B225" s="193"/>
      <c r="C225" s="193"/>
      <c r="D225" s="193"/>
      <c r="E225" s="193"/>
      <c r="F225" s="193"/>
      <c r="G225" s="193"/>
      <c r="H225" s="193"/>
    </row>
    <row r="226" spans="1:8" ht="15.6">
      <c r="A226" s="193"/>
      <c r="B226" s="193"/>
      <c r="C226" s="193"/>
      <c r="D226" s="193"/>
      <c r="E226" s="193"/>
      <c r="F226" s="193"/>
      <c r="G226" s="193"/>
      <c r="H226" s="193"/>
    </row>
    <row r="227" spans="1:8" ht="15.6">
      <c r="A227" s="193"/>
      <c r="B227" s="193"/>
      <c r="C227" s="193"/>
      <c r="D227" s="193"/>
      <c r="E227" s="193"/>
      <c r="F227" s="193"/>
      <c r="G227" s="193"/>
      <c r="H227" s="193"/>
    </row>
    <row r="228" spans="1:8" ht="15.6">
      <c r="A228" s="193"/>
      <c r="B228" s="193"/>
      <c r="C228" s="193"/>
      <c r="D228" s="193"/>
      <c r="E228" s="193"/>
      <c r="F228" s="193"/>
      <c r="G228" s="193"/>
      <c r="H228" s="193"/>
    </row>
    <row r="229" spans="1:8" ht="15.6">
      <c r="A229" s="193"/>
      <c r="B229" s="193"/>
      <c r="C229" s="193"/>
      <c r="D229" s="193"/>
      <c r="E229" s="193"/>
      <c r="F229" s="193"/>
      <c r="G229" s="193"/>
      <c r="H229" s="193"/>
    </row>
    <row r="230" spans="1:8" ht="15.6">
      <c r="A230" s="193"/>
      <c r="B230" s="193"/>
      <c r="C230" s="193"/>
      <c r="D230" s="193"/>
      <c r="E230" s="193"/>
      <c r="F230" s="193"/>
      <c r="G230" s="193"/>
      <c r="H230" s="193"/>
    </row>
    <row r="231" spans="1:8" ht="15.6">
      <c r="A231" s="193"/>
      <c r="B231" s="193"/>
      <c r="C231" s="193"/>
      <c r="D231" s="193"/>
      <c r="E231" s="193"/>
      <c r="F231" s="193"/>
      <c r="G231" s="193"/>
      <c r="H231" s="193"/>
    </row>
    <row r="232" spans="1:8" ht="15.6">
      <c r="A232" s="193"/>
      <c r="B232" s="193"/>
      <c r="C232" s="193"/>
      <c r="D232" s="193"/>
      <c r="E232" s="193"/>
      <c r="F232" s="193"/>
      <c r="G232" s="193"/>
      <c r="H232" s="193"/>
    </row>
    <row r="233" spans="1:8" ht="15.6">
      <c r="A233" s="193"/>
      <c r="B233" s="193"/>
      <c r="C233" s="193"/>
      <c r="D233" s="193"/>
      <c r="E233" s="193"/>
      <c r="F233" s="193"/>
      <c r="G233" s="193"/>
      <c r="H233" s="193"/>
    </row>
    <row r="234" spans="1:8" ht="15.6">
      <c r="A234" s="193"/>
      <c r="B234" s="193"/>
      <c r="C234" s="193"/>
      <c r="D234" s="193"/>
      <c r="E234" s="193"/>
      <c r="F234" s="193"/>
      <c r="G234" s="193"/>
      <c r="H234" s="193"/>
    </row>
    <row r="235" spans="1:8" ht="15.6">
      <c r="A235" s="193"/>
      <c r="B235" s="193"/>
      <c r="C235" s="193"/>
      <c r="D235" s="193"/>
      <c r="E235" s="193"/>
      <c r="F235" s="193"/>
      <c r="G235" s="193"/>
      <c r="H235" s="193"/>
    </row>
    <row r="236" spans="1:8" ht="15.6">
      <c r="A236" s="193"/>
      <c r="B236" s="193"/>
      <c r="C236" s="193"/>
      <c r="D236" s="193"/>
      <c r="E236" s="193"/>
      <c r="F236" s="193"/>
      <c r="G236" s="193"/>
      <c r="H236" s="193"/>
    </row>
    <row r="237" spans="1:8" ht="15.6">
      <c r="A237" s="193"/>
      <c r="B237" s="193"/>
      <c r="C237" s="193"/>
      <c r="D237" s="193"/>
      <c r="E237" s="193"/>
      <c r="F237" s="193"/>
      <c r="G237" s="193"/>
      <c r="H237" s="193"/>
    </row>
    <row r="238" spans="1:8" ht="15.6">
      <c r="A238" s="193"/>
      <c r="B238" s="193"/>
      <c r="C238" s="193"/>
      <c r="D238" s="193"/>
      <c r="E238" s="193"/>
      <c r="F238" s="193"/>
      <c r="G238" s="193"/>
      <c r="H238" s="193"/>
    </row>
    <row r="239" spans="1:8" ht="15.6">
      <c r="A239" s="193"/>
      <c r="B239" s="193"/>
      <c r="C239" s="193"/>
      <c r="D239" s="193"/>
      <c r="E239" s="193"/>
      <c r="F239" s="193"/>
      <c r="G239" s="193"/>
      <c r="H239" s="193"/>
    </row>
    <row r="240" spans="1:8" ht="15.6">
      <c r="A240" s="193"/>
      <c r="B240" s="193"/>
      <c r="C240" s="193"/>
      <c r="D240" s="193"/>
      <c r="E240" s="193"/>
      <c r="F240" s="193"/>
      <c r="G240" s="193"/>
      <c r="H240" s="193"/>
    </row>
    <row r="241" spans="1:8" ht="15.6">
      <c r="A241" s="193"/>
      <c r="B241" s="193"/>
      <c r="C241" s="193"/>
      <c r="D241" s="193"/>
      <c r="E241" s="193"/>
      <c r="F241" s="193"/>
      <c r="G241" s="193"/>
      <c r="H241" s="193"/>
    </row>
    <row r="242" spans="1:8" ht="15.6">
      <c r="A242" s="193"/>
      <c r="B242" s="193"/>
      <c r="C242" s="193"/>
      <c r="D242" s="193"/>
      <c r="E242" s="193"/>
      <c r="F242" s="193"/>
      <c r="G242" s="193"/>
      <c r="H242" s="193"/>
    </row>
    <row r="243" spans="1:8" ht="15.6">
      <c r="A243" s="193"/>
      <c r="B243" s="193"/>
      <c r="C243" s="193"/>
      <c r="D243" s="193"/>
      <c r="E243" s="193"/>
      <c r="F243" s="193"/>
      <c r="G243" s="193"/>
      <c r="H243" s="193"/>
    </row>
    <row r="244" spans="1:8" ht="15.6">
      <c r="A244" s="193"/>
      <c r="B244" s="193"/>
      <c r="C244" s="193"/>
      <c r="D244" s="193"/>
      <c r="E244" s="193"/>
      <c r="F244" s="193"/>
      <c r="G244" s="193"/>
      <c r="H244" s="193"/>
    </row>
    <row r="245" spans="1:8" ht="15.6">
      <c r="A245" s="193"/>
      <c r="B245" s="193"/>
      <c r="C245" s="193"/>
      <c r="D245" s="193"/>
      <c r="E245" s="193"/>
      <c r="F245" s="193"/>
      <c r="G245" s="193"/>
      <c r="H245" s="193"/>
    </row>
    <row r="246" spans="1:8" ht="15.6">
      <c r="A246" s="193"/>
      <c r="B246" s="193"/>
      <c r="C246" s="193"/>
      <c r="D246" s="193"/>
      <c r="E246" s="193"/>
      <c r="F246" s="193"/>
      <c r="G246" s="193"/>
      <c r="H246" s="193"/>
    </row>
    <row r="247" spans="1:8" ht="15.6">
      <c r="A247" s="193"/>
      <c r="B247" s="193"/>
      <c r="C247" s="193"/>
      <c r="D247" s="193"/>
      <c r="E247" s="193"/>
      <c r="F247" s="193"/>
      <c r="G247" s="193"/>
      <c r="H247" s="193"/>
    </row>
    <row r="248" spans="1:8" ht="15.6">
      <c r="A248" s="193"/>
      <c r="B248" s="193"/>
      <c r="C248" s="193"/>
      <c r="D248" s="193"/>
      <c r="E248" s="193"/>
      <c r="F248" s="193"/>
      <c r="G248" s="193"/>
      <c r="H248" s="193"/>
    </row>
    <row r="249" spans="1:8" ht="15.6">
      <c r="A249" s="193"/>
      <c r="B249" s="193"/>
      <c r="C249" s="193"/>
      <c r="D249" s="193"/>
      <c r="E249" s="193"/>
      <c r="F249" s="193"/>
      <c r="G249" s="193"/>
      <c r="H249" s="193"/>
    </row>
    <row r="250" spans="1:8" ht="15.6">
      <c r="A250" s="193"/>
      <c r="B250" s="193"/>
      <c r="C250" s="193"/>
      <c r="D250" s="193"/>
      <c r="E250" s="193"/>
      <c r="F250" s="193"/>
      <c r="G250" s="193"/>
      <c r="H250" s="193"/>
    </row>
    <row r="251" spans="1:8" ht="15.6">
      <c r="A251" s="193"/>
      <c r="B251" s="193"/>
      <c r="C251" s="193"/>
      <c r="D251" s="193"/>
      <c r="E251" s="193"/>
      <c r="F251" s="193"/>
      <c r="G251" s="193"/>
      <c r="H251" s="193"/>
    </row>
    <row r="252" spans="1:8" ht="15.6">
      <c r="A252" s="193"/>
      <c r="B252" s="193"/>
      <c r="C252" s="193"/>
      <c r="D252" s="193"/>
      <c r="E252" s="193"/>
      <c r="F252" s="193"/>
      <c r="G252" s="193"/>
      <c r="H252" s="193"/>
    </row>
    <row r="253" spans="1:8" ht="15.6">
      <c r="A253" s="193"/>
      <c r="B253" s="193"/>
      <c r="C253" s="193"/>
      <c r="D253" s="193"/>
      <c r="E253" s="193"/>
      <c r="F253" s="193"/>
      <c r="G253" s="193"/>
      <c r="H253" s="193"/>
    </row>
    <row r="254" spans="1:8" ht="15.6">
      <c r="A254" s="193"/>
      <c r="B254" s="193"/>
      <c r="C254" s="193"/>
      <c r="D254" s="193"/>
      <c r="E254" s="193"/>
      <c r="F254" s="193"/>
      <c r="G254" s="193"/>
      <c r="H254" s="193"/>
    </row>
    <row r="255" spans="1:8" ht="15.6">
      <c r="A255" s="193"/>
      <c r="B255" s="193"/>
      <c r="C255" s="193"/>
      <c r="D255" s="193"/>
      <c r="E255" s="193"/>
      <c r="F255" s="193"/>
      <c r="G255" s="193"/>
      <c r="H255" s="193"/>
    </row>
    <row r="256" spans="1:8" ht="15.6">
      <c r="A256" s="193"/>
      <c r="B256" s="193"/>
      <c r="C256" s="193"/>
      <c r="D256" s="193"/>
      <c r="E256" s="193"/>
      <c r="F256" s="193"/>
      <c r="G256" s="193"/>
      <c r="H256" s="193"/>
    </row>
    <row r="257" spans="1:8" ht="15.6">
      <c r="A257" s="193"/>
      <c r="B257" s="193"/>
      <c r="C257" s="193"/>
      <c r="D257" s="193"/>
      <c r="E257" s="193"/>
      <c r="F257" s="193"/>
      <c r="G257" s="193"/>
      <c r="H257" s="193"/>
    </row>
    <row r="258" spans="1:8" ht="15.6">
      <c r="A258" s="193"/>
      <c r="B258" s="193"/>
      <c r="C258" s="193"/>
      <c r="D258" s="193"/>
      <c r="E258" s="193"/>
      <c r="F258" s="193"/>
      <c r="G258" s="193"/>
      <c r="H258" s="193"/>
    </row>
    <row r="259" spans="1:8" ht="15.6">
      <c r="A259" s="193"/>
      <c r="B259" s="193"/>
      <c r="C259" s="193"/>
      <c r="D259" s="193"/>
      <c r="E259" s="193"/>
      <c r="F259" s="193"/>
      <c r="G259" s="193"/>
      <c r="H259" s="193"/>
    </row>
    <row r="260" spans="1:8" ht="15.6">
      <c r="A260" s="193"/>
      <c r="B260" s="193"/>
      <c r="C260" s="193"/>
      <c r="D260" s="193"/>
      <c r="E260" s="193"/>
      <c r="F260" s="193"/>
      <c r="G260" s="193"/>
      <c r="H260" s="193"/>
    </row>
    <row r="261" spans="1:8" ht="15.6">
      <c r="A261" s="193"/>
      <c r="B261" s="193"/>
      <c r="C261" s="193"/>
      <c r="D261" s="193"/>
      <c r="E261" s="193"/>
      <c r="F261" s="193"/>
      <c r="G261" s="193"/>
      <c r="H261" s="193"/>
    </row>
    <row r="262" spans="1:8" ht="15.6">
      <c r="A262" s="193"/>
      <c r="B262" s="193"/>
      <c r="C262" s="193"/>
      <c r="D262" s="193"/>
      <c r="E262" s="193"/>
      <c r="F262" s="193"/>
      <c r="G262" s="193"/>
      <c r="H262" s="193"/>
    </row>
    <row r="263" spans="1:8" ht="15.6">
      <c r="A263" s="193"/>
      <c r="B263" s="193"/>
      <c r="C263" s="193"/>
      <c r="D263" s="193"/>
      <c r="E263" s="193"/>
      <c r="F263" s="193"/>
      <c r="G263" s="193"/>
      <c r="H263" s="193"/>
    </row>
    <row r="264" spans="1:8" ht="15.6">
      <c r="A264" s="193"/>
      <c r="B264" s="193"/>
      <c r="C264" s="193"/>
      <c r="D264" s="193"/>
      <c r="E264" s="193"/>
      <c r="F264" s="193"/>
      <c r="G264" s="193"/>
      <c r="H264" s="193"/>
    </row>
    <row r="265" spans="1:8" ht="15.6">
      <c r="A265" s="193"/>
      <c r="B265" s="193"/>
      <c r="C265" s="193"/>
      <c r="D265" s="193"/>
      <c r="E265" s="193"/>
      <c r="F265" s="193"/>
      <c r="G265" s="193"/>
      <c r="H265" s="193"/>
    </row>
    <row r="266" spans="1:8" ht="15.6">
      <c r="A266" s="193"/>
      <c r="B266" s="193"/>
      <c r="C266" s="193"/>
      <c r="D266" s="193"/>
      <c r="E266" s="193"/>
      <c r="F266" s="193"/>
      <c r="G266" s="193"/>
      <c r="H266" s="193"/>
    </row>
    <row r="267" spans="1:8" ht="15.6">
      <c r="A267" s="193"/>
      <c r="B267" s="193"/>
      <c r="C267" s="193"/>
      <c r="D267" s="193"/>
      <c r="E267" s="193"/>
      <c r="F267" s="193"/>
      <c r="G267" s="193"/>
      <c r="H267" s="193"/>
    </row>
    <row r="268" spans="1:8" ht="15.6">
      <c r="A268" s="193"/>
      <c r="B268" s="193"/>
      <c r="C268" s="193"/>
      <c r="D268" s="193"/>
      <c r="E268" s="193"/>
      <c r="F268" s="193"/>
      <c r="G268" s="193"/>
      <c r="H268" s="193"/>
    </row>
    <row r="269" spans="1:8" ht="15.6">
      <c r="A269" s="193"/>
      <c r="B269" s="193"/>
      <c r="C269" s="193"/>
      <c r="D269" s="193"/>
      <c r="E269" s="193"/>
      <c r="F269" s="193"/>
      <c r="G269" s="193"/>
      <c r="H269" s="193"/>
    </row>
    <row r="270" spans="1:8" ht="15.6">
      <c r="A270" s="193"/>
      <c r="B270" s="193"/>
      <c r="C270" s="193"/>
      <c r="D270" s="193"/>
      <c r="E270" s="193"/>
      <c r="F270" s="193"/>
      <c r="G270" s="193"/>
      <c r="H270" s="193"/>
    </row>
    <row r="271" spans="1:8" ht="15.6">
      <c r="A271" s="193"/>
      <c r="B271" s="193"/>
      <c r="C271" s="193"/>
      <c r="D271" s="193"/>
      <c r="E271" s="193"/>
      <c r="F271" s="193"/>
      <c r="G271" s="193"/>
      <c r="H271" s="193"/>
    </row>
    <row r="272" spans="1:8" ht="15.6">
      <c r="A272" s="193"/>
      <c r="B272" s="193"/>
      <c r="C272" s="193"/>
      <c r="D272" s="193"/>
      <c r="E272" s="193"/>
      <c r="F272" s="193"/>
      <c r="G272" s="193"/>
      <c r="H272" s="193"/>
    </row>
    <row r="273" spans="1:8" ht="15.6">
      <c r="A273" s="193"/>
      <c r="B273" s="193"/>
      <c r="C273" s="193"/>
      <c r="D273" s="193"/>
      <c r="E273" s="193"/>
      <c r="F273" s="193"/>
      <c r="G273" s="193"/>
      <c r="H273" s="193"/>
    </row>
    <row r="274" spans="1:8" ht="15.6">
      <c r="A274" s="193"/>
      <c r="B274" s="193"/>
      <c r="C274" s="193"/>
      <c r="D274" s="193"/>
      <c r="E274" s="193"/>
      <c r="F274" s="193"/>
      <c r="G274" s="193"/>
      <c r="H274" s="193"/>
    </row>
    <row r="275" spans="1:8" ht="15.6">
      <c r="A275" s="193"/>
      <c r="B275" s="193"/>
      <c r="C275" s="193"/>
      <c r="D275" s="193"/>
      <c r="E275" s="193"/>
      <c r="F275" s="193"/>
      <c r="G275" s="193"/>
      <c r="H275" s="193"/>
    </row>
    <row r="276" spans="1:8" ht="15.6">
      <c r="A276" s="193"/>
      <c r="B276" s="193"/>
      <c r="C276" s="193"/>
      <c r="D276" s="193"/>
      <c r="E276" s="193"/>
      <c r="F276" s="193"/>
      <c r="G276" s="193"/>
      <c r="H276" s="193"/>
    </row>
    <row r="277" spans="1:8" ht="15.6">
      <c r="A277" s="193"/>
      <c r="B277" s="193"/>
      <c r="C277" s="193"/>
      <c r="D277" s="193"/>
      <c r="E277" s="193"/>
      <c r="F277" s="193"/>
      <c r="G277" s="193"/>
      <c r="H277" s="193"/>
    </row>
    <row r="278" spans="1:8" ht="15.6">
      <c r="A278" s="193"/>
      <c r="B278" s="193"/>
      <c r="C278" s="193"/>
      <c r="D278" s="193"/>
      <c r="E278" s="193"/>
      <c r="F278" s="193"/>
      <c r="G278" s="193"/>
      <c r="H278" s="193"/>
    </row>
    <row r="279" spans="1:8" ht="15.6">
      <c r="A279" s="193"/>
      <c r="B279" s="193"/>
      <c r="C279" s="193"/>
      <c r="D279" s="193"/>
      <c r="E279" s="193"/>
      <c r="F279" s="193"/>
      <c r="G279" s="193"/>
      <c r="H279" s="193"/>
    </row>
    <row r="280" spans="1:8" ht="15.6">
      <c r="A280" s="193"/>
      <c r="B280" s="193"/>
      <c r="C280" s="193"/>
      <c r="D280" s="193"/>
      <c r="E280" s="193"/>
      <c r="F280" s="193"/>
      <c r="G280" s="193"/>
      <c r="H280" s="193"/>
    </row>
    <row r="281" spans="1:8" ht="15.6">
      <c r="A281" s="193"/>
      <c r="B281" s="193"/>
      <c r="C281" s="193"/>
      <c r="D281" s="193"/>
      <c r="E281" s="193"/>
      <c r="F281" s="193"/>
      <c r="G281" s="193"/>
      <c r="H281" s="193"/>
    </row>
    <row r="282" spans="1:8" ht="15.6">
      <c r="A282" s="193"/>
      <c r="B282" s="193"/>
      <c r="C282" s="193"/>
      <c r="D282" s="193"/>
      <c r="E282" s="193"/>
      <c r="F282" s="193"/>
      <c r="G282" s="193"/>
      <c r="H282" s="193"/>
    </row>
    <row r="283" spans="1:8" ht="15.6">
      <c r="A283" s="193"/>
      <c r="B283" s="193"/>
      <c r="C283" s="193"/>
      <c r="D283" s="193"/>
      <c r="E283" s="193"/>
      <c r="F283" s="193"/>
      <c r="G283" s="193"/>
      <c r="H283" s="193"/>
    </row>
    <row r="284" spans="1:8" ht="15.6">
      <c r="A284" s="193"/>
      <c r="B284" s="193"/>
      <c r="C284" s="193"/>
      <c r="D284" s="193"/>
      <c r="E284" s="193"/>
      <c r="F284" s="193"/>
      <c r="G284" s="193"/>
      <c r="H284" s="193"/>
    </row>
    <row r="285" spans="1:8" ht="15.6">
      <c r="A285" s="193"/>
      <c r="B285" s="193"/>
      <c r="C285" s="193"/>
      <c r="D285" s="193"/>
      <c r="E285" s="193"/>
      <c r="F285" s="193"/>
      <c r="G285" s="193"/>
      <c r="H285" s="193"/>
    </row>
    <row r="286" spans="1:8" ht="15.6">
      <c r="A286" s="193"/>
      <c r="B286" s="193"/>
      <c r="C286" s="193"/>
      <c r="D286" s="193"/>
      <c r="E286" s="193"/>
      <c r="F286" s="193"/>
      <c r="G286" s="193"/>
      <c r="H286" s="193"/>
    </row>
    <row r="287" spans="1:8" ht="15.6">
      <c r="A287" s="193"/>
      <c r="B287" s="193"/>
      <c r="C287" s="193"/>
      <c r="D287" s="193"/>
      <c r="E287" s="193"/>
      <c r="F287" s="193"/>
      <c r="G287" s="193"/>
      <c r="H287" s="193"/>
    </row>
    <row r="288" spans="1:8" ht="15.6">
      <c r="A288" s="193"/>
      <c r="B288" s="193"/>
      <c r="C288" s="193"/>
      <c r="D288" s="193"/>
      <c r="E288" s="193"/>
      <c r="F288" s="193"/>
      <c r="G288" s="193"/>
      <c r="H288" s="193"/>
    </row>
    <row r="289" spans="1:8" ht="15.6">
      <c r="A289" s="193"/>
      <c r="B289" s="193"/>
      <c r="C289" s="193"/>
      <c r="D289" s="193"/>
      <c r="E289" s="193"/>
      <c r="F289" s="193"/>
      <c r="G289" s="193"/>
      <c r="H289" s="193"/>
    </row>
    <row r="290" spans="1:8" ht="15.6">
      <c r="A290" s="193"/>
      <c r="B290" s="193"/>
      <c r="C290" s="193"/>
      <c r="D290" s="193"/>
      <c r="E290" s="193"/>
      <c r="F290" s="193"/>
      <c r="G290" s="193"/>
      <c r="H290" s="193"/>
    </row>
    <row r="291" spans="1:8" ht="15.6">
      <c r="A291" s="193"/>
      <c r="B291" s="193"/>
      <c r="C291" s="193"/>
      <c r="D291" s="193"/>
      <c r="E291" s="193"/>
      <c r="F291" s="193"/>
      <c r="G291" s="193"/>
      <c r="H291" s="193"/>
    </row>
    <row r="292" spans="1:8" ht="15.6">
      <c r="A292" s="193"/>
      <c r="B292" s="193"/>
      <c r="C292" s="193"/>
      <c r="D292" s="193"/>
      <c r="E292" s="193"/>
      <c r="F292" s="193"/>
      <c r="G292" s="193"/>
      <c r="H292" s="193"/>
    </row>
    <row r="293" spans="1:8" ht="15.6">
      <c r="A293" s="193"/>
      <c r="B293" s="193"/>
      <c r="C293" s="193"/>
      <c r="D293" s="193"/>
      <c r="E293" s="193"/>
      <c r="F293" s="193"/>
      <c r="G293" s="193"/>
      <c r="H293" s="193"/>
    </row>
    <row r="294" spans="1:8" ht="15.6">
      <c r="A294" s="193"/>
      <c r="B294" s="193"/>
      <c r="C294" s="193"/>
      <c r="D294" s="193"/>
      <c r="E294" s="193"/>
      <c r="F294" s="193"/>
      <c r="G294" s="193"/>
      <c r="H294" s="193"/>
    </row>
    <row r="295" spans="1:8" ht="15.6">
      <c r="A295" s="193"/>
      <c r="B295" s="193"/>
      <c r="C295" s="193"/>
      <c r="D295" s="193"/>
      <c r="E295" s="193"/>
      <c r="F295" s="193"/>
      <c r="G295" s="193"/>
      <c r="H295" s="193"/>
    </row>
    <row r="296" spans="1:8" ht="15.6">
      <c r="A296" s="193"/>
      <c r="B296" s="193"/>
      <c r="C296" s="193"/>
      <c r="D296" s="193"/>
      <c r="E296" s="193"/>
      <c r="F296" s="193"/>
      <c r="G296" s="193"/>
      <c r="H296" s="193"/>
    </row>
    <row r="297" spans="1:8" ht="15.6">
      <c r="A297" s="193"/>
      <c r="B297" s="193"/>
      <c r="C297" s="193"/>
      <c r="D297" s="193"/>
      <c r="E297" s="193"/>
      <c r="F297" s="193"/>
      <c r="G297" s="193"/>
      <c r="H297" s="193"/>
    </row>
    <row r="298" spans="1:8" ht="15.6">
      <c r="A298" s="193"/>
      <c r="B298" s="193"/>
      <c r="C298" s="193"/>
      <c r="D298" s="193"/>
      <c r="E298" s="193"/>
      <c r="F298" s="193"/>
      <c r="G298" s="193"/>
      <c r="H298" s="193"/>
    </row>
    <row r="299" spans="1:8" ht="15.6">
      <c r="A299" s="193"/>
      <c r="B299" s="193"/>
      <c r="C299" s="193"/>
      <c r="D299" s="193"/>
      <c r="E299" s="193"/>
      <c r="F299" s="193"/>
      <c r="G299" s="193"/>
      <c r="H299" s="193"/>
    </row>
    <row r="300" spans="1:8" ht="15.6">
      <c r="A300" s="193"/>
      <c r="B300" s="193"/>
      <c r="C300" s="193"/>
      <c r="D300" s="193"/>
      <c r="E300" s="193"/>
      <c r="F300" s="193"/>
      <c r="G300" s="193"/>
      <c r="H300" s="193"/>
    </row>
    <row r="301" spans="1:8" ht="15.6">
      <c r="A301" s="193"/>
      <c r="B301" s="193"/>
      <c r="C301" s="193"/>
      <c r="D301" s="193"/>
      <c r="E301" s="193"/>
      <c r="F301" s="193"/>
      <c r="G301" s="193"/>
      <c r="H301" s="193"/>
    </row>
    <row r="302" spans="1:8" ht="15.6">
      <c r="A302" s="193"/>
      <c r="B302" s="193"/>
      <c r="C302" s="193"/>
      <c r="D302" s="193"/>
      <c r="E302" s="193"/>
      <c r="F302" s="193"/>
      <c r="G302" s="193"/>
      <c r="H302" s="193"/>
    </row>
    <row r="303" spans="1:8" ht="15.6">
      <c r="A303" s="193"/>
      <c r="B303" s="193"/>
      <c r="C303" s="193"/>
      <c r="D303" s="193"/>
      <c r="E303" s="193"/>
      <c r="F303" s="193"/>
      <c r="G303" s="193"/>
      <c r="H303" s="193"/>
    </row>
    <row r="304" spans="1:8" ht="15.6">
      <c r="A304" s="193"/>
      <c r="B304" s="193"/>
      <c r="C304" s="193"/>
      <c r="D304" s="193"/>
      <c r="E304" s="193"/>
      <c r="F304" s="193"/>
      <c r="G304" s="193"/>
      <c r="H304" s="193"/>
    </row>
    <row r="305" spans="1:8" ht="15.6">
      <c r="A305" s="193"/>
      <c r="B305" s="193"/>
      <c r="C305" s="193"/>
      <c r="D305" s="193"/>
      <c r="E305" s="193"/>
      <c r="F305" s="193"/>
      <c r="G305" s="193"/>
      <c r="H305" s="193"/>
    </row>
    <row r="306" spans="1:8" ht="15.6">
      <c r="A306" s="193"/>
      <c r="B306" s="193"/>
      <c r="C306" s="193"/>
      <c r="D306" s="193"/>
      <c r="E306" s="193"/>
      <c r="F306" s="193"/>
      <c r="G306" s="193"/>
      <c r="H306" s="193"/>
    </row>
    <row r="307" spans="1:8" ht="15.6">
      <c r="A307" s="193"/>
      <c r="B307" s="193"/>
      <c r="C307" s="193"/>
      <c r="D307" s="193"/>
      <c r="E307" s="193"/>
      <c r="F307" s="193"/>
      <c r="G307" s="193"/>
      <c r="H307" s="193"/>
    </row>
    <row r="308" spans="1:8" ht="15.6">
      <c r="A308" s="193"/>
      <c r="B308" s="193"/>
      <c r="C308" s="193"/>
      <c r="D308" s="193"/>
      <c r="E308" s="193"/>
      <c r="F308" s="193"/>
      <c r="G308" s="193"/>
      <c r="H308" s="193"/>
    </row>
    <row r="309" spans="1:8" ht="15.6">
      <c r="A309" s="193"/>
      <c r="B309" s="193"/>
      <c r="C309" s="193"/>
      <c r="D309" s="193"/>
      <c r="E309" s="193"/>
      <c r="F309" s="193"/>
      <c r="G309" s="193"/>
      <c r="H309" s="193"/>
    </row>
    <row r="310" spans="1:8" ht="15.6">
      <c r="A310" s="193"/>
      <c r="B310" s="193"/>
      <c r="C310" s="193"/>
      <c r="D310" s="193"/>
      <c r="E310" s="193"/>
      <c r="F310" s="193"/>
      <c r="G310" s="193"/>
      <c r="H310" s="193"/>
    </row>
    <row r="311" spans="1:8" ht="15.6">
      <c r="A311" s="193"/>
      <c r="B311" s="193"/>
      <c r="C311" s="193"/>
      <c r="D311" s="193"/>
      <c r="E311" s="193"/>
      <c r="F311" s="193"/>
      <c r="G311" s="193"/>
      <c r="H311" s="193"/>
    </row>
    <row r="312" spans="1:8" ht="15.6">
      <c r="A312" s="193"/>
      <c r="B312" s="193"/>
      <c r="C312" s="193"/>
      <c r="D312" s="193"/>
      <c r="E312" s="193"/>
      <c r="F312" s="193"/>
      <c r="G312" s="193"/>
      <c r="H312" s="193"/>
    </row>
    <row r="313" spans="1:8" ht="15.6">
      <c r="A313" s="193"/>
      <c r="B313" s="193"/>
      <c r="C313" s="193"/>
      <c r="D313" s="193"/>
      <c r="E313" s="193"/>
      <c r="F313" s="193"/>
      <c r="G313" s="193"/>
      <c r="H313" s="193"/>
    </row>
    <row r="314" spans="1:8" ht="15.6">
      <c r="A314" s="193"/>
      <c r="B314" s="193"/>
      <c r="C314" s="193"/>
      <c r="D314" s="193"/>
      <c r="E314" s="193"/>
      <c r="F314" s="193"/>
      <c r="G314" s="193"/>
      <c r="H314" s="193"/>
    </row>
    <row r="315" spans="1:8" ht="15.6">
      <c r="A315" s="193"/>
      <c r="B315" s="193"/>
      <c r="C315" s="193"/>
      <c r="D315" s="193"/>
      <c r="E315" s="193"/>
      <c r="F315" s="193"/>
      <c r="G315" s="193"/>
      <c r="H315" s="193"/>
    </row>
    <row r="316" spans="1:8" ht="15.6">
      <c r="A316" s="193"/>
      <c r="B316" s="193"/>
      <c r="C316" s="193"/>
      <c r="D316" s="193"/>
      <c r="E316" s="193"/>
      <c r="F316" s="193"/>
      <c r="G316" s="193"/>
      <c r="H316" s="193"/>
    </row>
    <row r="317" spans="1:8" ht="15.6">
      <c r="A317" s="193"/>
      <c r="B317" s="193"/>
      <c r="C317" s="193"/>
      <c r="D317" s="193"/>
      <c r="E317" s="193"/>
      <c r="F317" s="193"/>
      <c r="G317" s="193"/>
      <c r="H317" s="193"/>
    </row>
    <row r="318" spans="1:8" ht="15.6">
      <c r="A318" s="193"/>
      <c r="B318" s="193"/>
      <c r="C318" s="193"/>
      <c r="D318" s="193"/>
      <c r="E318" s="193"/>
      <c r="F318" s="193"/>
      <c r="G318" s="193"/>
      <c r="H318" s="193"/>
    </row>
    <row r="319" spans="1:8" ht="15.6">
      <c r="A319" s="193"/>
      <c r="B319" s="193"/>
      <c r="C319" s="193"/>
      <c r="D319" s="193"/>
      <c r="E319" s="193"/>
      <c r="F319" s="193"/>
      <c r="G319" s="193"/>
      <c r="H319" s="193"/>
    </row>
    <row r="320" spans="1:8" ht="15.6">
      <c r="A320" s="193"/>
      <c r="B320" s="193"/>
      <c r="C320" s="193"/>
      <c r="D320" s="193"/>
      <c r="E320" s="193"/>
      <c r="F320" s="193"/>
      <c r="G320" s="193"/>
      <c r="H320" s="193"/>
    </row>
    <row r="321" spans="1:8" ht="15.6">
      <c r="A321" s="193"/>
      <c r="B321" s="193"/>
      <c r="C321" s="193"/>
      <c r="D321" s="193"/>
      <c r="E321" s="193"/>
      <c r="F321" s="193"/>
      <c r="G321" s="193"/>
      <c r="H321" s="193"/>
    </row>
    <row r="322" spans="1:8" ht="15.6">
      <c r="A322" s="193"/>
      <c r="B322" s="193"/>
      <c r="C322" s="193"/>
      <c r="D322" s="193"/>
      <c r="E322" s="193"/>
      <c r="F322" s="193"/>
      <c r="G322" s="193"/>
      <c r="H322" s="193"/>
    </row>
    <row r="323" spans="1:8" ht="15.6">
      <c r="A323" s="193"/>
      <c r="B323" s="193"/>
      <c r="C323" s="193"/>
      <c r="D323" s="193"/>
      <c r="E323" s="193"/>
      <c r="F323" s="193"/>
      <c r="G323" s="193"/>
      <c r="H323" s="193"/>
    </row>
    <row r="324" spans="1:8" ht="15.6">
      <c r="A324" s="193"/>
      <c r="B324" s="193"/>
      <c r="C324" s="193"/>
      <c r="D324" s="193"/>
      <c r="E324" s="193"/>
      <c r="F324" s="193"/>
      <c r="G324" s="193"/>
      <c r="H324" s="193"/>
    </row>
    <row r="325" spans="1:8" ht="15.6">
      <c r="A325" s="193"/>
      <c r="B325" s="193"/>
      <c r="C325" s="193"/>
      <c r="D325" s="193"/>
      <c r="E325" s="193"/>
      <c r="F325" s="193"/>
      <c r="G325" s="193"/>
      <c r="H325" s="193"/>
    </row>
    <row r="326" spans="1:8" ht="15.6">
      <c r="A326" s="193"/>
      <c r="B326" s="193"/>
      <c r="C326" s="193"/>
      <c r="D326" s="193"/>
      <c r="E326" s="193"/>
      <c r="F326" s="193"/>
      <c r="G326" s="193"/>
      <c r="H326" s="193"/>
    </row>
    <row r="327" spans="1:8" ht="15.6">
      <c r="A327" s="193"/>
      <c r="B327" s="193"/>
      <c r="C327" s="193"/>
      <c r="D327" s="193"/>
      <c r="E327" s="193"/>
      <c r="F327" s="193"/>
      <c r="G327" s="193"/>
      <c r="H327" s="193"/>
    </row>
    <row r="328" spans="1:8" ht="15.6">
      <c r="A328" s="193"/>
      <c r="B328" s="193"/>
      <c r="C328" s="193"/>
      <c r="D328" s="193"/>
      <c r="E328" s="193"/>
      <c r="F328" s="193"/>
      <c r="G328" s="193"/>
      <c r="H328" s="193"/>
    </row>
    <row r="329" spans="1:8" ht="15.6">
      <c r="A329" s="193"/>
      <c r="B329" s="193"/>
      <c r="C329" s="193"/>
      <c r="D329" s="193"/>
      <c r="E329" s="193"/>
      <c r="F329" s="193"/>
      <c r="G329" s="193"/>
      <c r="H329" s="193"/>
    </row>
    <row r="330" spans="1:8" ht="15.6">
      <c r="A330" s="193"/>
      <c r="B330" s="193"/>
      <c r="C330" s="193"/>
      <c r="D330" s="193"/>
      <c r="E330" s="193"/>
      <c r="F330" s="193"/>
      <c r="G330" s="193"/>
      <c r="H330" s="193"/>
    </row>
    <row r="331" spans="1:8" ht="15.6">
      <c r="A331" s="193"/>
      <c r="B331" s="193"/>
      <c r="C331" s="193"/>
      <c r="D331" s="193"/>
      <c r="E331" s="193"/>
      <c r="F331" s="193"/>
      <c r="G331" s="193"/>
      <c r="H331" s="193"/>
    </row>
    <row r="332" spans="1:8" ht="15.6">
      <c r="A332" s="193"/>
      <c r="B332" s="193"/>
      <c r="C332" s="193"/>
      <c r="D332" s="193"/>
      <c r="E332" s="193"/>
      <c r="F332" s="193"/>
      <c r="G332" s="193"/>
      <c r="H332" s="193"/>
    </row>
    <row r="333" spans="1:8" ht="15.6">
      <c r="A333" s="193"/>
      <c r="B333" s="193"/>
      <c r="C333" s="193"/>
      <c r="D333" s="193"/>
      <c r="E333" s="193"/>
      <c r="F333" s="193"/>
      <c r="G333" s="193"/>
      <c r="H333" s="193"/>
    </row>
    <row r="334" spans="1:8" ht="15.6">
      <c r="A334" s="193"/>
      <c r="B334" s="193"/>
      <c r="C334" s="193"/>
      <c r="D334" s="193"/>
      <c r="E334" s="193"/>
      <c r="F334" s="193"/>
      <c r="G334" s="193"/>
      <c r="H334" s="193"/>
    </row>
    <row r="335" spans="1:8" ht="15.6">
      <c r="A335" s="193"/>
      <c r="B335" s="193"/>
      <c r="C335" s="193"/>
      <c r="D335" s="193"/>
      <c r="E335" s="193"/>
      <c r="F335" s="193"/>
      <c r="G335" s="193"/>
      <c r="H335" s="193"/>
    </row>
    <row r="336" spans="1:8" ht="15.6">
      <c r="A336" s="193"/>
      <c r="B336" s="193"/>
      <c r="C336" s="193"/>
      <c r="D336" s="193"/>
      <c r="E336" s="193"/>
      <c r="F336" s="193"/>
      <c r="G336" s="193"/>
      <c r="H336" s="193"/>
    </row>
    <row r="337" spans="1:8" ht="15.6">
      <c r="A337" s="193"/>
      <c r="B337" s="193"/>
      <c r="C337" s="193"/>
      <c r="D337" s="193"/>
      <c r="E337" s="193"/>
      <c r="F337" s="193"/>
      <c r="G337" s="193"/>
      <c r="H337" s="193"/>
    </row>
    <row r="338" spans="1:8" ht="15.6">
      <c r="A338" s="193"/>
      <c r="B338" s="193"/>
      <c r="C338" s="193"/>
      <c r="D338" s="193"/>
      <c r="E338" s="193"/>
      <c r="F338" s="193"/>
      <c r="G338" s="193"/>
      <c r="H338" s="193"/>
    </row>
    <row r="339" spans="1:8" ht="15.6">
      <c r="A339" s="193"/>
      <c r="B339" s="193"/>
      <c r="C339" s="193"/>
      <c r="D339" s="193"/>
      <c r="E339" s="193"/>
      <c r="F339" s="193"/>
      <c r="G339" s="193"/>
      <c r="H339" s="193"/>
    </row>
    <row r="340" spans="1:8" ht="15.6">
      <c r="A340" s="193"/>
      <c r="B340" s="193"/>
      <c r="C340" s="193"/>
      <c r="D340" s="193"/>
      <c r="E340" s="193"/>
      <c r="F340" s="193"/>
      <c r="G340" s="193"/>
      <c r="H340" s="193"/>
    </row>
    <row r="341" spans="1:8" ht="15.6">
      <c r="A341" s="193"/>
      <c r="B341" s="193"/>
      <c r="C341" s="193"/>
      <c r="D341" s="193"/>
      <c r="E341" s="193"/>
      <c r="F341" s="193"/>
      <c r="G341" s="193"/>
      <c r="H341" s="193"/>
    </row>
    <row r="342" spans="1:8" ht="15.6">
      <c r="A342" s="193"/>
      <c r="B342" s="193"/>
      <c r="C342" s="193"/>
      <c r="D342" s="193"/>
      <c r="E342" s="193"/>
      <c r="F342" s="193"/>
      <c r="G342" s="193"/>
      <c r="H342" s="193"/>
    </row>
    <row r="343" spans="1:8" ht="15.6">
      <c r="A343" s="193"/>
      <c r="B343" s="193"/>
      <c r="C343" s="193"/>
      <c r="D343" s="193"/>
      <c r="E343" s="193"/>
      <c r="F343" s="193"/>
      <c r="G343" s="193"/>
      <c r="H343" s="193"/>
    </row>
    <row r="344" spans="1:8" ht="15.6">
      <c r="A344" s="193"/>
      <c r="B344" s="193"/>
      <c r="C344" s="193"/>
      <c r="D344" s="193"/>
      <c r="E344" s="193"/>
      <c r="F344" s="193"/>
      <c r="G344" s="193"/>
      <c r="H344" s="193"/>
    </row>
    <row r="345" spans="1:8" ht="15.6">
      <c r="A345" s="193"/>
      <c r="B345" s="193"/>
      <c r="C345" s="193"/>
      <c r="D345" s="193"/>
      <c r="E345" s="193"/>
      <c r="F345" s="193"/>
      <c r="G345" s="193"/>
      <c r="H345" s="193"/>
    </row>
    <row r="346" spans="1:8" ht="15.6">
      <c r="A346" s="193"/>
      <c r="B346" s="193"/>
      <c r="C346" s="193"/>
      <c r="D346" s="193"/>
      <c r="E346" s="193"/>
      <c r="F346" s="193"/>
      <c r="G346" s="193"/>
      <c r="H346" s="193"/>
    </row>
    <row r="347" spans="1:8" ht="15.6">
      <c r="A347" s="193"/>
      <c r="B347" s="193"/>
      <c r="C347" s="193"/>
      <c r="D347" s="193"/>
      <c r="E347" s="193"/>
      <c r="F347" s="193"/>
      <c r="G347" s="193"/>
      <c r="H347" s="193"/>
    </row>
    <row r="348" spans="1:8" ht="15.6">
      <c r="A348" s="193"/>
      <c r="B348" s="193"/>
      <c r="C348" s="193"/>
      <c r="D348" s="193"/>
      <c r="E348" s="193"/>
      <c r="F348" s="193"/>
      <c r="G348" s="193"/>
      <c r="H348" s="193"/>
    </row>
    <row r="349" spans="1:8" ht="15.6">
      <c r="A349" s="193"/>
      <c r="B349" s="193"/>
      <c r="C349" s="193"/>
      <c r="D349" s="193"/>
      <c r="E349" s="193"/>
      <c r="F349" s="193"/>
      <c r="G349" s="193"/>
      <c r="H349" s="193"/>
    </row>
    <row r="350" spans="1:8" ht="15.6">
      <c r="A350" s="193"/>
      <c r="B350" s="193"/>
      <c r="C350" s="193"/>
      <c r="D350" s="193"/>
      <c r="E350" s="193"/>
      <c r="F350" s="193"/>
      <c r="G350" s="193"/>
      <c r="H350" s="193"/>
    </row>
    <row r="351" spans="1:8" ht="15.6">
      <c r="A351" s="193"/>
      <c r="B351" s="193"/>
      <c r="C351" s="193"/>
      <c r="D351" s="193"/>
      <c r="E351" s="193"/>
      <c r="F351" s="193"/>
      <c r="G351" s="193"/>
      <c r="H351" s="193"/>
    </row>
    <row r="352" spans="1:8" ht="15.6">
      <c r="A352" s="193"/>
      <c r="B352" s="193"/>
      <c r="C352" s="193"/>
      <c r="D352" s="193"/>
      <c r="E352" s="193"/>
      <c r="F352" s="193"/>
      <c r="G352" s="193"/>
      <c r="H352" s="193"/>
    </row>
    <row r="353" spans="1:8" ht="15.6">
      <c r="A353" s="193"/>
      <c r="B353" s="193"/>
      <c r="C353" s="193"/>
      <c r="D353" s="193"/>
      <c r="E353" s="193"/>
      <c r="F353" s="193"/>
      <c r="G353" s="193"/>
      <c r="H353" s="193"/>
    </row>
    <row r="354" spans="1:8" ht="15.6">
      <c r="A354" s="193"/>
      <c r="B354" s="193"/>
      <c r="C354" s="193"/>
      <c r="D354" s="193"/>
      <c r="E354" s="193"/>
      <c r="F354" s="193"/>
      <c r="G354" s="193"/>
      <c r="H354" s="193"/>
    </row>
    <row r="355" spans="1:8" ht="15.6">
      <c r="A355" s="193"/>
      <c r="B355" s="193"/>
      <c r="C355" s="193"/>
      <c r="D355" s="193"/>
      <c r="E355" s="193"/>
      <c r="F355" s="193"/>
      <c r="G355" s="193"/>
      <c r="H355" s="193"/>
    </row>
    <row r="356" spans="1:8" ht="15.6">
      <c r="A356" s="193"/>
      <c r="B356" s="193"/>
      <c r="C356" s="193"/>
      <c r="D356" s="193"/>
      <c r="E356" s="193"/>
      <c r="F356" s="193"/>
      <c r="G356" s="193"/>
      <c r="H356" s="193"/>
    </row>
    <row r="357" spans="1:8" ht="15.6">
      <c r="A357" s="193"/>
      <c r="B357" s="193"/>
      <c r="C357" s="193"/>
      <c r="D357" s="193"/>
      <c r="E357" s="193"/>
      <c r="F357" s="193"/>
      <c r="G357" s="193"/>
      <c r="H357" s="193"/>
    </row>
    <row r="358" spans="1:8" ht="15.6">
      <c r="A358" s="193"/>
      <c r="B358" s="193"/>
      <c r="C358" s="193"/>
      <c r="D358" s="193"/>
      <c r="E358" s="193"/>
      <c r="F358" s="193"/>
      <c r="G358" s="193"/>
      <c r="H358" s="193"/>
    </row>
    <row r="359" spans="1:8" ht="15.6">
      <c r="A359" s="193"/>
      <c r="B359" s="193"/>
      <c r="C359" s="193"/>
      <c r="D359" s="193"/>
      <c r="E359" s="193"/>
      <c r="F359" s="193"/>
      <c r="G359" s="193"/>
      <c r="H359" s="193"/>
    </row>
    <row r="360" spans="1:8" ht="15.6">
      <c r="A360" s="193"/>
      <c r="B360" s="193"/>
      <c r="C360" s="193"/>
      <c r="D360" s="193"/>
      <c r="E360" s="193"/>
      <c r="F360" s="193"/>
      <c r="G360" s="193"/>
      <c r="H360" s="193"/>
    </row>
    <row r="361" spans="1:8" ht="15.6">
      <c r="A361" s="193"/>
      <c r="B361" s="193"/>
      <c r="C361" s="193"/>
      <c r="D361" s="193"/>
      <c r="E361" s="193"/>
      <c r="F361" s="193"/>
      <c r="G361" s="193"/>
      <c r="H361" s="193"/>
    </row>
    <row r="362" spans="1:8" ht="15.6">
      <c r="A362" s="193"/>
      <c r="B362" s="193"/>
      <c r="C362" s="193"/>
      <c r="D362" s="193"/>
      <c r="E362" s="193"/>
      <c r="F362" s="193"/>
      <c r="G362" s="193"/>
      <c r="H362" s="193"/>
    </row>
    <row r="363" spans="1:8" ht="15.6">
      <c r="A363" s="193"/>
      <c r="B363" s="193"/>
      <c r="C363" s="193"/>
      <c r="D363" s="193"/>
      <c r="E363" s="193"/>
      <c r="F363" s="193"/>
      <c r="G363" s="193"/>
      <c r="H363" s="193"/>
    </row>
    <row r="364" spans="1:8" ht="15.6">
      <c r="A364" s="193"/>
      <c r="B364" s="193"/>
      <c r="C364" s="193"/>
      <c r="D364" s="193"/>
      <c r="E364" s="193"/>
      <c r="F364" s="193"/>
      <c r="G364" s="193"/>
      <c r="H364" s="193"/>
    </row>
    <row r="365" spans="1:8" ht="15.6">
      <c r="A365" s="193"/>
      <c r="B365" s="193"/>
      <c r="C365" s="193"/>
      <c r="D365" s="193"/>
      <c r="E365" s="193"/>
      <c r="F365" s="193"/>
      <c r="G365" s="193"/>
      <c r="H365" s="193"/>
    </row>
    <row r="366" spans="1:8" ht="15.6">
      <c r="A366" s="193"/>
      <c r="B366" s="193"/>
      <c r="C366" s="193"/>
      <c r="D366" s="193"/>
      <c r="E366" s="193"/>
      <c r="F366" s="193"/>
      <c r="G366" s="193"/>
      <c r="H366" s="193"/>
    </row>
    <row r="367" spans="1:8" ht="15.6">
      <c r="A367" s="193"/>
      <c r="B367" s="193"/>
      <c r="C367" s="193"/>
      <c r="D367" s="193"/>
      <c r="E367" s="193"/>
      <c r="F367" s="193"/>
      <c r="G367" s="193"/>
      <c r="H367" s="193"/>
    </row>
    <row r="368" spans="1:8" ht="15.6">
      <c r="A368" s="193"/>
      <c r="B368" s="193"/>
      <c r="C368" s="193"/>
      <c r="D368" s="193"/>
      <c r="E368" s="193"/>
      <c r="F368" s="193"/>
      <c r="G368" s="193"/>
      <c r="H368" s="193"/>
    </row>
    <row r="369" spans="1:8" ht="15.6">
      <c r="A369" s="193"/>
      <c r="B369" s="193"/>
      <c r="C369" s="193"/>
      <c r="D369" s="193"/>
      <c r="E369" s="193"/>
      <c r="F369" s="193"/>
      <c r="G369" s="193"/>
      <c r="H369" s="193"/>
    </row>
    <row r="370" spans="1:8" ht="15.6">
      <c r="A370" s="193"/>
      <c r="B370" s="193"/>
      <c r="C370" s="193"/>
      <c r="D370" s="193"/>
      <c r="E370" s="193"/>
      <c r="F370" s="193"/>
      <c r="G370" s="193"/>
      <c r="H370" s="193"/>
    </row>
    <row r="371" spans="1:8" ht="15.6">
      <c r="A371" s="193"/>
      <c r="B371" s="193"/>
      <c r="C371" s="193"/>
      <c r="D371" s="193"/>
      <c r="E371" s="193"/>
      <c r="F371" s="193"/>
      <c r="G371" s="193"/>
      <c r="H371" s="193"/>
    </row>
    <row r="372" spans="1:8" ht="15.6">
      <c r="A372" s="193"/>
      <c r="B372" s="193"/>
      <c r="C372" s="193"/>
      <c r="D372" s="193"/>
      <c r="E372" s="193"/>
      <c r="F372" s="193"/>
      <c r="G372" s="193"/>
      <c r="H372" s="193"/>
    </row>
    <row r="373" spans="1:8" ht="15.6">
      <c r="A373" s="193"/>
      <c r="B373" s="193"/>
      <c r="C373" s="193"/>
      <c r="D373" s="193"/>
      <c r="E373" s="193"/>
      <c r="F373" s="193"/>
      <c r="G373" s="193"/>
      <c r="H373" s="193"/>
    </row>
    <row r="374" spans="1:8" ht="15.6">
      <c r="A374" s="193"/>
      <c r="B374" s="193"/>
      <c r="C374" s="193"/>
      <c r="D374" s="193"/>
      <c r="E374" s="193"/>
      <c r="F374" s="193"/>
      <c r="G374" s="193"/>
      <c r="H374" s="193"/>
    </row>
    <row r="375" spans="1:8" ht="15.6">
      <c r="A375" s="193"/>
      <c r="B375" s="193"/>
      <c r="C375" s="193"/>
      <c r="D375" s="193"/>
      <c r="E375" s="193"/>
      <c r="F375" s="193"/>
      <c r="G375" s="193"/>
      <c r="H375" s="193"/>
    </row>
    <row r="376" spans="1:8" ht="15.6">
      <c r="A376" s="193"/>
      <c r="B376" s="193"/>
      <c r="C376" s="193"/>
      <c r="D376" s="193"/>
      <c r="E376" s="193"/>
      <c r="F376" s="193"/>
      <c r="G376" s="193"/>
      <c r="H376" s="193"/>
    </row>
    <row r="377" spans="1:8" ht="15.6">
      <c r="A377" s="193"/>
      <c r="B377" s="193"/>
      <c r="C377" s="193"/>
      <c r="D377" s="193"/>
      <c r="E377" s="193"/>
      <c r="F377" s="193"/>
      <c r="G377" s="193"/>
      <c r="H377" s="193"/>
    </row>
    <row r="378" spans="1:8" ht="15.6">
      <c r="A378" s="193"/>
      <c r="B378" s="193"/>
      <c r="C378" s="193"/>
      <c r="D378" s="193"/>
      <c r="E378" s="193"/>
      <c r="F378" s="193"/>
      <c r="G378" s="193"/>
      <c r="H378" s="193"/>
    </row>
    <row r="379" spans="1:8" ht="15.6">
      <c r="A379" s="193"/>
      <c r="B379" s="193"/>
      <c r="C379" s="193"/>
      <c r="D379" s="193"/>
      <c r="E379" s="193"/>
      <c r="F379" s="193"/>
      <c r="G379" s="193"/>
      <c r="H379" s="193"/>
    </row>
    <row r="380" spans="1:8" ht="15.6">
      <c r="A380" s="193"/>
      <c r="B380" s="193"/>
      <c r="C380" s="193"/>
      <c r="D380" s="193"/>
      <c r="E380" s="193"/>
      <c r="F380" s="193"/>
      <c r="G380" s="193"/>
      <c r="H380" s="193"/>
    </row>
    <row r="381" spans="1:8" ht="15.6">
      <c r="A381" s="193"/>
      <c r="B381" s="193"/>
      <c r="C381" s="193"/>
      <c r="D381" s="193"/>
      <c r="E381" s="193"/>
      <c r="F381" s="193"/>
      <c r="G381" s="193"/>
      <c r="H381" s="193"/>
    </row>
    <row r="382" spans="1:8" ht="15.6">
      <c r="A382" s="193"/>
      <c r="B382" s="193"/>
      <c r="C382" s="193"/>
      <c r="D382" s="193"/>
      <c r="E382" s="193"/>
      <c r="F382" s="193"/>
      <c r="G382" s="193"/>
      <c r="H382" s="193"/>
    </row>
    <row r="383" spans="1:8" ht="15.6">
      <c r="A383" s="193"/>
      <c r="B383" s="193"/>
      <c r="C383" s="193"/>
      <c r="D383" s="193"/>
      <c r="E383" s="193"/>
      <c r="F383" s="193"/>
      <c r="G383" s="193"/>
      <c r="H383" s="193"/>
    </row>
    <row r="384" spans="1:8" ht="15.6">
      <c r="A384" s="193"/>
      <c r="B384" s="193"/>
      <c r="C384" s="193"/>
      <c r="D384" s="193"/>
      <c r="E384" s="193"/>
      <c r="F384" s="193"/>
      <c r="G384" s="193"/>
      <c r="H384" s="193"/>
    </row>
    <row r="385" spans="1:8" ht="15.6">
      <c r="A385" s="193"/>
      <c r="B385" s="193"/>
      <c r="C385" s="193"/>
      <c r="D385" s="193"/>
      <c r="E385" s="193"/>
      <c r="F385" s="193"/>
      <c r="G385" s="193"/>
      <c r="H385" s="193"/>
    </row>
    <row r="386" spans="1:8" ht="15.6">
      <c r="A386" s="193"/>
      <c r="B386" s="193"/>
      <c r="C386" s="193"/>
      <c r="D386" s="193"/>
      <c r="E386" s="193"/>
      <c r="F386" s="193"/>
      <c r="G386" s="193"/>
      <c r="H386" s="193"/>
    </row>
    <row r="387" spans="1:8" ht="15.6">
      <c r="A387" s="193"/>
      <c r="B387" s="193"/>
      <c r="C387" s="193"/>
      <c r="D387" s="193"/>
      <c r="E387" s="193"/>
      <c r="F387" s="193"/>
      <c r="G387" s="193"/>
      <c r="H387" s="193"/>
    </row>
    <row r="388" spans="1:8" ht="15.6">
      <c r="A388" s="193"/>
      <c r="B388" s="193"/>
      <c r="C388" s="193"/>
      <c r="D388" s="193"/>
      <c r="E388" s="193"/>
      <c r="F388" s="193"/>
      <c r="G388" s="193"/>
      <c r="H388" s="193"/>
    </row>
    <row r="389" spans="1:8" ht="15.6">
      <c r="A389" s="193"/>
      <c r="B389" s="193"/>
      <c r="C389" s="193"/>
      <c r="D389" s="193"/>
      <c r="E389" s="193"/>
      <c r="F389" s="193"/>
      <c r="G389" s="193"/>
      <c r="H389" s="193"/>
    </row>
    <row r="390" spans="1:8" ht="15.6">
      <c r="A390" s="193"/>
      <c r="B390" s="193"/>
      <c r="C390" s="193"/>
      <c r="D390" s="193"/>
      <c r="E390" s="193"/>
      <c r="F390" s="193"/>
      <c r="G390" s="193"/>
      <c r="H390" s="193"/>
    </row>
    <row r="391" spans="1:8" ht="15.6">
      <c r="A391" s="193"/>
      <c r="B391" s="193"/>
      <c r="C391" s="193"/>
      <c r="D391" s="193"/>
      <c r="E391" s="193"/>
      <c r="F391" s="193"/>
      <c r="G391" s="193"/>
      <c r="H391" s="193"/>
    </row>
    <row r="392" spans="1:8" ht="15.6">
      <c r="A392" s="193"/>
      <c r="B392" s="193"/>
      <c r="C392" s="193"/>
      <c r="D392" s="193"/>
      <c r="E392" s="193"/>
      <c r="F392" s="193"/>
      <c r="G392" s="193"/>
      <c r="H392" s="193"/>
    </row>
    <row r="393" spans="1:8" ht="15.6">
      <c r="A393" s="193"/>
      <c r="B393" s="193"/>
      <c r="C393" s="193"/>
      <c r="D393" s="193"/>
      <c r="E393" s="193"/>
      <c r="F393" s="193"/>
      <c r="G393" s="193"/>
      <c r="H393" s="193"/>
    </row>
    <row r="394" spans="1:8" ht="15.6">
      <c r="A394" s="193"/>
      <c r="B394" s="193"/>
      <c r="C394" s="193"/>
      <c r="D394" s="193"/>
      <c r="E394" s="193"/>
      <c r="F394" s="193"/>
      <c r="G394" s="193"/>
      <c r="H394" s="193"/>
    </row>
    <row r="395" spans="1:8" ht="15.6">
      <c r="A395" s="193"/>
      <c r="B395" s="193"/>
      <c r="C395" s="193"/>
      <c r="D395" s="193"/>
      <c r="E395" s="193"/>
      <c r="F395" s="193"/>
      <c r="G395" s="193"/>
      <c r="H395" s="193"/>
    </row>
    <row r="396" spans="1:8" ht="15.6">
      <c r="A396" s="193"/>
      <c r="B396" s="193"/>
      <c r="C396" s="193"/>
      <c r="D396" s="193"/>
      <c r="E396" s="193"/>
      <c r="F396" s="193"/>
      <c r="G396" s="193"/>
      <c r="H396" s="193"/>
    </row>
    <row r="397" spans="1:8" ht="15.6">
      <c r="A397" s="193"/>
      <c r="B397" s="193"/>
      <c r="C397" s="193"/>
      <c r="D397" s="193"/>
      <c r="E397" s="193"/>
      <c r="F397" s="193"/>
      <c r="G397" s="193"/>
      <c r="H397" s="193"/>
    </row>
    <row r="398" spans="1:8" ht="15.6">
      <c r="A398" s="193"/>
      <c r="B398" s="193"/>
      <c r="C398" s="193"/>
      <c r="D398" s="193"/>
      <c r="E398" s="193"/>
      <c r="F398" s="193"/>
      <c r="G398" s="193"/>
      <c r="H398" s="193"/>
    </row>
    <row r="399" spans="1:8" ht="15.6">
      <c r="A399" s="193"/>
      <c r="B399" s="193"/>
      <c r="C399" s="193"/>
      <c r="D399" s="193"/>
      <c r="E399" s="193"/>
      <c r="F399" s="193"/>
      <c r="G399" s="193"/>
      <c r="H399" s="193"/>
    </row>
    <row r="400" spans="1:8" ht="15.6">
      <c r="A400" s="193"/>
      <c r="B400" s="193"/>
      <c r="C400" s="193"/>
      <c r="D400" s="193"/>
      <c r="E400" s="193"/>
      <c r="F400" s="193"/>
      <c r="G400" s="193"/>
      <c r="H400" s="193"/>
    </row>
    <row r="401" spans="1:8" ht="15.6">
      <c r="A401" s="193"/>
      <c r="B401" s="193"/>
      <c r="C401" s="193"/>
      <c r="D401" s="193"/>
      <c r="E401" s="193"/>
      <c r="F401" s="193"/>
      <c r="G401" s="193"/>
      <c r="H401" s="193"/>
    </row>
    <row r="402" spans="1:8" ht="15.6">
      <c r="A402" s="193"/>
      <c r="B402" s="193"/>
      <c r="C402" s="193"/>
      <c r="D402" s="193"/>
      <c r="E402" s="193"/>
      <c r="F402" s="193"/>
      <c r="G402" s="193"/>
      <c r="H402" s="193"/>
    </row>
    <row r="403" spans="1:8" ht="15.6">
      <c r="A403" s="193"/>
      <c r="B403" s="193"/>
      <c r="C403" s="193"/>
      <c r="D403" s="193"/>
      <c r="E403" s="193"/>
      <c r="F403" s="193"/>
      <c r="G403" s="193"/>
      <c r="H403" s="193"/>
    </row>
    <row r="404" spans="1:8" ht="15.6">
      <c r="A404" s="193"/>
      <c r="B404" s="193"/>
      <c r="C404" s="193"/>
      <c r="D404" s="193"/>
      <c r="E404" s="193"/>
      <c r="F404" s="193"/>
      <c r="G404" s="193"/>
      <c r="H404" s="193"/>
    </row>
    <row r="405" spans="1:8" ht="15.6">
      <c r="A405" s="193"/>
      <c r="B405" s="193"/>
      <c r="C405" s="193"/>
      <c r="D405" s="193"/>
      <c r="E405" s="193"/>
      <c r="F405" s="193"/>
      <c r="G405" s="193"/>
      <c r="H405" s="193"/>
    </row>
    <row r="406" spans="1:8" ht="15.6">
      <c r="A406" s="193"/>
      <c r="B406" s="193"/>
      <c r="C406" s="193"/>
      <c r="D406" s="193"/>
      <c r="E406" s="193"/>
      <c r="F406" s="193"/>
      <c r="G406" s="193"/>
      <c r="H406" s="193"/>
    </row>
    <row r="407" spans="1:8" ht="15.6">
      <c r="A407" s="193"/>
      <c r="B407" s="193"/>
      <c r="C407" s="193"/>
      <c r="D407" s="193"/>
      <c r="E407" s="193"/>
      <c r="F407" s="193"/>
      <c r="G407" s="193"/>
      <c r="H407" s="193"/>
    </row>
    <row r="408" spans="1:8" ht="15.6">
      <c r="A408" s="193"/>
      <c r="B408" s="193"/>
      <c r="C408" s="193"/>
      <c r="D408" s="193"/>
      <c r="E408" s="193"/>
      <c r="F408" s="193"/>
      <c r="G408" s="193"/>
      <c r="H408" s="193"/>
    </row>
    <row r="409" spans="1:8" ht="15.6">
      <c r="A409" s="193"/>
      <c r="B409" s="193"/>
      <c r="C409" s="193"/>
      <c r="D409" s="193"/>
      <c r="E409" s="193"/>
      <c r="F409" s="193"/>
      <c r="G409" s="193"/>
      <c r="H409" s="193"/>
    </row>
    <row r="410" spans="1:8" ht="15.6">
      <c r="A410" s="193"/>
      <c r="B410" s="193"/>
      <c r="C410" s="193"/>
      <c r="D410" s="193"/>
      <c r="E410" s="193"/>
      <c r="F410" s="193"/>
      <c r="G410" s="193"/>
      <c r="H410" s="193"/>
    </row>
    <row r="411" spans="1:8" ht="15.6">
      <c r="A411" s="193"/>
      <c r="B411" s="193"/>
      <c r="C411" s="193"/>
      <c r="D411" s="193"/>
      <c r="E411" s="193"/>
      <c r="F411" s="193"/>
      <c r="G411" s="193"/>
      <c r="H411" s="193"/>
    </row>
    <row r="412" spans="1:8" ht="15.6">
      <c r="A412" s="193"/>
      <c r="B412" s="193"/>
      <c r="C412" s="193"/>
      <c r="D412" s="193"/>
      <c r="E412" s="193"/>
      <c r="F412" s="193"/>
      <c r="G412" s="193"/>
      <c r="H412" s="193"/>
    </row>
    <row r="413" spans="1:8" ht="15.6">
      <c r="A413" s="193"/>
      <c r="B413" s="193"/>
      <c r="C413" s="193"/>
      <c r="D413" s="193"/>
      <c r="E413" s="193"/>
      <c r="F413" s="193"/>
      <c r="G413" s="193"/>
      <c r="H413" s="193"/>
    </row>
    <row r="414" spans="1:8" ht="15.6">
      <c r="A414" s="193"/>
      <c r="B414" s="193"/>
      <c r="C414" s="193"/>
      <c r="D414" s="193"/>
      <c r="E414" s="193"/>
      <c r="F414" s="193"/>
      <c r="G414" s="193"/>
      <c r="H414" s="193"/>
    </row>
    <row r="415" spans="1:8" ht="15.6">
      <c r="A415" s="193"/>
      <c r="B415" s="193"/>
      <c r="C415" s="193"/>
      <c r="D415" s="193"/>
      <c r="E415" s="193"/>
      <c r="F415" s="193"/>
      <c r="G415" s="193"/>
      <c r="H415" s="193"/>
    </row>
    <row r="416" spans="1:8" ht="15.6">
      <c r="A416" s="193"/>
      <c r="B416" s="193"/>
      <c r="C416" s="193"/>
      <c r="D416" s="193"/>
      <c r="E416" s="193"/>
      <c r="F416" s="193"/>
      <c r="G416" s="193"/>
      <c r="H416" s="193"/>
    </row>
    <row r="417" spans="1:8" ht="15.6">
      <c r="A417" s="193"/>
      <c r="B417" s="193"/>
      <c r="C417" s="193"/>
      <c r="D417" s="193"/>
      <c r="E417" s="193"/>
      <c r="F417" s="193"/>
      <c r="G417" s="193"/>
      <c r="H417" s="193"/>
    </row>
    <row r="418" spans="1:8" ht="15.6">
      <c r="A418" s="193"/>
      <c r="B418" s="193"/>
      <c r="C418" s="193"/>
      <c r="D418" s="193"/>
      <c r="E418" s="193"/>
      <c r="F418" s="193"/>
      <c r="G418" s="193"/>
      <c r="H418" s="193"/>
    </row>
    <row r="419" spans="1:8" ht="15.6">
      <c r="A419" s="193"/>
      <c r="B419" s="193"/>
      <c r="C419" s="193"/>
      <c r="D419" s="193"/>
      <c r="E419" s="193"/>
      <c r="F419" s="193"/>
      <c r="G419" s="193"/>
      <c r="H419" s="193"/>
    </row>
    <row r="420" spans="1:8" ht="15.6">
      <c r="A420" s="193"/>
      <c r="B420" s="193"/>
      <c r="C420" s="193"/>
      <c r="D420" s="193"/>
      <c r="E420" s="193"/>
      <c r="F420" s="193"/>
      <c r="G420" s="193"/>
      <c r="H420" s="193"/>
    </row>
    <row r="421" spans="1:8" ht="15.6">
      <c r="A421" s="193"/>
      <c r="B421" s="193"/>
      <c r="C421" s="193"/>
      <c r="D421" s="193"/>
      <c r="E421" s="193"/>
      <c r="F421" s="193"/>
      <c r="G421" s="193"/>
      <c r="H421" s="193"/>
    </row>
    <row r="422" spans="1:8" ht="15.6">
      <c r="A422" s="193"/>
      <c r="B422" s="193"/>
      <c r="C422" s="193"/>
      <c r="D422" s="193"/>
      <c r="E422" s="193"/>
      <c r="F422" s="193"/>
      <c r="G422" s="193"/>
      <c r="H422" s="193"/>
    </row>
    <row r="423" spans="1:8" ht="15.6">
      <c r="A423" s="193"/>
      <c r="B423" s="193"/>
      <c r="C423" s="193"/>
      <c r="D423" s="193"/>
      <c r="E423" s="193"/>
      <c r="F423" s="193"/>
      <c r="G423" s="193"/>
      <c r="H423" s="193"/>
    </row>
    <row r="424" spans="1:8" ht="15.6">
      <c r="A424" s="193"/>
      <c r="B424" s="193"/>
      <c r="C424" s="193"/>
      <c r="D424" s="193"/>
      <c r="E424" s="193"/>
      <c r="F424" s="193"/>
      <c r="G424" s="193"/>
      <c r="H424" s="193"/>
    </row>
    <row r="425" spans="1:8" ht="15.6">
      <c r="A425" s="193"/>
      <c r="B425" s="193"/>
      <c r="C425" s="193"/>
      <c r="D425" s="193"/>
      <c r="E425" s="193"/>
      <c r="F425" s="193"/>
      <c r="G425" s="193"/>
      <c r="H425" s="193"/>
    </row>
    <row r="426" spans="1:8" ht="15.6">
      <c r="A426" s="193"/>
      <c r="B426" s="193"/>
      <c r="C426" s="193"/>
      <c r="D426" s="193"/>
      <c r="E426" s="193"/>
      <c r="F426" s="193"/>
      <c r="G426" s="193"/>
      <c r="H426" s="193"/>
    </row>
    <row r="427" spans="1:8" ht="15.6">
      <c r="A427" s="193"/>
      <c r="B427" s="193"/>
      <c r="C427" s="193"/>
      <c r="D427" s="193"/>
      <c r="E427" s="193"/>
      <c r="F427" s="193"/>
      <c r="G427" s="193"/>
      <c r="H427" s="193"/>
    </row>
    <row r="428" spans="1:8" ht="15.6">
      <c r="A428" s="193"/>
      <c r="B428" s="193"/>
      <c r="C428" s="193"/>
      <c r="D428" s="193"/>
      <c r="E428" s="193"/>
      <c r="F428" s="193"/>
      <c r="G428" s="193"/>
      <c r="H428" s="193"/>
    </row>
    <row r="429" spans="1:8" ht="15.6">
      <c r="A429" s="193"/>
      <c r="B429" s="193"/>
      <c r="C429" s="193"/>
      <c r="D429" s="193"/>
      <c r="E429" s="193"/>
      <c r="F429" s="193"/>
      <c r="G429" s="193"/>
      <c r="H429" s="193"/>
    </row>
    <row r="430" spans="1:8" ht="15.6">
      <c r="A430" s="193"/>
      <c r="B430" s="193"/>
      <c r="C430" s="193"/>
      <c r="D430" s="193"/>
      <c r="E430" s="193"/>
      <c r="F430" s="193"/>
      <c r="G430" s="193"/>
      <c r="H430" s="193"/>
    </row>
    <row r="431" spans="1:8" ht="15.6">
      <c r="A431" s="193"/>
      <c r="B431" s="193"/>
      <c r="C431" s="193"/>
      <c r="D431" s="193"/>
      <c r="E431" s="193"/>
      <c r="F431" s="193"/>
      <c r="G431" s="193"/>
      <c r="H431" s="193"/>
    </row>
    <row r="432" spans="1:8" ht="15.6">
      <c r="A432" s="193"/>
      <c r="B432" s="193"/>
      <c r="C432" s="193"/>
      <c r="D432" s="193"/>
      <c r="E432" s="193"/>
      <c r="F432" s="193"/>
      <c r="G432" s="193"/>
      <c r="H432" s="193"/>
    </row>
    <row r="433" spans="1:8" ht="15.6">
      <c r="A433" s="193"/>
      <c r="B433" s="193"/>
      <c r="C433" s="193"/>
      <c r="D433" s="193"/>
      <c r="E433" s="193"/>
      <c r="F433" s="193"/>
      <c r="G433" s="193"/>
      <c r="H433" s="193"/>
    </row>
    <row r="434" spans="1:8" ht="15.6">
      <c r="A434" s="193"/>
      <c r="B434" s="193"/>
      <c r="C434" s="193"/>
      <c r="D434" s="193"/>
      <c r="E434" s="193"/>
      <c r="F434" s="193"/>
      <c r="G434" s="193"/>
      <c r="H434" s="193"/>
    </row>
    <row r="435" spans="1:8" ht="15.6">
      <c r="A435" s="193"/>
      <c r="B435" s="193"/>
      <c r="C435" s="193"/>
      <c r="D435" s="193"/>
      <c r="E435" s="193"/>
      <c r="F435" s="193"/>
      <c r="G435" s="193"/>
      <c r="H435" s="193"/>
    </row>
    <row r="436" spans="1:8" ht="15.6">
      <c r="A436" s="193"/>
      <c r="B436" s="193"/>
      <c r="C436" s="193"/>
      <c r="D436" s="193"/>
      <c r="E436" s="193"/>
      <c r="F436" s="193"/>
      <c r="G436" s="193"/>
      <c r="H436" s="193"/>
    </row>
    <row r="437" spans="1:8" ht="15.6">
      <c r="A437" s="193"/>
      <c r="B437" s="193"/>
      <c r="C437" s="193"/>
      <c r="D437" s="193"/>
      <c r="E437" s="193"/>
      <c r="F437" s="193"/>
      <c r="G437" s="193"/>
      <c r="H437" s="193"/>
    </row>
    <row r="438" spans="1:8" ht="15.6">
      <c r="A438" s="193"/>
      <c r="B438" s="193"/>
      <c r="C438" s="193"/>
      <c r="D438" s="193"/>
      <c r="E438" s="193"/>
      <c r="F438" s="193"/>
      <c r="G438" s="193"/>
      <c r="H438" s="193"/>
    </row>
    <row r="439" spans="1:8" ht="15.6">
      <c r="A439" s="193"/>
      <c r="B439" s="193"/>
      <c r="C439" s="193"/>
      <c r="D439" s="193"/>
      <c r="E439" s="193"/>
      <c r="F439" s="193"/>
      <c r="G439" s="193"/>
      <c r="H439" s="193"/>
    </row>
    <row r="440" spans="1:8" ht="15.6">
      <c r="A440" s="193"/>
      <c r="B440" s="193"/>
      <c r="C440" s="193"/>
      <c r="D440" s="193"/>
      <c r="E440" s="193"/>
      <c r="F440" s="193"/>
      <c r="G440" s="193"/>
      <c r="H440" s="193"/>
    </row>
    <row r="441" spans="1:8" ht="15.6">
      <c r="A441" s="193"/>
      <c r="B441" s="193"/>
      <c r="C441" s="193"/>
      <c r="D441" s="193"/>
      <c r="E441" s="193"/>
      <c r="F441" s="193"/>
      <c r="G441" s="193"/>
      <c r="H441" s="193"/>
    </row>
    <row r="442" spans="1:8" ht="15.6">
      <c r="A442" s="193"/>
      <c r="B442" s="193"/>
      <c r="C442" s="193"/>
      <c r="D442" s="193"/>
      <c r="E442" s="193"/>
      <c r="F442" s="193"/>
      <c r="G442" s="193"/>
      <c r="H442" s="193"/>
    </row>
    <row r="443" spans="1:8" ht="15.6">
      <c r="A443" s="193"/>
      <c r="B443" s="193"/>
      <c r="C443" s="193"/>
      <c r="D443" s="193"/>
      <c r="E443" s="193"/>
      <c r="F443" s="193"/>
      <c r="G443" s="193"/>
      <c r="H443" s="193"/>
    </row>
    <row r="444" spans="1:8" ht="15.6">
      <c r="A444" s="193"/>
      <c r="B444" s="193"/>
      <c r="C444" s="193"/>
      <c r="D444" s="193"/>
      <c r="E444" s="193"/>
      <c r="F444" s="193"/>
      <c r="G444" s="193"/>
      <c r="H444" s="193"/>
    </row>
    <row r="445" spans="1:8" ht="15.6">
      <c r="A445" s="193"/>
      <c r="B445" s="193"/>
      <c r="C445" s="193"/>
      <c r="D445" s="193"/>
      <c r="E445" s="193"/>
      <c r="F445" s="193"/>
      <c r="G445" s="193"/>
      <c r="H445" s="193"/>
    </row>
    <row r="446" spans="1:8" ht="15.6">
      <c r="A446" s="193"/>
      <c r="B446" s="193"/>
      <c r="C446" s="193"/>
      <c r="D446" s="193"/>
      <c r="E446" s="193"/>
      <c r="F446" s="193"/>
      <c r="G446" s="193"/>
      <c r="H446" s="193"/>
    </row>
    <row r="447" spans="1:8" ht="15.6">
      <c r="A447" s="193"/>
      <c r="B447" s="193"/>
      <c r="C447" s="193"/>
      <c r="D447" s="193"/>
      <c r="E447" s="193"/>
      <c r="F447" s="193"/>
      <c r="G447" s="193"/>
      <c r="H447" s="193"/>
    </row>
    <row r="448" spans="1:8" ht="15.6">
      <c r="A448" s="193"/>
      <c r="B448" s="193"/>
      <c r="C448" s="193"/>
      <c r="D448" s="193"/>
      <c r="E448" s="193"/>
      <c r="F448" s="193"/>
      <c r="G448" s="193"/>
      <c r="H448" s="193"/>
    </row>
    <row r="449" spans="1:8" ht="15.6">
      <c r="A449" s="193"/>
      <c r="B449" s="193"/>
      <c r="C449" s="193"/>
      <c r="D449" s="193"/>
      <c r="E449" s="193"/>
      <c r="F449" s="193"/>
      <c r="G449" s="193"/>
      <c r="H449" s="193"/>
    </row>
    <row r="450" spans="1:8" ht="15.6">
      <c r="A450" s="193"/>
      <c r="B450" s="193"/>
      <c r="C450" s="193"/>
      <c r="D450" s="193"/>
      <c r="E450" s="193"/>
      <c r="F450" s="193"/>
      <c r="G450" s="193"/>
      <c r="H450" s="193"/>
    </row>
    <row r="451" spans="1:8" ht="15.6">
      <c r="A451" s="193"/>
      <c r="B451" s="193"/>
      <c r="C451" s="193"/>
      <c r="D451" s="193"/>
      <c r="E451" s="193"/>
      <c r="F451" s="193"/>
      <c r="G451" s="193"/>
      <c r="H451" s="193"/>
    </row>
    <row r="452" spans="1:8" ht="15.6">
      <c r="A452" s="193"/>
      <c r="B452" s="193"/>
      <c r="C452" s="193"/>
      <c r="D452" s="193"/>
      <c r="E452" s="193"/>
      <c r="F452" s="193"/>
      <c r="G452" s="193"/>
      <c r="H452" s="193"/>
    </row>
    <row r="453" spans="1:8" ht="15.6">
      <c r="A453" s="193"/>
      <c r="B453" s="193"/>
      <c r="C453" s="193"/>
      <c r="D453" s="193"/>
      <c r="E453" s="193"/>
      <c r="F453" s="193"/>
      <c r="G453" s="193"/>
      <c r="H453" s="193"/>
    </row>
    <row r="454" spans="1:8" ht="15.6">
      <c r="A454" s="193"/>
      <c r="B454" s="193"/>
      <c r="C454" s="193"/>
      <c r="D454" s="193"/>
      <c r="E454" s="193"/>
      <c r="F454" s="193"/>
      <c r="G454" s="193"/>
      <c r="H454" s="193"/>
    </row>
    <row r="455" spans="1:8" ht="15.6">
      <c r="A455" s="193"/>
      <c r="B455" s="193"/>
      <c r="C455" s="193"/>
      <c r="D455" s="193"/>
      <c r="E455" s="193"/>
      <c r="F455" s="193"/>
      <c r="G455" s="193"/>
      <c r="H455" s="193"/>
    </row>
    <row r="456" spans="1:8" ht="15.6">
      <c r="A456" s="193"/>
      <c r="B456" s="193"/>
      <c r="C456" s="193"/>
      <c r="D456" s="193"/>
      <c r="E456" s="193"/>
      <c r="F456" s="193"/>
      <c r="G456" s="193"/>
      <c r="H456" s="193"/>
    </row>
    <row r="457" spans="1:8" ht="15.6">
      <c r="A457" s="193"/>
      <c r="B457" s="193"/>
      <c r="C457" s="193"/>
      <c r="D457" s="193"/>
      <c r="E457" s="193"/>
      <c r="F457" s="193"/>
      <c r="G457" s="193"/>
      <c r="H457" s="193"/>
    </row>
    <row r="458" spans="1:8" ht="15.6">
      <c r="A458" s="193"/>
      <c r="B458" s="193"/>
      <c r="C458" s="193"/>
      <c r="D458" s="193"/>
      <c r="E458" s="193"/>
      <c r="F458" s="193"/>
      <c r="G458" s="193"/>
      <c r="H458" s="193"/>
    </row>
    <row r="459" spans="1:8" ht="15.6">
      <c r="A459" s="193"/>
      <c r="B459" s="193"/>
      <c r="C459" s="193"/>
      <c r="D459" s="193"/>
      <c r="E459" s="193"/>
      <c r="F459" s="193"/>
      <c r="G459" s="193"/>
      <c r="H459" s="193"/>
    </row>
    <row r="460" spans="1:8" ht="15.6">
      <c r="A460" s="193"/>
      <c r="B460" s="193"/>
      <c r="C460" s="193"/>
      <c r="D460" s="193"/>
      <c r="E460" s="193"/>
      <c r="F460" s="193"/>
      <c r="G460" s="193"/>
      <c r="H460" s="193"/>
    </row>
    <row r="461" spans="1:8" ht="15.6">
      <c r="A461" s="193"/>
      <c r="B461" s="193"/>
      <c r="C461" s="193"/>
      <c r="D461" s="193"/>
      <c r="E461" s="193"/>
      <c r="F461" s="193"/>
      <c r="G461" s="193"/>
      <c r="H461" s="193"/>
    </row>
    <row r="462" spans="1:8" ht="15.6">
      <c r="A462" s="193"/>
      <c r="B462" s="193"/>
      <c r="C462" s="193"/>
      <c r="D462" s="193"/>
      <c r="E462" s="193"/>
      <c r="F462" s="193"/>
      <c r="G462" s="193"/>
      <c r="H462" s="193"/>
    </row>
    <row r="463" spans="1:8" ht="15.6">
      <c r="A463" s="193"/>
      <c r="B463" s="193"/>
      <c r="C463" s="193"/>
      <c r="D463" s="193"/>
      <c r="E463" s="193"/>
      <c r="F463" s="193"/>
      <c r="G463" s="193"/>
      <c r="H463" s="193"/>
    </row>
    <row r="464" spans="1:8" ht="15.6">
      <c r="A464" s="193"/>
      <c r="B464" s="193"/>
      <c r="C464" s="193"/>
      <c r="D464" s="193"/>
      <c r="E464" s="193"/>
      <c r="F464" s="193"/>
      <c r="G464" s="193"/>
      <c r="H464" s="193"/>
    </row>
    <row r="465" spans="1:8" ht="15.6">
      <c r="A465" s="193"/>
      <c r="B465" s="193"/>
      <c r="C465" s="193"/>
      <c r="D465" s="193"/>
      <c r="E465" s="193"/>
      <c r="F465" s="193"/>
      <c r="G465" s="193"/>
      <c r="H465" s="193"/>
    </row>
    <row r="466" spans="1:8" ht="15.6">
      <c r="A466" s="193"/>
      <c r="B466" s="193"/>
      <c r="C466" s="193"/>
      <c r="D466" s="193"/>
      <c r="E466" s="193"/>
      <c r="F466" s="193"/>
      <c r="G466" s="193"/>
      <c r="H466" s="193"/>
    </row>
    <row r="467" spans="1:8" ht="15.6">
      <c r="A467" s="193"/>
      <c r="B467" s="193"/>
      <c r="C467" s="193"/>
      <c r="D467" s="193"/>
      <c r="E467" s="193"/>
      <c r="F467" s="193"/>
      <c r="G467" s="193"/>
      <c r="H467" s="193"/>
    </row>
    <row r="468" spans="1:8" ht="15.6">
      <c r="A468" s="193"/>
      <c r="B468" s="193"/>
      <c r="C468" s="193"/>
      <c r="D468" s="193"/>
      <c r="E468" s="193"/>
      <c r="F468" s="193"/>
      <c r="G468" s="193"/>
      <c r="H468" s="193"/>
    </row>
    <row r="469" spans="1:8" ht="15.6">
      <c r="A469" s="193"/>
      <c r="B469" s="193"/>
      <c r="C469" s="193"/>
      <c r="D469" s="193"/>
      <c r="E469" s="193"/>
      <c r="F469" s="193"/>
      <c r="G469" s="193"/>
      <c r="H469" s="193"/>
    </row>
    <row r="470" spans="1:8" ht="15.6">
      <c r="A470" s="193"/>
      <c r="B470" s="193"/>
      <c r="C470" s="193"/>
      <c r="D470" s="193"/>
      <c r="E470" s="193"/>
      <c r="F470" s="193"/>
      <c r="G470" s="193"/>
      <c r="H470" s="193"/>
    </row>
    <row r="471" spans="1:8" ht="15.6">
      <c r="A471" s="193"/>
      <c r="B471" s="193"/>
      <c r="C471" s="193"/>
      <c r="D471" s="193"/>
      <c r="E471" s="193"/>
      <c r="F471" s="193"/>
      <c r="G471" s="193"/>
      <c r="H471" s="193"/>
    </row>
    <row r="472" spans="1:8" ht="15.6">
      <c r="A472" s="193"/>
      <c r="B472" s="193"/>
      <c r="C472" s="193"/>
      <c r="D472" s="193"/>
      <c r="E472" s="193"/>
      <c r="F472" s="193"/>
      <c r="G472" s="193"/>
      <c r="H472" s="193"/>
    </row>
    <row r="473" spans="1:8" ht="15.6">
      <c r="A473" s="193"/>
      <c r="B473" s="193"/>
      <c r="C473" s="193"/>
      <c r="D473" s="193"/>
      <c r="E473" s="193"/>
      <c r="F473" s="193"/>
      <c r="G473" s="193"/>
      <c r="H473" s="193"/>
    </row>
    <row r="474" spans="1:8" ht="15.6">
      <c r="A474" s="193"/>
      <c r="B474" s="193"/>
      <c r="C474" s="193"/>
      <c r="D474" s="193"/>
      <c r="E474" s="193"/>
      <c r="F474" s="193"/>
      <c r="G474" s="193"/>
      <c r="H474" s="193"/>
    </row>
    <row r="475" spans="1:8" ht="15.6">
      <c r="A475" s="193"/>
      <c r="B475" s="193"/>
      <c r="C475" s="193"/>
      <c r="D475" s="193"/>
      <c r="E475" s="193"/>
      <c r="F475" s="193"/>
      <c r="G475" s="193"/>
      <c r="H475" s="193"/>
    </row>
    <row r="476" spans="1:8" ht="15.6">
      <c r="A476" s="193"/>
      <c r="B476" s="193"/>
      <c r="C476" s="193"/>
      <c r="D476" s="193"/>
      <c r="E476" s="193"/>
      <c r="F476" s="193"/>
      <c r="G476" s="193"/>
      <c r="H476" s="193"/>
    </row>
    <row r="477" spans="1:8" ht="15.6">
      <c r="A477" s="193"/>
      <c r="B477" s="193"/>
      <c r="C477" s="193"/>
      <c r="D477" s="193"/>
      <c r="E477" s="193"/>
      <c r="F477" s="193"/>
      <c r="G477" s="193"/>
      <c r="H477" s="193"/>
    </row>
    <row r="478" spans="1:8" ht="15.6">
      <c r="A478" s="193"/>
      <c r="B478" s="193"/>
      <c r="C478" s="193"/>
      <c r="D478" s="193"/>
      <c r="E478" s="193"/>
      <c r="F478" s="193"/>
      <c r="G478" s="193"/>
      <c r="H478" s="193"/>
    </row>
    <row r="479" spans="1:8" ht="15.6">
      <c r="A479" s="193"/>
      <c r="B479" s="193"/>
      <c r="C479" s="193"/>
      <c r="D479" s="193"/>
      <c r="E479" s="193"/>
      <c r="F479" s="193"/>
      <c r="G479" s="193"/>
      <c r="H479" s="193"/>
    </row>
    <row r="480" spans="1:8" ht="15.6">
      <c r="A480" s="193"/>
      <c r="B480" s="193"/>
      <c r="C480" s="193"/>
      <c r="D480" s="193"/>
      <c r="E480" s="193"/>
      <c r="F480" s="193"/>
      <c r="G480" s="193"/>
      <c r="H480" s="193"/>
    </row>
    <row r="481" spans="1:8" ht="15.6">
      <c r="A481" s="193"/>
      <c r="B481" s="193"/>
      <c r="C481" s="193"/>
      <c r="D481" s="193"/>
      <c r="E481" s="193"/>
      <c r="F481" s="193"/>
      <c r="G481" s="193"/>
      <c r="H481" s="193"/>
    </row>
    <row r="482" spans="1:8" ht="15.6">
      <c r="A482" s="193"/>
      <c r="B482" s="193"/>
      <c r="C482" s="193"/>
      <c r="D482" s="193"/>
      <c r="E482" s="193"/>
      <c r="F482" s="193"/>
      <c r="G482" s="193"/>
      <c r="H482" s="193"/>
    </row>
    <row r="483" spans="1:8" ht="15.6">
      <c r="A483" s="193"/>
      <c r="B483" s="193"/>
      <c r="C483" s="193"/>
      <c r="D483" s="193"/>
      <c r="E483" s="193"/>
      <c r="F483" s="193"/>
      <c r="G483" s="193"/>
      <c r="H483" s="193"/>
    </row>
    <row r="484" spans="1:8" ht="15.6">
      <c r="A484" s="193"/>
      <c r="B484" s="193"/>
      <c r="C484" s="193"/>
      <c r="D484" s="193"/>
      <c r="E484" s="193"/>
      <c r="F484" s="193"/>
      <c r="G484" s="193"/>
      <c r="H484" s="193"/>
    </row>
    <row r="485" spans="1:8" ht="15.6">
      <c r="A485" s="193"/>
      <c r="B485" s="193"/>
      <c r="C485" s="193"/>
      <c r="D485" s="193"/>
      <c r="E485" s="193"/>
      <c r="F485" s="193"/>
      <c r="G485" s="193"/>
      <c r="H485" s="193"/>
    </row>
    <row r="486" spans="1:8" ht="15.6">
      <c r="A486" s="193"/>
      <c r="B486" s="193"/>
      <c r="C486" s="193"/>
      <c r="D486" s="193"/>
      <c r="E486" s="193"/>
      <c r="F486" s="193"/>
      <c r="G486" s="193"/>
      <c r="H486" s="193"/>
    </row>
    <row r="487" spans="1:8" ht="15.6">
      <c r="A487" s="193"/>
      <c r="B487" s="193"/>
      <c r="C487" s="193"/>
      <c r="D487" s="193"/>
      <c r="E487" s="193"/>
      <c r="F487" s="193"/>
      <c r="G487" s="193"/>
      <c r="H487" s="193"/>
    </row>
    <row r="488" spans="1:8" ht="15.6">
      <c r="A488" s="193"/>
      <c r="B488" s="193"/>
      <c r="C488" s="193"/>
      <c r="D488" s="193"/>
      <c r="E488" s="193"/>
      <c r="F488" s="193"/>
      <c r="G488" s="193"/>
      <c r="H488" s="193"/>
    </row>
    <row r="489" spans="1:8" ht="15.6">
      <c r="A489" s="193"/>
      <c r="B489" s="193"/>
      <c r="C489" s="193"/>
      <c r="D489" s="193"/>
      <c r="E489" s="193"/>
      <c r="F489" s="193"/>
      <c r="G489" s="193"/>
      <c r="H489" s="193"/>
    </row>
    <row r="490" spans="1:8" ht="15.6">
      <c r="A490" s="193"/>
      <c r="B490" s="193"/>
      <c r="C490" s="193"/>
      <c r="D490" s="193"/>
      <c r="E490" s="193"/>
      <c r="F490" s="193"/>
      <c r="G490" s="193"/>
      <c r="H490" s="193"/>
    </row>
    <row r="491" spans="1:8" ht="15.6">
      <c r="A491" s="193"/>
      <c r="B491" s="193"/>
      <c r="C491" s="193"/>
      <c r="D491" s="193"/>
      <c r="E491" s="193"/>
      <c r="F491" s="193"/>
      <c r="G491" s="193"/>
      <c r="H491" s="193"/>
    </row>
    <row r="492" spans="1:8" ht="15.6">
      <c r="A492" s="193"/>
      <c r="B492" s="193"/>
      <c r="C492" s="193"/>
      <c r="D492" s="193"/>
      <c r="E492" s="193"/>
      <c r="F492" s="193"/>
      <c r="G492" s="193"/>
      <c r="H492" s="193"/>
    </row>
    <row r="493" spans="1:8" ht="15.6">
      <c r="A493" s="193"/>
      <c r="B493" s="193"/>
      <c r="C493" s="193"/>
      <c r="D493" s="193"/>
      <c r="E493" s="193"/>
      <c r="F493" s="193"/>
      <c r="G493" s="193"/>
      <c r="H493" s="193"/>
    </row>
    <row r="494" spans="1:8" ht="15.6">
      <c r="A494" s="193"/>
      <c r="B494" s="193"/>
      <c r="C494" s="193"/>
      <c r="D494" s="193"/>
      <c r="E494" s="193"/>
      <c r="F494" s="193"/>
      <c r="G494" s="193"/>
      <c r="H494" s="193"/>
    </row>
    <row r="495" spans="1:8" ht="15.6">
      <c r="A495" s="193"/>
      <c r="B495" s="193"/>
      <c r="C495" s="193"/>
      <c r="D495" s="193"/>
      <c r="E495" s="193"/>
      <c r="F495" s="193"/>
      <c r="G495" s="193"/>
      <c r="H495" s="193"/>
    </row>
    <row r="496" spans="1:8" ht="15.6">
      <c r="A496" s="193"/>
      <c r="B496" s="193"/>
      <c r="C496" s="193"/>
      <c r="D496" s="193"/>
      <c r="E496" s="193"/>
      <c r="F496" s="193"/>
      <c r="G496" s="193"/>
      <c r="H496" s="193"/>
    </row>
    <row r="497" spans="1:8" ht="15.6">
      <c r="A497" s="193"/>
      <c r="B497" s="193"/>
      <c r="C497" s="193"/>
      <c r="D497" s="193"/>
      <c r="E497" s="193"/>
      <c r="F497" s="193"/>
      <c r="G497" s="193"/>
      <c r="H497" s="193"/>
    </row>
    <row r="498" spans="1:8" ht="15.6">
      <c r="A498" s="193"/>
      <c r="B498" s="193"/>
      <c r="C498" s="193"/>
      <c r="D498" s="193"/>
      <c r="E498" s="193"/>
      <c r="F498" s="193"/>
      <c r="G498" s="193"/>
      <c r="H498" s="193"/>
    </row>
    <row r="499" spans="1:8" ht="15.6">
      <c r="A499" s="193"/>
      <c r="B499" s="193"/>
      <c r="C499" s="193"/>
      <c r="D499" s="193"/>
      <c r="E499" s="193"/>
      <c r="F499" s="193"/>
      <c r="G499" s="193"/>
      <c r="H499" s="193"/>
    </row>
    <row r="500" spans="1:8" ht="15.6">
      <c r="A500" s="193"/>
      <c r="B500" s="193"/>
      <c r="C500" s="193"/>
      <c r="D500" s="193"/>
      <c r="E500" s="193"/>
      <c r="F500" s="193"/>
      <c r="G500" s="193"/>
      <c r="H500" s="193"/>
    </row>
    <row r="501" spans="1:8" ht="15.6">
      <c r="A501" s="193"/>
      <c r="B501" s="193"/>
      <c r="C501" s="193"/>
      <c r="D501" s="193"/>
      <c r="E501" s="193"/>
      <c r="F501" s="193"/>
      <c r="G501" s="193"/>
      <c r="H501" s="193"/>
    </row>
    <row r="502" spans="1:8" ht="15.6">
      <c r="A502" s="193"/>
      <c r="B502" s="193"/>
      <c r="C502" s="193"/>
      <c r="D502" s="193"/>
      <c r="E502" s="193"/>
      <c r="F502" s="193"/>
      <c r="G502" s="193"/>
      <c r="H502" s="193"/>
    </row>
    <row r="503" spans="1:8" ht="15.6">
      <c r="A503" s="193"/>
      <c r="B503" s="193"/>
      <c r="C503" s="193"/>
      <c r="D503" s="193"/>
      <c r="E503" s="193"/>
      <c r="F503" s="193"/>
      <c r="G503" s="193"/>
      <c r="H503" s="193"/>
    </row>
    <row r="504" spans="1:8" ht="15.6">
      <c r="A504" s="193"/>
      <c r="B504" s="193"/>
      <c r="C504" s="193"/>
      <c r="D504" s="193"/>
      <c r="E504" s="193"/>
      <c r="F504" s="193"/>
      <c r="G504" s="193"/>
      <c r="H504" s="193"/>
    </row>
    <row r="505" spans="1:8" ht="15.6">
      <c r="A505" s="193"/>
      <c r="B505" s="193"/>
      <c r="C505" s="193"/>
      <c r="D505" s="193"/>
      <c r="E505" s="193"/>
      <c r="F505" s="193"/>
      <c r="G505" s="193"/>
      <c r="H505" s="193"/>
    </row>
    <row r="506" spans="1:8" ht="15.6">
      <c r="A506" s="193"/>
      <c r="B506" s="193"/>
      <c r="C506" s="193"/>
      <c r="D506" s="193"/>
      <c r="E506" s="193"/>
      <c r="F506" s="193"/>
      <c r="G506" s="193"/>
      <c r="H506" s="193"/>
    </row>
    <row r="507" spans="1:8" ht="15.6">
      <c r="A507" s="193"/>
      <c r="B507" s="193"/>
      <c r="C507" s="193"/>
      <c r="D507" s="193"/>
      <c r="E507" s="193"/>
      <c r="F507" s="193"/>
      <c r="G507" s="193"/>
      <c r="H507" s="193"/>
    </row>
    <row r="508" spans="1:8" ht="15.6">
      <c r="A508" s="193"/>
      <c r="B508" s="193"/>
      <c r="C508" s="193"/>
      <c r="D508" s="193"/>
      <c r="E508" s="193"/>
      <c r="F508" s="193"/>
      <c r="G508" s="193"/>
      <c r="H508" s="193"/>
    </row>
    <row r="509" spans="1:8" ht="15.6">
      <c r="A509" s="193"/>
      <c r="B509" s="193"/>
      <c r="C509" s="193"/>
      <c r="D509" s="193"/>
      <c r="E509" s="193"/>
      <c r="F509" s="193"/>
      <c r="G509" s="193"/>
      <c r="H509" s="193"/>
    </row>
    <row r="510" spans="1:8" ht="15.6">
      <c r="A510" s="193"/>
      <c r="B510" s="193"/>
      <c r="C510" s="193"/>
      <c r="D510" s="193"/>
      <c r="E510" s="193"/>
      <c r="F510" s="193"/>
      <c r="G510" s="193"/>
      <c r="H510" s="193"/>
    </row>
    <row r="511" spans="1:8" ht="15.6">
      <c r="A511" s="193"/>
      <c r="B511" s="193"/>
      <c r="C511" s="193"/>
      <c r="D511" s="193"/>
      <c r="E511" s="193"/>
      <c r="F511" s="193"/>
      <c r="G511" s="193"/>
      <c r="H511" s="193"/>
    </row>
    <row r="512" spans="1:8" ht="15.6">
      <c r="A512" s="193"/>
      <c r="B512" s="193"/>
      <c r="C512" s="193"/>
      <c r="D512" s="193"/>
      <c r="E512" s="193"/>
      <c r="F512" s="193"/>
      <c r="G512" s="193"/>
      <c r="H512" s="193"/>
    </row>
    <row r="513" spans="1:8" ht="15.6">
      <c r="A513" s="193"/>
      <c r="B513" s="193"/>
      <c r="C513" s="193"/>
      <c r="D513" s="193"/>
      <c r="E513" s="193"/>
      <c r="F513" s="193"/>
      <c r="G513" s="193"/>
      <c r="H513" s="193"/>
    </row>
    <row r="514" spans="1:8" ht="15.6">
      <c r="A514" s="193"/>
      <c r="B514" s="193"/>
      <c r="C514" s="193"/>
      <c r="D514" s="193"/>
      <c r="E514" s="193"/>
      <c r="F514" s="193"/>
      <c r="G514" s="193"/>
      <c r="H514" s="193"/>
    </row>
    <row r="515" spans="1:8" ht="15.6">
      <c r="A515" s="193"/>
      <c r="B515" s="193"/>
      <c r="C515" s="193"/>
      <c r="D515" s="193"/>
      <c r="E515" s="193"/>
      <c r="F515" s="193"/>
      <c r="G515" s="193"/>
      <c r="H515" s="193"/>
    </row>
    <row r="516" spans="1:8" ht="15.6">
      <c r="A516" s="193"/>
      <c r="B516" s="193"/>
      <c r="C516" s="193"/>
      <c r="D516" s="193"/>
      <c r="E516" s="193"/>
      <c r="F516" s="193"/>
      <c r="G516" s="193"/>
      <c r="H516" s="193"/>
    </row>
    <row r="517" spans="1:8" ht="15.6">
      <c r="A517" s="193"/>
      <c r="B517" s="193"/>
      <c r="C517" s="193"/>
      <c r="D517" s="193"/>
      <c r="E517" s="193"/>
      <c r="F517" s="193"/>
      <c r="G517" s="193"/>
      <c r="H517" s="193"/>
    </row>
    <row r="518" spans="1:8" ht="15.6">
      <c r="A518" s="193"/>
      <c r="B518" s="193"/>
      <c r="C518" s="193"/>
      <c r="D518" s="193"/>
      <c r="E518" s="193"/>
      <c r="F518" s="193"/>
      <c r="G518" s="193"/>
      <c r="H518" s="193"/>
    </row>
    <row r="519" spans="1:8" ht="15.6">
      <c r="A519" s="193"/>
      <c r="B519" s="193"/>
      <c r="C519" s="193"/>
      <c r="D519" s="193"/>
      <c r="E519" s="193"/>
      <c r="F519" s="193"/>
      <c r="G519" s="193"/>
      <c r="H519" s="193"/>
    </row>
    <row r="520" spans="1:8" ht="15.6">
      <c r="A520" s="193"/>
      <c r="B520" s="193"/>
      <c r="C520" s="193"/>
      <c r="D520" s="193"/>
      <c r="E520" s="193"/>
      <c r="F520" s="193"/>
      <c r="G520" s="193"/>
      <c r="H520" s="193"/>
    </row>
    <row r="521" spans="1:8" ht="15.6">
      <c r="A521" s="193"/>
      <c r="B521" s="193"/>
      <c r="C521" s="193"/>
      <c r="D521" s="193"/>
      <c r="E521" s="193"/>
      <c r="F521" s="193"/>
      <c r="G521" s="193"/>
      <c r="H521" s="193"/>
    </row>
    <row r="522" spans="1:8" ht="15.6">
      <c r="A522" s="193"/>
      <c r="B522" s="193"/>
      <c r="C522" s="193"/>
      <c r="D522" s="193"/>
      <c r="E522" s="193"/>
      <c r="F522" s="193"/>
      <c r="G522" s="193"/>
      <c r="H522" s="193"/>
    </row>
    <row r="523" spans="1:8" ht="15.6">
      <c r="A523" s="193"/>
      <c r="B523" s="193"/>
      <c r="C523" s="193"/>
      <c r="D523" s="193"/>
      <c r="E523" s="193"/>
      <c r="F523" s="193"/>
      <c r="G523" s="193"/>
      <c r="H523" s="193"/>
    </row>
    <row r="524" spans="1:8" ht="15.6">
      <c r="A524" s="193"/>
      <c r="B524" s="193"/>
      <c r="C524" s="193"/>
      <c r="D524" s="193"/>
      <c r="E524" s="193"/>
      <c r="F524" s="193"/>
      <c r="G524" s="193"/>
      <c r="H524" s="193"/>
    </row>
    <row r="525" spans="1:8" ht="15.6">
      <c r="A525" s="193"/>
      <c r="B525" s="193"/>
      <c r="C525" s="193"/>
      <c r="D525" s="193"/>
      <c r="E525" s="193"/>
      <c r="F525" s="193"/>
      <c r="G525" s="193"/>
      <c r="H525" s="193"/>
    </row>
    <row r="526" spans="1:8" ht="15.6">
      <c r="A526" s="193"/>
      <c r="B526" s="193"/>
      <c r="C526" s="193"/>
      <c r="D526" s="193"/>
      <c r="E526" s="193"/>
      <c r="F526" s="193"/>
      <c r="G526" s="193"/>
      <c r="H526" s="193"/>
    </row>
    <row r="527" spans="1:8" ht="15.6">
      <c r="A527" s="193"/>
      <c r="B527" s="193"/>
      <c r="C527" s="193"/>
      <c r="D527" s="193"/>
      <c r="E527" s="193"/>
      <c r="F527" s="193"/>
      <c r="G527" s="193"/>
      <c r="H527" s="193"/>
    </row>
    <row r="528" spans="1:8" ht="15.6">
      <c r="A528" s="193"/>
      <c r="B528" s="193"/>
      <c r="C528" s="193"/>
      <c r="D528" s="193"/>
      <c r="E528" s="193"/>
      <c r="F528" s="193"/>
      <c r="G528" s="193"/>
      <c r="H528" s="193"/>
    </row>
    <row r="529" spans="1:8" ht="15.6">
      <c r="A529" s="193"/>
      <c r="B529" s="193"/>
      <c r="C529" s="193"/>
      <c r="D529" s="193"/>
      <c r="E529" s="193"/>
      <c r="F529" s="193"/>
      <c r="G529" s="193"/>
      <c r="H529" s="193"/>
    </row>
    <row r="530" spans="1:8" ht="15.6">
      <c r="A530" s="193"/>
      <c r="B530" s="193"/>
      <c r="C530" s="193"/>
      <c r="D530" s="193"/>
      <c r="E530" s="193"/>
      <c r="F530" s="193"/>
      <c r="G530" s="193"/>
      <c r="H530" s="193"/>
    </row>
    <row r="531" spans="1:8" ht="15.6">
      <c r="A531" s="193"/>
      <c r="B531" s="193"/>
      <c r="C531" s="193"/>
      <c r="D531" s="193"/>
      <c r="E531" s="193"/>
      <c r="F531" s="193"/>
      <c r="G531" s="193"/>
      <c r="H531" s="193"/>
    </row>
    <row r="532" spans="1:8" ht="15.6">
      <c r="A532" s="193"/>
      <c r="B532" s="193"/>
      <c r="C532" s="193"/>
      <c r="D532" s="193"/>
      <c r="E532" s="193"/>
      <c r="F532" s="193"/>
      <c r="G532" s="193"/>
      <c r="H532" s="193"/>
    </row>
    <row r="533" spans="1:8" ht="15.6">
      <c r="A533" s="193"/>
      <c r="B533" s="193"/>
      <c r="C533" s="193"/>
      <c r="D533" s="193"/>
      <c r="E533" s="193"/>
      <c r="F533" s="193"/>
      <c r="G533" s="193"/>
      <c r="H533" s="193"/>
    </row>
    <row r="534" spans="1:8" ht="15.6">
      <c r="A534" s="193"/>
      <c r="B534" s="193"/>
      <c r="C534" s="193"/>
      <c r="D534" s="193"/>
      <c r="E534" s="193"/>
      <c r="F534" s="193"/>
      <c r="G534" s="193"/>
      <c r="H534" s="193"/>
    </row>
    <row r="535" spans="1:8" ht="15.6">
      <c r="A535" s="193"/>
      <c r="B535" s="193"/>
      <c r="C535" s="193"/>
      <c r="D535" s="193"/>
      <c r="E535" s="193"/>
      <c r="F535" s="193"/>
      <c r="G535" s="193"/>
      <c r="H535" s="193"/>
    </row>
    <row r="536" spans="1:8" ht="15.6">
      <c r="A536" s="193"/>
      <c r="B536" s="193"/>
      <c r="C536" s="193"/>
      <c r="D536" s="193"/>
      <c r="E536" s="193"/>
      <c r="F536" s="193"/>
      <c r="G536" s="193"/>
      <c r="H536" s="193"/>
    </row>
    <row r="537" spans="1:8" ht="15.6">
      <c r="A537" s="193"/>
      <c r="B537" s="193"/>
      <c r="C537" s="193"/>
      <c r="D537" s="193"/>
      <c r="E537" s="193"/>
      <c r="F537" s="193"/>
      <c r="G537" s="193"/>
      <c r="H537" s="193"/>
    </row>
    <row r="538" spans="1:8" ht="15.6">
      <c r="A538" s="193"/>
      <c r="B538" s="193"/>
      <c r="C538" s="193"/>
      <c r="D538" s="193"/>
      <c r="E538" s="193"/>
      <c r="F538" s="193"/>
      <c r="G538" s="193"/>
      <c r="H538" s="193"/>
    </row>
    <row r="539" spans="1:8" ht="15.6">
      <c r="A539" s="193"/>
      <c r="B539" s="193"/>
      <c r="C539" s="193"/>
      <c r="D539" s="193"/>
      <c r="E539" s="193"/>
      <c r="F539" s="193"/>
      <c r="G539" s="193"/>
      <c r="H539" s="193"/>
    </row>
    <row r="540" spans="1:8" ht="15.6">
      <c r="A540" s="193"/>
      <c r="B540" s="193"/>
      <c r="C540" s="193"/>
      <c r="D540" s="193"/>
      <c r="E540" s="193"/>
      <c r="F540" s="193"/>
      <c r="G540" s="193"/>
      <c r="H540" s="193"/>
    </row>
    <row r="541" spans="1:8" ht="15.6">
      <c r="A541" s="193"/>
      <c r="B541" s="193"/>
      <c r="C541" s="193"/>
      <c r="D541" s="193"/>
      <c r="E541" s="193"/>
      <c r="F541" s="193"/>
      <c r="G541" s="193"/>
      <c r="H541" s="193"/>
    </row>
    <row r="542" spans="1:8" ht="15.6">
      <c r="A542" s="193"/>
      <c r="B542" s="193"/>
      <c r="C542" s="193"/>
      <c r="D542" s="193"/>
      <c r="E542" s="193"/>
      <c r="F542" s="193"/>
      <c r="G542" s="193"/>
      <c r="H542" s="193"/>
    </row>
    <row r="543" spans="1:8" ht="15.6">
      <c r="A543" s="193"/>
      <c r="B543" s="193"/>
      <c r="C543" s="193"/>
      <c r="D543" s="193"/>
      <c r="E543" s="193"/>
      <c r="F543" s="193"/>
      <c r="G543" s="193"/>
      <c r="H543" s="193"/>
    </row>
    <row r="544" spans="1:8" ht="15.6">
      <c r="A544" s="193"/>
      <c r="B544" s="193"/>
      <c r="C544" s="193"/>
      <c r="D544" s="193"/>
      <c r="E544" s="193"/>
      <c r="F544" s="193"/>
      <c r="G544" s="193"/>
      <c r="H544" s="193"/>
    </row>
    <row r="545" spans="1:8" ht="15.6">
      <c r="A545" s="193"/>
      <c r="B545" s="193"/>
      <c r="C545" s="193"/>
      <c r="D545" s="193"/>
      <c r="E545" s="193"/>
      <c r="F545" s="193"/>
      <c r="G545" s="193"/>
      <c r="H545" s="193"/>
    </row>
    <row r="546" spans="1:8" ht="15.6">
      <c r="A546" s="193"/>
      <c r="B546" s="193"/>
      <c r="C546" s="193"/>
      <c r="D546" s="193"/>
      <c r="E546" s="193"/>
      <c r="F546" s="193"/>
      <c r="G546" s="193"/>
      <c r="H546" s="193"/>
    </row>
    <row r="547" spans="1:8" ht="15.6">
      <c r="A547" s="193"/>
      <c r="B547" s="193"/>
      <c r="C547" s="193"/>
      <c r="D547" s="193"/>
      <c r="E547" s="193"/>
      <c r="F547" s="193"/>
      <c r="G547" s="193"/>
      <c r="H547" s="193"/>
    </row>
    <row r="548" spans="1:8" ht="15.6">
      <c r="A548" s="193"/>
      <c r="B548" s="193"/>
      <c r="C548" s="193"/>
      <c r="D548" s="193"/>
      <c r="E548" s="193"/>
      <c r="F548" s="193"/>
      <c r="G548" s="193"/>
      <c r="H548" s="193"/>
    </row>
    <row r="549" spans="1:8" ht="15.6">
      <c r="A549" s="193"/>
      <c r="B549" s="193"/>
      <c r="C549" s="193"/>
      <c r="D549" s="193"/>
      <c r="E549" s="193"/>
      <c r="F549" s="193"/>
      <c r="G549" s="193"/>
      <c r="H549" s="193"/>
    </row>
    <row r="550" spans="1:8" ht="15.6">
      <c r="A550" s="193"/>
      <c r="B550" s="193"/>
      <c r="C550" s="193"/>
      <c r="D550" s="193"/>
      <c r="E550" s="193"/>
      <c r="F550" s="193"/>
      <c r="G550" s="193"/>
      <c r="H550" s="193"/>
    </row>
    <row r="551" spans="1:8" ht="15.6">
      <c r="A551" s="193"/>
      <c r="B551" s="193"/>
      <c r="C551" s="193"/>
      <c r="D551" s="193"/>
      <c r="E551" s="193"/>
      <c r="F551" s="193"/>
      <c r="G551" s="193"/>
      <c r="H551" s="193"/>
    </row>
    <row r="552" spans="1:8" ht="15.6">
      <c r="A552" s="193"/>
      <c r="B552" s="193"/>
      <c r="C552" s="193"/>
      <c r="D552" s="193"/>
      <c r="E552" s="193"/>
      <c r="F552" s="193"/>
      <c r="G552" s="193"/>
      <c r="H552" s="193"/>
    </row>
    <row r="553" spans="1:8" ht="15.6">
      <c r="A553" s="193"/>
      <c r="B553" s="193"/>
      <c r="C553" s="193"/>
      <c r="D553" s="193"/>
      <c r="E553" s="193"/>
      <c r="F553" s="193"/>
      <c r="G553" s="193"/>
      <c r="H553" s="193"/>
    </row>
    <row r="554" spans="1:8" ht="15.6">
      <c r="A554" s="193"/>
      <c r="B554" s="193"/>
      <c r="C554" s="193"/>
      <c r="D554" s="193"/>
      <c r="E554" s="193"/>
      <c r="F554" s="193"/>
      <c r="G554" s="193"/>
      <c r="H554" s="193"/>
    </row>
    <row r="555" spans="1:8" ht="15.6">
      <c r="A555" s="193"/>
      <c r="B555" s="193"/>
      <c r="C555" s="193"/>
      <c r="D555" s="193"/>
      <c r="E555" s="193"/>
      <c r="F555" s="193"/>
      <c r="G555" s="193"/>
      <c r="H555" s="193"/>
    </row>
    <row r="556" spans="1:8" ht="15.6">
      <c r="A556" s="193"/>
      <c r="B556" s="193"/>
      <c r="C556" s="193"/>
      <c r="D556" s="193"/>
      <c r="E556" s="193"/>
      <c r="F556" s="193"/>
      <c r="G556" s="193"/>
      <c r="H556" s="193"/>
    </row>
    <row r="557" spans="1:8" ht="15.6">
      <c r="A557" s="193"/>
      <c r="B557" s="193"/>
      <c r="C557" s="193"/>
      <c r="D557" s="193"/>
      <c r="E557" s="193"/>
      <c r="F557" s="193"/>
      <c r="G557" s="193"/>
      <c r="H557" s="193"/>
    </row>
    <row r="558" spans="1:8" ht="15.6">
      <c r="A558" s="193"/>
      <c r="B558" s="193"/>
      <c r="C558" s="193"/>
      <c r="D558" s="193"/>
      <c r="E558" s="193"/>
      <c r="F558" s="193"/>
      <c r="G558" s="193"/>
      <c r="H558" s="193"/>
    </row>
    <row r="559" spans="1:8" ht="15.6">
      <c r="A559" s="193"/>
      <c r="B559" s="193"/>
      <c r="C559" s="193"/>
      <c r="D559" s="193"/>
      <c r="E559" s="193"/>
      <c r="F559" s="193"/>
      <c r="G559" s="193"/>
      <c r="H559" s="193"/>
    </row>
    <row r="560" spans="1:8" ht="15.6">
      <c r="A560" s="193"/>
      <c r="B560" s="193"/>
      <c r="C560" s="193"/>
      <c r="D560" s="193"/>
      <c r="E560" s="193"/>
      <c r="F560" s="193"/>
      <c r="G560" s="193"/>
      <c r="H560" s="193"/>
    </row>
    <row r="561" spans="1:8" ht="15.6">
      <c r="A561" s="193"/>
      <c r="B561" s="193"/>
      <c r="C561" s="193"/>
      <c r="D561" s="193"/>
      <c r="E561" s="193"/>
      <c r="F561" s="193"/>
      <c r="G561" s="193"/>
      <c r="H561" s="193"/>
    </row>
    <row r="562" spans="1:8" ht="15.6">
      <c r="A562" s="193"/>
      <c r="B562" s="193"/>
      <c r="C562" s="193"/>
      <c r="D562" s="193"/>
      <c r="E562" s="193"/>
      <c r="F562" s="193"/>
      <c r="G562" s="193"/>
      <c r="H562" s="193"/>
    </row>
    <row r="563" spans="1:8" ht="15.6">
      <c r="A563" s="193"/>
      <c r="B563" s="193"/>
      <c r="C563" s="193"/>
      <c r="D563" s="193"/>
      <c r="E563" s="193"/>
      <c r="F563" s="193"/>
      <c r="G563" s="193"/>
      <c r="H563" s="193"/>
    </row>
    <row r="564" spans="1:8" ht="15.6">
      <c r="A564" s="193"/>
      <c r="B564" s="193"/>
      <c r="C564" s="193"/>
      <c r="D564" s="193"/>
      <c r="E564" s="193"/>
      <c r="F564" s="193"/>
      <c r="G564" s="193"/>
      <c r="H564" s="193"/>
    </row>
    <row r="565" spans="1:8" ht="15.6">
      <c r="A565" s="193"/>
      <c r="B565" s="193"/>
      <c r="C565" s="193"/>
      <c r="D565" s="193"/>
      <c r="E565" s="193"/>
      <c r="F565" s="193"/>
      <c r="G565" s="193"/>
      <c r="H565" s="193"/>
    </row>
    <row r="566" spans="1:8" ht="15.6">
      <c r="A566" s="193"/>
      <c r="B566" s="193"/>
      <c r="C566" s="193"/>
      <c r="D566" s="193"/>
      <c r="E566" s="193"/>
      <c r="F566" s="193"/>
      <c r="G566" s="193"/>
      <c r="H566" s="193"/>
    </row>
    <row r="567" spans="1:8" ht="15.6">
      <c r="A567" s="193"/>
      <c r="B567" s="193"/>
      <c r="C567" s="193"/>
      <c r="D567" s="193"/>
      <c r="E567" s="193"/>
      <c r="F567" s="193"/>
      <c r="G567" s="193"/>
      <c r="H567" s="193"/>
    </row>
    <row r="568" spans="1:8" ht="15.6">
      <c r="A568" s="193"/>
      <c r="B568" s="193"/>
      <c r="C568" s="193"/>
      <c r="D568" s="193"/>
      <c r="E568" s="193"/>
      <c r="F568" s="193"/>
      <c r="G568" s="193"/>
      <c r="H568" s="193"/>
    </row>
    <row r="569" spans="1:8" ht="15.6">
      <c r="A569" s="193"/>
      <c r="B569" s="193"/>
      <c r="C569" s="193"/>
      <c r="D569" s="193"/>
      <c r="E569" s="193"/>
      <c r="F569" s="193"/>
      <c r="G569" s="193"/>
      <c r="H569" s="193"/>
    </row>
    <row r="570" spans="1:8" ht="15.6">
      <c r="A570" s="193"/>
      <c r="B570" s="193"/>
      <c r="C570" s="193"/>
      <c r="D570" s="193"/>
      <c r="E570" s="193"/>
      <c r="F570" s="193"/>
      <c r="G570" s="193"/>
      <c r="H570" s="193"/>
    </row>
    <row r="571" spans="1:8" ht="15.6">
      <c r="A571" s="193"/>
      <c r="B571" s="193"/>
      <c r="C571" s="193"/>
      <c r="D571" s="193"/>
      <c r="E571" s="193"/>
      <c r="F571" s="193"/>
      <c r="G571" s="193"/>
      <c r="H571" s="193"/>
    </row>
    <row r="572" spans="1:8" ht="15.6">
      <c r="A572" s="193"/>
      <c r="B572" s="193"/>
      <c r="C572" s="193"/>
      <c r="D572" s="193"/>
      <c r="E572" s="193"/>
      <c r="F572" s="193"/>
      <c r="G572" s="193"/>
      <c r="H572" s="193"/>
    </row>
    <row r="573" spans="1:8" ht="15.6">
      <c r="A573" s="193"/>
      <c r="B573" s="193"/>
      <c r="C573" s="193"/>
      <c r="D573" s="193"/>
      <c r="E573" s="193"/>
      <c r="F573" s="193"/>
      <c r="G573" s="193"/>
      <c r="H573" s="193"/>
    </row>
    <row r="574" spans="1:8" ht="15.6">
      <c r="A574" s="193"/>
      <c r="B574" s="193"/>
      <c r="C574" s="193"/>
      <c r="D574" s="193"/>
      <c r="E574" s="193"/>
      <c r="F574" s="193"/>
      <c r="G574" s="193"/>
      <c r="H574" s="193"/>
    </row>
    <row r="575" spans="1:8" ht="15.6">
      <c r="A575" s="193"/>
      <c r="B575" s="193"/>
      <c r="C575" s="193"/>
      <c r="D575" s="193"/>
      <c r="E575" s="193"/>
      <c r="F575" s="193"/>
      <c r="G575" s="193"/>
      <c r="H575" s="193"/>
    </row>
    <row r="576" spans="1:8" ht="15.6">
      <c r="A576" s="193"/>
      <c r="B576" s="193"/>
      <c r="C576" s="193"/>
      <c r="D576" s="193"/>
      <c r="E576" s="193"/>
      <c r="F576" s="193"/>
      <c r="G576" s="193"/>
      <c r="H576" s="193"/>
    </row>
    <row r="577" spans="1:8" ht="15.6">
      <c r="A577" s="193"/>
      <c r="B577" s="193"/>
      <c r="C577" s="193"/>
      <c r="D577" s="193"/>
      <c r="E577" s="193"/>
      <c r="F577" s="193"/>
      <c r="G577" s="193"/>
      <c r="H577" s="193"/>
    </row>
    <row r="578" spans="1:8" ht="15.6">
      <c r="A578" s="193"/>
      <c r="B578" s="193"/>
      <c r="C578" s="193"/>
      <c r="D578" s="193"/>
      <c r="E578" s="193"/>
      <c r="F578" s="193"/>
      <c r="G578" s="193"/>
      <c r="H578" s="193"/>
    </row>
    <row r="579" spans="1:8" ht="15.6">
      <c r="A579" s="193"/>
      <c r="B579" s="193"/>
      <c r="C579" s="193"/>
      <c r="D579" s="193"/>
      <c r="E579" s="193"/>
      <c r="F579" s="193"/>
      <c r="G579" s="193"/>
      <c r="H579" s="193"/>
    </row>
    <row r="580" spans="1:8" ht="15.6">
      <c r="A580" s="193"/>
      <c r="B580" s="193"/>
      <c r="C580" s="193"/>
      <c r="D580" s="193"/>
      <c r="E580" s="193"/>
      <c r="F580" s="193"/>
      <c r="G580" s="193"/>
      <c r="H580" s="193"/>
    </row>
    <row r="581" spans="1:8" ht="15.6">
      <c r="A581" s="193"/>
      <c r="B581" s="193"/>
      <c r="C581" s="193"/>
      <c r="D581" s="193"/>
      <c r="E581" s="193"/>
      <c r="F581" s="193"/>
      <c r="G581" s="193"/>
      <c r="H581" s="193"/>
    </row>
    <row r="582" spans="1:8" ht="15.6">
      <c r="A582" s="193"/>
      <c r="B582" s="193"/>
      <c r="C582" s="193"/>
      <c r="D582" s="193"/>
      <c r="E582" s="193"/>
      <c r="F582" s="193"/>
      <c r="G582" s="193"/>
      <c r="H582" s="193"/>
    </row>
    <row r="583" spans="1:8" ht="15.6">
      <c r="A583" s="193"/>
      <c r="B583" s="193"/>
      <c r="C583" s="193"/>
      <c r="D583" s="193"/>
      <c r="E583" s="193"/>
      <c r="F583" s="193"/>
      <c r="G583" s="193"/>
      <c r="H583" s="193"/>
    </row>
    <row r="584" spans="1:8" ht="15.6">
      <c r="A584" s="193"/>
      <c r="B584" s="193"/>
      <c r="C584" s="193"/>
      <c r="D584" s="193"/>
      <c r="E584" s="193"/>
      <c r="F584" s="193"/>
      <c r="G584" s="193"/>
      <c r="H584" s="193"/>
    </row>
    <row r="585" spans="1:8" ht="15.6">
      <c r="A585" s="193"/>
      <c r="B585" s="193"/>
      <c r="C585" s="193"/>
      <c r="D585" s="193"/>
      <c r="E585" s="193"/>
      <c r="F585" s="193"/>
      <c r="G585" s="193"/>
      <c r="H585" s="193"/>
    </row>
    <row r="586" spans="1:8" ht="15.6">
      <c r="A586" s="193"/>
      <c r="B586" s="193"/>
      <c r="C586" s="193"/>
      <c r="D586" s="193"/>
      <c r="E586" s="193"/>
      <c r="F586" s="193"/>
      <c r="G586" s="193"/>
      <c r="H586" s="193"/>
    </row>
    <row r="587" spans="1:8" ht="15.6">
      <c r="A587" s="193"/>
      <c r="B587" s="193"/>
      <c r="C587" s="193"/>
      <c r="D587" s="193"/>
      <c r="E587" s="193"/>
      <c r="F587" s="193"/>
      <c r="G587" s="193"/>
      <c r="H587" s="193"/>
    </row>
    <row r="588" spans="1:8" ht="15.6">
      <c r="A588" s="193"/>
      <c r="B588" s="193"/>
      <c r="C588" s="193"/>
      <c r="D588" s="193"/>
      <c r="E588" s="193"/>
      <c r="F588" s="193"/>
      <c r="G588" s="193"/>
      <c r="H588" s="193"/>
    </row>
    <row r="589" spans="1:8" ht="15.6">
      <c r="A589" s="193"/>
      <c r="B589" s="193"/>
      <c r="C589" s="193"/>
      <c r="D589" s="193"/>
      <c r="E589" s="193"/>
      <c r="F589" s="193"/>
      <c r="G589" s="193"/>
      <c r="H589" s="193"/>
    </row>
    <row r="590" spans="1:8" ht="15.6">
      <c r="A590" s="193"/>
      <c r="B590" s="193"/>
      <c r="C590" s="193"/>
      <c r="D590" s="193"/>
      <c r="E590" s="193"/>
      <c r="F590" s="193"/>
      <c r="G590" s="193"/>
      <c r="H590" s="193"/>
    </row>
    <row r="591" spans="1:8" ht="15.6">
      <c r="A591" s="193"/>
      <c r="B591" s="193"/>
      <c r="C591" s="193"/>
      <c r="D591" s="193"/>
      <c r="E591" s="193"/>
      <c r="F591" s="193"/>
      <c r="G591" s="193"/>
      <c r="H591" s="193"/>
    </row>
    <row r="592" spans="1:8" ht="15.6">
      <c r="A592" s="193"/>
      <c r="B592" s="193"/>
      <c r="C592" s="193"/>
      <c r="D592" s="193"/>
      <c r="E592" s="193"/>
      <c r="F592" s="193"/>
      <c r="G592" s="193"/>
      <c r="H592" s="193"/>
    </row>
    <row r="593" spans="1:8" ht="15.6">
      <c r="A593" s="193"/>
      <c r="B593" s="193"/>
      <c r="C593" s="193"/>
      <c r="D593" s="193"/>
      <c r="E593" s="193"/>
      <c r="F593" s="193"/>
      <c r="G593" s="193"/>
      <c r="H593" s="193"/>
    </row>
    <row r="594" spans="1:8" ht="15.6">
      <c r="A594" s="193"/>
      <c r="B594" s="193"/>
      <c r="C594" s="193"/>
      <c r="D594" s="193"/>
      <c r="E594" s="193"/>
      <c r="F594" s="193"/>
      <c r="G594" s="193"/>
      <c r="H594" s="193"/>
    </row>
    <row r="595" spans="1:8" ht="15.6">
      <c r="A595" s="193"/>
      <c r="B595" s="193"/>
      <c r="C595" s="193"/>
      <c r="D595" s="193"/>
      <c r="E595" s="193"/>
      <c r="F595" s="193"/>
      <c r="G595" s="193"/>
      <c r="H595" s="193"/>
    </row>
    <row r="596" spans="1:8" ht="15.6">
      <c r="A596" s="193"/>
      <c r="B596" s="193"/>
      <c r="C596" s="193"/>
      <c r="D596" s="193"/>
      <c r="E596" s="193"/>
      <c r="F596" s="193"/>
      <c r="G596" s="193"/>
      <c r="H596" s="193"/>
    </row>
    <row r="597" spans="1:8" ht="15.6">
      <c r="A597" s="193"/>
      <c r="B597" s="193"/>
      <c r="C597" s="193"/>
      <c r="D597" s="193"/>
      <c r="E597" s="193"/>
      <c r="F597" s="193"/>
      <c r="G597" s="193"/>
      <c r="H597" s="193"/>
    </row>
    <row r="598" spans="1:8" ht="15.6">
      <c r="A598" s="193"/>
      <c r="B598" s="193"/>
      <c r="C598" s="193"/>
      <c r="D598" s="193"/>
      <c r="E598" s="193"/>
      <c r="F598" s="193"/>
      <c r="G598" s="193"/>
      <c r="H598" s="193"/>
    </row>
    <row r="599" spans="1:8" ht="15.6">
      <c r="A599" s="193"/>
      <c r="B599" s="193"/>
      <c r="C599" s="193"/>
      <c r="D599" s="193"/>
      <c r="E599" s="193"/>
      <c r="F599" s="193"/>
      <c r="G599" s="193"/>
      <c r="H599" s="193"/>
    </row>
    <row r="600" spans="1:8" ht="15.6">
      <c r="A600" s="193"/>
      <c r="B600" s="193"/>
      <c r="C600" s="193"/>
      <c r="D600" s="193"/>
      <c r="E600" s="193"/>
      <c r="F600" s="193"/>
      <c r="G600" s="193"/>
      <c r="H600" s="193"/>
    </row>
    <row r="601" spans="1:8" ht="15.6">
      <c r="A601" s="193"/>
      <c r="B601" s="193"/>
      <c r="C601" s="193"/>
      <c r="D601" s="193"/>
      <c r="E601" s="193"/>
      <c r="F601" s="193"/>
      <c r="G601" s="193"/>
      <c r="H601" s="193"/>
    </row>
    <row r="602" spans="1:8" ht="15.6">
      <c r="A602" s="193"/>
      <c r="B602" s="193"/>
      <c r="C602" s="193"/>
      <c r="D602" s="193"/>
      <c r="E602" s="193"/>
      <c r="F602" s="193"/>
      <c r="G602" s="193"/>
      <c r="H602" s="193"/>
    </row>
    <row r="603" spans="1:8" ht="15.6">
      <c r="A603" s="193"/>
      <c r="B603" s="193"/>
      <c r="C603" s="193"/>
      <c r="D603" s="193"/>
      <c r="E603" s="193"/>
      <c r="F603" s="193"/>
      <c r="G603" s="193"/>
      <c r="H603" s="193"/>
    </row>
    <row r="604" spans="1:8" ht="15.6">
      <c r="A604" s="193"/>
      <c r="B604" s="193"/>
      <c r="C604" s="193"/>
      <c r="D604" s="193"/>
      <c r="E604" s="193"/>
      <c r="F604" s="193"/>
      <c r="G604" s="193"/>
      <c r="H604" s="193"/>
    </row>
    <row r="605" spans="1:8" ht="15.6">
      <c r="A605" s="193"/>
      <c r="B605" s="193"/>
      <c r="C605" s="193"/>
      <c r="D605" s="193"/>
      <c r="E605" s="193"/>
      <c r="F605" s="193"/>
      <c r="G605" s="193"/>
      <c r="H605" s="193"/>
    </row>
    <row r="606" spans="1:8" ht="15.6">
      <c r="A606" s="193"/>
      <c r="B606" s="193"/>
      <c r="C606" s="193"/>
      <c r="D606" s="193"/>
      <c r="E606" s="193"/>
      <c r="F606" s="193"/>
      <c r="G606" s="193"/>
      <c r="H606" s="193"/>
    </row>
    <row r="607" spans="1:8" ht="15.6">
      <c r="A607" s="193"/>
      <c r="B607" s="193"/>
      <c r="C607" s="193"/>
      <c r="D607" s="193"/>
      <c r="E607" s="193"/>
      <c r="F607" s="193"/>
      <c r="G607" s="193"/>
      <c r="H607" s="193"/>
    </row>
    <row r="608" spans="1:8" ht="15.6">
      <c r="A608" s="193"/>
      <c r="B608" s="193"/>
      <c r="C608" s="193"/>
      <c r="D608" s="193"/>
      <c r="E608" s="193"/>
      <c r="F608" s="193"/>
      <c r="G608" s="193"/>
      <c r="H608" s="193"/>
    </row>
    <row r="609" spans="1:8" ht="15.6">
      <c r="A609" s="193"/>
      <c r="B609" s="193"/>
      <c r="C609" s="193"/>
      <c r="D609" s="193"/>
      <c r="E609" s="193"/>
      <c r="F609" s="193"/>
      <c r="G609" s="193"/>
      <c r="H609" s="193"/>
    </row>
    <row r="610" spans="1:8" ht="15.6">
      <c r="A610" s="193"/>
      <c r="B610" s="193"/>
      <c r="C610" s="193"/>
      <c r="D610" s="193"/>
      <c r="E610" s="193"/>
      <c r="F610" s="193"/>
      <c r="G610" s="193"/>
      <c r="H610" s="193"/>
    </row>
    <row r="611" spans="1:8" ht="15.6">
      <c r="A611" s="193"/>
      <c r="B611" s="193"/>
      <c r="C611" s="193"/>
      <c r="D611" s="193"/>
      <c r="E611" s="193"/>
      <c r="F611" s="193"/>
      <c r="G611" s="193"/>
      <c r="H611" s="193"/>
    </row>
    <row r="612" spans="1:8" ht="15.6">
      <c r="A612" s="193"/>
      <c r="B612" s="193"/>
      <c r="C612" s="193"/>
      <c r="D612" s="193"/>
      <c r="E612" s="193"/>
      <c r="F612" s="193"/>
      <c r="G612" s="193"/>
      <c r="H612" s="193"/>
    </row>
    <row r="613" spans="1:8" ht="15.6">
      <c r="A613" s="193"/>
      <c r="B613" s="193"/>
      <c r="C613" s="193"/>
      <c r="D613" s="193"/>
      <c r="E613" s="193"/>
      <c r="F613" s="193"/>
      <c r="G613" s="193"/>
      <c r="H613" s="193"/>
    </row>
    <row r="614" spans="1:8" ht="15.6">
      <c r="A614" s="193"/>
      <c r="B614" s="193"/>
      <c r="C614" s="193"/>
      <c r="D614" s="193"/>
      <c r="E614" s="193"/>
      <c r="F614" s="193"/>
      <c r="G614" s="193"/>
      <c r="H614" s="193"/>
    </row>
    <row r="615" spans="1:8" ht="15.6">
      <c r="A615" s="193"/>
      <c r="B615" s="193"/>
      <c r="C615" s="193"/>
      <c r="D615" s="193"/>
      <c r="E615" s="193"/>
      <c r="F615" s="193"/>
      <c r="G615" s="193"/>
      <c r="H615" s="193"/>
    </row>
    <row r="616" spans="1:8" ht="15.6">
      <c r="A616" s="193"/>
      <c r="B616" s="193"/>
      <c r="C616" s="193"/>
      <c r="D616" s="193"/>
      <c r="E616" s="193"/>
      <c r="F616" s="193"/>
      <c r="G616" s="193"/>
      <c r="H616" s="193"/>
    </row>
    <row r="617" spans="1:8" ht="15.6">
      <c r="A617" s="193"/>
      <c r="B617" s="193"/>
      <c r="C617" s="193"/>
      <c r="D617" s="193"/>
      <c r="E617" s="193"/>
      <c r="F617" s="193"/>
      <c r="G617" s="193"/>
      <c r="H617" s="193"/>
    </row>
    <row r="618" spans="1:8" ht="15.6">
      <c r="A618" s="193"/>
      <c r="B618" s="193"/>
      <c r="C618" s="193"/>
      <c r="D618" s="193"/>
      <c r="E618" s="193"/>
      <c r="F618" s="193"/>
      <c r="G618" s="193"/>
      <c r="H618" s="193"/>
    </row>
    <row r="619" spans="1:8" ht="15.6">
      <c r="A619" s="193"/>
      <c r="B619" s="193"/>
      <c r="C619" s="193"/>
      <c r="D619" s="193"/>
      <c r="E619" s="193"/>
      <c r="F619" s="193"/>
      <c r="G619" s="193"/>
      <c r="H619" s="193"/>
    </row>
    <row r="620" spans="1:8" ht="15.6">
      <c r="A620" s="193"/>
      <c r="B620" s="193"/>
      <c r="C620" s="193"/>
      <c r="D620" s="193"/>
      <c r="E620" s="193"/>
      <c r="F620" s="193"/>
      <c r="G620" s="193"/>
      <c r="H620" s="193"/>
    </row>
    <row r="621" spans="1:8" ht="15.6">
      <c r="A621" s="193"/>
      <c r="B621" s="193"/>
      <c r="C621" s="193"/>
      <c r="D621" s="193"/>
      <c r="E621" s="193"/>
      <c r="F621" s="193"/>
      <c r="G621" s="193"/>
      <c r="H621" s="193"/>
    </row>
    <row r="622" spans="1:8" ht="15.6">
      <c r="A622" s="193"/>
      <c r="B622" s="193"/>
      <c r="C622" s="193"/>
      <c r="D622" s="193"/>
      <c r="E622" s="193"/>
      <c r="F622" s="193"/>
      <c r="G622" s="193"/>
      <c r="H622" s="193"/>
    </row>
    <row r="623" spans="1:8" ht="15.6">
      <c r="A623" s="193"/>
      <c r="B623" s="193"/>
      <c r="C623" s="193"/>
      <c r="D623" s="193"/>
      <c r="E623" s="193"/>
      <c r="F623" s="193"/>
      <c r="G623" s="193"/>
      <c r="H623" s="193"/>
    </row>
    <row r="624" spans="1:8" ht="15.6">
      <c r="A624" s="193"/>
      <c r="B624" s="193"/>
      <c r="C624" s="193"/>
      <c r="D624" s="193"/>
      <c r="E624" s="193"/>
      <c r="F624" s="193"/>
      <c r="G624" s="193"/>
      <c r="H624" s="193"/>
    </row>
    <row r="625" spans="1:8" ht="15.6">
      <c r="A625" s="193"/>
      <c r="B625" s="193"/>
      <c r="C625" s="193"/>
      <c r="D625" s="193"/>
      <c r="E625" s="193"/>
      <c r="F625" s="193"/>
      <c r="G625" s="193"/>
      <c r="H625" s="193"/>
    </row>
    <row r="626" spans="1:8" ht="15.6">
      <c r="A626" s="193"/>
      <c r="B626" s="193"/>
      <c r="C626" s="193"/>
      <c r="D626" s="193"/>
      <c r="E626" s="193"/>
      <c r="F626" s="193"/>
      <c r="G626" s="193"/>
      <c r="H626" s="193"/>
    </row>
    <row r="627" spans="1:8" ht="15.6">
      <c r="A627" s="193"/>
      <c r="B627" s="193"/>
      <c r="C627" s="193"/>
      <c r="D627" s="193"/>
      <c r="E627" s="193"/>
      <c r="F627" s="193"/>
      <c r="G627" s="193"/>
      <c r="H627" s="193"/>
    </row>
    <row r="628" spans="1:8" ht="15.6">
      <c r="A628" s="193"/>
      <c r="B628" s="193"/>
      <c r="C628" s="193"/>
      <c r="D628" s="193"/>
      <c r="E628" s="193"/>
      <c r="F628" s="193"/>
      <c r="G628" s="193"/>
      <c r="H628" s="193"/>
    </row>
    <row r="629" spans="1:8" ht="15.6">
      <c r="A629" s="193"/>
      <c r="B629" s="193"/>
      <c r="C629" s="193"/>
      <c r="D629" s="193"/>
      <c r="E629" s="193"/>
      <c r="F629" s="193"/>
      <c r="G629" s="193"/>
      <c r="H629" s="193"/>
    </row>
    <row r="630" spans="1:8" ht="15.6">
      <c r="A630" s="193"/>
      <c r="B630" s="193"/>
      <c r="C630" s="193"/>
      <c r="D630" s="193"/>
      <c r="E630" s="193"/>
      <c r="F630" s="193"/>
      <c r="G630" s="193"/>
      <c r="H630" s="193"/>
    </row>
    <row r="631" spans="1:8" ht="15.6">
      <c r="A631" s="193"/>
      <c r="B631" s="193"/>
      <c r="C631" s="193"/>
      <c r="D631" s="193"/>
      <c r="E631" s="193"/>
      <c r="F631" s="193"/>
      <c r="G631" s="193"/>
      <c r="H631" s="193"/>
    </row>
    <row r="632" spans="1:8" ht="15.6">
      <c r="A632" s="193"/>
      <c r="B632" s="193"/>
      <c r="C632" s="193"/>
      <c r="D632" s="193"/>
      <c r="E632" s="193"/>
      <c r="F632" s="193"/>
      <c r="G632" s="193"/>
      <c r="H632" s="193"/>
    </row>
    <row r="633" spans="1:8" ht="15.6">
      <c r="A633" s="193"/>
      <c r="B633" s="193"/>
      <c r="C633" s="193"/>
      <c r="D633" s="193"/>
      <c r="E633" s="193"/>
      <c r="F633" s="193"/>
      <c r="G633" s="193"/>
      <c r="H633" s="193"/>
    </row>
    <row r="634" spans="1:8" ht="15.6">
      <c r="A634" s="193"/>
      <c r="B634" s="193"/>
      <c r="C634" s="193"/>
      <c r="D634" s="193"/>
      <c r="E634" s="193"/>
      <c r="F634" s="193"/>
      <c r="G634" s="193"/>
      <c r="H634" s="193"/>
    </row>
    <row r="635" spans="1:8" ht="15.6">
      <c r="A635" s="193"/>
      <c r="B635" s="193"/>
      <c r="C635" s="193"/>
      <c r="D635" s="193"/>
      <c r="E635" s="193"/>
      <c r="F635" s="193"/>
      <c r="G635" s="193"/>
      <c r="H635" s="193"/>
    </row>
    <row r="636" spans="1:8" ht="15.6">
      <c r="A636" s="193"/>
      <c r="B636" s="193"/>
      <c r="C636" s="193"/>
      <c r="D636" s="193"/>
      <c r="E636" s="193"/>
      <c r="F636" s="193"/>
      <c r="G636" s="193"/>
      <c r="H636" s="193"/>
    </row>
    <row r="637" spans="1:8" ht="15.6">
      <c r="A637" s="193"/>
      <c r="B637" s="193"/>
      <c r="C637" s="193"/>
      <c r="D637" s="193"/>
      <c r="E637" s="193"/>
      <c r="F637" s="193"/>
      <c r="G637" s="193"/>
      <c r="H637" s="193"/>
    </row>
    <row r="638" spans="1:8" ht="15.6">
      <c r="A638" s="193"/>
      <c r="B638" s="193"/>
      <c r="C638" s="193"/>
      <c r="D638" s="193"/>
      <c r="E638" s="193"/>
      <c r="F638" s="193"/>
      <c r="G638" s="193"/>
      <c r="H638" s="193"/>
    </row>
    <row r="639" spans="1:8" ht="15.6">
      <c r="A639" s="193"/>
      <c r="B639" s="193"/>
      <c r="C639" s="193"/>
      <c r="D639" s="193"/>
      <c r="E639" s="193"/>
      <c r="F639" s="193"/>
      <c r="G639" s="193"/>
      <c r="H639" s="193"/>
    </row>
    <row r="640" spans="1:8" ht="15.6">
      <c r="A640" s="193"/>
      <c r="B640" s="193"/>
      <c r="C640" s="193"/>
      <c r="D640" s="193"/>
      <c r="E640" s="193"/>
      <c r="F640" s="193"/>
      <c r="G640" s="193"/>
      <c r="H640" s="193"/>
    </row>
    <row r="641" spans="1:8" ht="15.6">
      <c r="A641" s="193"/>
      <c r="B641" s="193"/>
      <c r="C641" s="193"/>
      <c r="D641" s="193"/>
      <c r="E641" s="193"/>
      <c r="F641" s="193"/>
      <c r="G641" s="193"/>
      <c r="H641" s="193"/>
    </row>
    <row r="642" spans="1:8" ht="15.6">
      <c r="A642" s="193"/>
      <c r="B642" s="193"/>
      <c r="C642" s="193"/>
      <c r="D642" s="193"/>
      <c r="E642" s="193"/>
      <c r="F642" s="193"/>
      <c r="G642" s="193"/>
      <c r="H642" s="193"/>
    </row>
    <row r="643" spans="1:8" ht="15.6">
      <c r="A643" s="193"/>
      <c r="B643" s="193"/>
      <c r="C643" s="193"/>
      <c r="D643" s="193"/>
      <c r="E643" s="193"/>
      <c r="F643" s="193"/>
      <c r="G643" s="193"/>
      <c r="H643" s="193"/>
    </row>
    <row r="644" spans="1:8" ht="15.6">
      <c r="A644" s="193"/>
      <c r="B644" s="193"/>
      <c r="C644" s="193"/>
      <c r="D644" s="193"/>
      <c r="E644" s="193"/>
      <c r="F644" s="193"/>
      <c r="G644" s="193"/>
      <c r="H644" s="193"/>
    </row>
    <row r="645" spans="1:8" ht="15.6">
      <c r="A645" s="193"/>
      <c r="B645" s="193"/>
      <c r="C645" s="193"/>
      <c r="D645" s="193"/>
      <c r="E645" s="193"/>
      <c r="F645" s="193"/>
      <c r="G645" s="193"/>
      <c r="H645" s="193"/>
    </row>
    <row r="646" spans="1:8" ht="15.6">
      <c r="A646" s="193"/>
      <c r="B646" s="193"/>
      <c r="C646" s="193"/>
      <c r="D646" s="193"/>
      <c r="E646" s="193"/>
      <c r="F646" s="193"/>
      <c r="G646" s="193"/>
      <c r="H646" s="193"/>
    </row>
    <row r="647" spans="1:8" ht="15.6">
      <c r="A647" s="193"/>
      <c r="B647" s="193"/>
      <c r="C647" s="193"/>
      <c r="D647" s="193"/>
      <c r="E647" s="193"/>
      <c r="F647" s="193"/>
      <c r="G647" s="193"/>
      <c r="H647" s="193"/>
    </row>
    <row r="648" spans="1:8" ht="15.6">
      <c r="A648" s="193"/>
      <c r="B648" s="193"/>
      <c r="C648" s="193"/>
      <c r="D648" s="193"/>
      <c r="E648" s="193"/>
      <c r="F648" s="193"/>
      <c r="G648" s="193"/>
      <c r="H648" s="193"/>
    </row>
    <row r="649" spans="1:8" ht="15.6">
      <c r="A649" s="193"/>
      <c r="B649" s="193"/>
      <c r="C649" s="193"/>
      <c r="D649" s="193"/>
      <c r="E649" s="193"/>
      <c r="F649" s="193"/>
      <c r="G649" s="193"/>
      <c r="H649" s="193"/>
    </row>
    <row r="650" spans="1:8" ht="15.6">
      <c r="A650" s="193"/>
      <c r="B650" s="193"/>
      <c r="C650" s="193"/>
      <c r="D650" s="193"/>
      <c r="E650" s="193"/>
      <c r="F650" s="193"/>
      <c r="G650" s="193"/>
      <c r="H650" s="193"/>
    </row>
    <row r="651" spans="1:8" ht="15.6">
      <c r="A651" s="193"/>
      <c r="B651" s="193"/>
      <c r="C651" s="193"/>
      <c r="D651" s="193"/>
      <c r="E651" s="193"/>
      <c r="F651" s="193"/>
      <c r="G651" s="193"/>
      <c r="H651" s="193"/>
    </row>
    <row r="652" spans="1:8" ht="15.6">
      <c r="A652" s="193"/>
      <c r="B652" s="193"/>
      <c r="C652" s="193"/>
      <c r="D652" s="193"/>
      <c r="E652" s="193"/>
      <c r="F652" s="193"/>
      <c r="G652" s="193"/>
      <c r="H652" s="193"/>
    </row>
    <row r="653" spans="1:8" ht="15.6">
      <c r="A653" s="193"/>
      <c r="B653" s="193"/>
      <c r="C653" s="193"/>
      <c r="D653" s="193"/>
      <c r="E653" s="193"/>
      <c r="F653" s="193"/>
      <c r="G653" s="193"/>
      <c r="H653" s="193"/>
    </row>
    <row r="654" spans="1:8" ht="15.6">
      <c r="A654" s="193"/>
      <c r="B654" s="193"/>
      <c r="C654" s="193"/>
      <c r="D654" s="193"/>
      <c r="E654" s="193"/>
      <c r="F654" s="193"/>
      <c r="G654" s="193"/>
      <c r="H654" s="193"/>
    </row>
    <row r="655" spans="1:8" ht="15.6">
      <c r="A655" s="193"/>
      <c r="B655" s="193"/>
      <c r="C655" s="193"/>
      <c r="D655" s="193"/>
      <c r="E655" s="193"/>
      <c r="F655" s="193"/>
      <c r="G655" s="193"/>
      <c r="H655" s="193"/>
    </row>
    <row r="656" spans="1:8" ht="15.6">
      <c r="A656" s="193"/>
      <c r="B656" s="193"/>
      <c r="C656" s="193"/>
      <c r="D656" s="193"/>
      <c r="E656" s="193"/>
      <c r="F656" s="193"/>
      <c r="G656" s="193"/>
      <c r="H656" s="193"/>
    </row>
    <row r="657" spans="1:8" ht="15.6">
      <c r="A657" s="193"/>
      <c r="B657" s="193"/>
      <c r="C657" s="193"/>
      <c r="D657" s="193"/>
      <c r="E657" s="193"/>
      <c r="F657" s="193"/>
      <c r="G657" s="193"/>
      <c r="H657" s="193"/>
    </row>
    <row r="658" spans="1:8" ht="15.6">
      <c r="A658" s="193"/>
      <c r="B658" s="193"/>
      <c r="C658" s="193"/>
      <c r="D658" s="193"/>
      <c r="E658" s="193"/>
      <c r="F658" s="193"/>
      <c r="G658" s="193"/>
      <c r="H658" s="193"/>
    </row>
    <row r="659" spans="1:8" ht="15.6">
      <c r="A659" s="193"/>
      <c r="B659" s="193"/>
      <c r="C659" s="193"/>
      <c r="D659" s="193"/>
      <c r="E659" s="193"/>
      <c r="F659" s="193"/>
      <c r="G659" s="193"/>
      <c r="H659" s="193"/>
    </row>
    <row r="660" spans="1:8" ht="15.6">
      <c r="A660" s="193"/>
      <c r="B660" s="193"/>
      <c r="C660" s="193"/>
      <c r="D660" s="193"/>
      <c r="E660" s="193"/>
      <c r="F660" s="193"/>
      <c r="G660" s="193"/>
      <c r="H660" s="193"/>
    </row>
    <row r="661" spans="1:8" ht="15.6">
      <c r="A661" s="193"/>
      <c r="B661" s="193"/>
      <c r="C661" s="193"/>
      <c r="D661" s="193"/>
      <c r="E661" s="193"/>
      <c r="F661" s="193"/>
      <c r="G661" s="193"/>
      <c r="H661" s="193"/>
    </row>
    <row r="662" spans="1:8" ht="15.6">
      <c r="A662" s="193"/>
      <c r="B662" s="193"/>
      <c r="C662" s="193"/>
      <c r="D662" s="193"/>
      <c r="E662" s="193"/>
      <c r="F662" s="193"/>
      <c r="G662" s="193"/>
      <c r="H662" s="193"/>
    </row>
    <row r="663" spans="1:8" ht="15.6">
      <c r="A663" s="193"/>
      <c r="B663" s="193"/>
      <c r="C663" s="193"/>
      <c r="D663" s="193"/>
      <c r="E663" s="193"/>
      <c r="F663" s="193"/>
      <c r="G663" s="193"/>
      <c r="H663" s="193"/>
    </row>
    <row r="664" spans="1:8" ht="15.6">
      <c r="A664" s="193"/>
      <c r="B664" s="193"/>
      <c r="C664" s="193"/>
      <c r="D664" s="193"/>
      <c r="E664" s="193"/>
      <c r="F664" s="193"/>
      <c r="G664" s="193"/>
      <c r="H664" s="193"/>
    </row>
    <row r="665" spans="1:8" ht="15.6">
      <c r="A665" s="193"/>
      <c r="B665" s="193"/>
      <c r="C665" s="193"/>
      <c r="D665" s="193"/>
      <c r="E665" s="193"/>
      <c r="F665" s="193"/>
      <c r="G665" s="193"/>
      <c r="H665" s="193"/>
    </row>
    <row r="666" spans="1:8" ht="15.6">
      <c r="A666" s="193"/>
      <c r="B666" s="193"/>
      <c r="C666" s="193"/>
      <c r="D666" s="193"/>
      <c r="E666" s="193"/>
      <c r="F666" s="193"/>
      <c r="G666" s="193"/>
      <c r="H666" s="193"/>
    </row>
    <row r="667" spans="1:8" ht="15.6">
      <c r="A667" s="193"/>
      <c r="B667" s="193"/>
      <c r="C667" s="193"/>
      <c r="D667" s="193"/>
      <c r="E667" s="193"/>
      <c r="F667" s="193"/>
      <c r="G667" s="193"/>
      <c r="H667" s="193"/>
    </row>
    <row r="668" spans="1:8" ht="15.6">
      <c r="A668" s="193"/>
      <c r="B668" s="193"/>
      <c r="C668" s="193"/>
      <c r="D668" s="193"/>
      <c r="E668" s="193"/>
      <c r="F668" s="193"/>
      <c r="G668" s="193"/>
      <c r="H668" s="193"/>
    </row>
    <row r="669" spans="1:8" ht="15.6">
      <c r="A669" s="193"/>
      <c r="B669" s="193"/>
      <c r="C669" s="193"/>
      <c r="D669" s="193"/>
      <c r="E669" s="193"/>
      <c r="F669" s="193"/>
      <c r="G669" s="193"/>
      <c r="H669" s="193"/>
    </row>
    <row r="670" spans="1:8" ht="15.6">
      <c r="A670" s="193"/>
      <c r="B670" s="193"/>
      <c r="C670" s="193"/>
      <c r="D670" s="193"/>
      <c r="E670" s="193"/>
      <c r="F670" s="193"/>
      <c r="G670" s="193"/>
      <c r="H670" s="193"/>
    </row>
    <row r="671" spans="1:8" ht="15.6">
      <c r="A671" s="193"/>
      <c r="B671" s="193"/>
      <c r="C671" s="193"/>
      <c r="D671" s="193"/>
      <c r="E671" s="193"/>
      <c r="F671" s="193"/>
      <c r="G671" s="193"/>
      <c r="H671" s="193"/>
    </row>
    <row r="672" spans="1:8" ht="15.6">
      <c r="A672" s="193"/>
      <c r="B672" s="193"/>
      <c r="C672" s="193"/>
      <c r="D672" s="193"/>
      <c r="E672" s="193"/>
      <c r="F672" s="193"/>
      <c r="G672" s="193"/>
      <c r="H672" s="193"/>
    </row>
    <row r="673" spans="1:8" ht="15.6">
      <c r="A673" s="193"/>
      <c r="B673" s="193"/>
      <c r="C673" s="193"/>
      <c r="D673" s="193"/>
      <c r="E673" s="193"/>
      <c r="F673" s="193"/>
      <c r="G673" s="193"/>
      <c r="H673" s="193"/>
    </row>
    <row r="674" spans="1:8" ht="15.6">
      <c r="A674" s="193"/>
      <c r="B674" s="193"/>
      <c r="C674" s="193"/>
      <c r="D674" s="193"/>
      <c r="E674" s="193"/>
      <c r="F674" s="193"/>
      <c r="G674" s="193"/>
      <c r="H674" s="193"/>
    </row>
    <row r="675" spans="1:8" ht="15.6">
      <c r="A675" s="193"/>
      <c r="B675" s="193"/>
      <c r="C675" s="193"/>
      <c r="D675" s="193"/>
      <c r="E675" s="193"/>
      <c r="F675" s="193"/>
      <c r="G675" s="193"/>
      <c r="H675" s="193"/>
    </row>
    <row r="676" spans="1:8" ht="15.6">
      <c r="A676" s="193"/>
      <c r="B676" s="193"/>
      <c r="C676" s="193"/>
      <c r="D676" s="193"/>
      <c r="E676" s="193"/>
      <c r="F676" s="193"/>
      <c r="G676" s="193"/>
      <c r="H676" s="193"/>
    </row>
    <row r="677" spans="1:8" ht="15.6">
      <c r="A677" s="193"/>
      <c r="B677" s="193"/>
      <c r="C677" s="193"/>
      <c r="D677" s="193"/>
      <c r="E677" s="193"/>
      <c r="F677" s="193"/>
      <c r="G677" s="193"/>
      <c r="H677" s="193"/>
    </row>
    <row r="678" spans="1:8" ht="15.6">
      <c r="A678" s="193"/>
      <c r="B678" s="193"/>
      <c r="C678" s="193"/>
      <c r="D678" s="193"/>
      <c r="E678" s="193"/>
      <c r="F678" s="193"/>
      <c r="G678" s="193"/>
      <c r="H678" s="193"/>
    </row>
    <row r="679" spans="1:8" ht="15.6">
      <c r="A679" s="193"/>
      <c r="B679" s="193"/>
      <c r="C679" s="193"/>
      <c r="D679" s="193"/>
      <c r="E679" s="193"/>
      <c r="F679" s="193"/>
      <c r="G679" s="193"/>
      <c r="H679" s="193"/>
    </row>
    <row r="680" spans="1:8" ht="15.6">
      <c r="A680" s="193"/>
      <c r="B680" s="193"/>
      <c r="C680" s="193"/>
      <c r="D680" s="193"/>
      <c r="E680" s="193"/>
      <c r="F680" s="193"/>
      <c r="G680" s="193"/>
      <c r="H680" s="193"/>
    </row>
    <row r="681" spans="1:8" ht="15.6">
      <c r="A681" s="193"/>
      <c r="B681" s="193"/>
      <c r="C681" s="193"/>
      <c r="D681" s="193"/>
      <c r="E681" s="193"/>
      <c r="F681" s="193"/>
      <c r="G681" s="193"/>
      <c r="H681" s="193"/>
    </row>
    <row r="682" spans="1:8" ht="15.6">
      <c r="A682" s="193"/>
      <c r="B682" s="193"/>
      <c r="C682" s="193"/>
      <c r="D682" s="193"/>
      <c r="E682" s="193"/>
      <c r="F682" s="193"/>
      <c r="G682" s="193"/>
      <c r="H682" s="193"/>
    </row>
    <row r="683" spans="1:8" ht="15.6">
      <c r="A683" s="193"/>
      <c r="B683" s="193"/>
      <c r="C683" s="193"/>
      <c r="D683" s="193"/>
      <c r="E683" s="193"/>
      <c r="F683" s="193"/>
      <c r="G683" s="193"/>
      <c r="H683" s="193"/>
    </row>
    <row r="684" spans="1:8" ht="15.6">
      <c r="A684" s="193"/>
      <c r="B684" s="193"/>
      <c r="C684" s="193"/>
      <c r="D684" s="193"/>
      <c r="E684" s="193"/>
      <c r="F684" s="193"/>
      <c r="G684" s="193"/>
      <c r="H684" s="193"/>
    </row>
    <row r="685" spans="1:8" ht="15.6">
      <c r="A685" s="193"/>
      <c r="B685" s="193"/>
      <c r="C685" s="193"/>
      <c r="D685" s="193"/>
      <c r="E685" s="193"/>
      <c r="F685" s="193"/>
      <c r="G685" s="193"/>
      <c r="H685" s="193"/>
    </row>
    <row r="686" spans="1:8" ht="15.6">
      <c r="A686" s="193"/>
      <c r="B686" s="193"/>
      <c r="C686" s="193"/>
      <c r="D686" s="193"/>
      <c r="E686" s="193"/>
      <c r="F686" s="193"/>
      <c r="G686" s="193"/>
      <c r="H686" s="193"/>
    </row>
    <row r="687" spans="1:8" ht="15.6">
      <c r="A687" s="193"/>
      <c r="B687" s="193"/>
      <c r="C687" s="193"/>
      <c r="D687" s="193"/>
      <c r="E687" s="193"/>
      <c r="F687" s="193"/>
      <c r="G687" s="193"/>
      <c r="H687" s="193"/>
    </row>
    <row r="688" spans="1:8" ht="15.6">
      <c r="A688" s="193"/>
      <c r="B688" s="193"/>
      <c r="C688" s="193"/>
      <c r="D688" s="193"/>
      <c r="E688" s="193"/>
      <c r="F688" s="193"/>
      <c r="G688" s="193"/>
      <c r="H688" s="193"/>
    </row>
    <row r="689" spans="1:8" ht="15.6">
      <c r="A689" s="193"/>
      <c r="B689" s="193"/>
      <c r="C689" s="193"/>
      <c r="D689" s="193"/>
      <c r="E689" s="193"/>
      <c r="F689" s="193"/>
      <c r="G689" s="193"/>
      <c r="H689" s="193"/>
    </row>
    <row r="690" spans="1:8" ht="15.6">
      <c r="A690" s="193"/>
      <c r="B690" s="193"/>
      <c r="C690" s="193"/>
      <c r="D690" s="193"/>
      <c r="E690" s="193"/>
      <c r="F690" s="193"/>
      <c r="G690" s="193"/>
      <c r="H690" s="193"/>
    </row>
    <row r="691" spans="1:8" ht="15.6">
      <c r="A691" s="193"/>
      <c r="B691" s="193"/>
      <c r="C691" s="193"/>
      <c r="D691" s="193"/>
      <c r="E691" s="193"/>
      <c r="F691" s="193"/>
      <c r="G691" s="193"/>
      <c r="H691" s="193"/>
    </row>
    <row r="692" spans="1:8" ht="15.6">
      <c r="A692" s="193"/>
      <c r="B692" s="193"/>
      <c r="C692" s="193"/>
      <c r="D692" s="193"/>
      <c r="E692" s="193"/>
      <c r="F692" s="193"/>
      <c r="G692" s="193"/>
      <c r="H692" s="193"/>
    </row>
    <row r="693" spans="1:8" ht="15.6">
      <c r="A693" s="193"/>
      <c r="B693" s="193"/>
      <c r="C693" s="193"/>
      <c r="D693" s="193"/>
      <c r="E693" s="193"/>
      <c r="F693" s="193"/>
      <c r="G693" s="193"/>
      <c r="H693" s="193"/>
    </row>
    <row r="694" spans="1:8" ht="15.6">
      <c r="A694" s="193"/>
      <c r="B694" s="193"/>
      <c r="C694" s="193"/>
      <c r="D694" s="193"/>
      <c r="E694" s="193"/>
      <c r="F694" s="193"/>
      <c r="G694" s="193"/>
      <c r="H694" s="193"/>
    </row>
    <row r="695" spans="1:8" ht="15.6">
      <c r="A695" s="193"/>
      <c r="B695" s="193"/>
      <c r="C695" s="193"/>
      <c r="D695" s="193"/>
      <c r="E695" s="193"/>
      <c r="F695" s="193"/>
      <c r="G695" s="193"/>
      <c r="H695" s="193"/>
    </row>
    <row r="696" spans="1:8" ht="15.6">
      <c r="A696" s="193"/>
      <c r="B696" s="193"/>
      <c r="C696" s="193"/>
      <c r="D696" s="193"/>
      <c r="E696" s="193"/>
      <c r="F696" s="193"/>
      <c r="G696" s="193"/>
      <c r="H696" s="193"/>
    </row>
    <row r="697" spans="1:8" ht="15.6">
      <c r="A697" s="193"/>
      <c r="B697" s="193"/>
      <c r="C697" s="193"/>
      <c r="D697" s="193"/>
      <c r="E697" s="193"/>
      <c r="F697" s="193"/>
      <c r="G697" s="193"/>
      <c r="H697" s="193"/>
    </row>
    <row r="698" spans="1:8" ht="15.6">
      <c r="A698" s="193"/>
      <c r="B698" s="193"/>
      <c r="C698" s="193"/>
      <c r="D698" s="193"/>
      <c r="E698" s="193"/>
      <c r="F698" s="193"/>
      <c r="G698" s="193"/>
      <c r="H698" s="193"/>
    </row>
    <row r="699" spans="1:8" ht="15.6">
      <c r="A699" s="193"/>
      <c r="B699" s="193"/>
      <c r="C699" s="193"/>
      <c r="D699" s="193"/>
      <c r="E699" s="193"/>
      <c r="F699" s="193"/>
      <c r="G699" s="193"/>
      <c r="H699" s="193"/>
    </row>
    <row r="700" spans="1:8" ht="15.6">
      <c r="A700" s="193"/>
      <c r="B700" s="193"/>
      <c r="C700" s="193"/>
      <c r="D700" s="193"/>
      <c r="E700" s="193"/>
      <c r="F700" s="193"/>
      <c r="G700" s="193"/>
      <c r="H700" s="193"/>
    </row>
    <row r="701" spans="1:8" ht="15.6">
      <c r="A701" s="193"/>
      <c r="B701" s="193"/>
      <c r="C701" s="193"/>
      <c r="D701" s="193"/>
      <c r="E701" s="193"/>
      <c r="F701" s="193"/>
      <c r="G701" s="193"/>
      <c r="H701" s="193"/>
    </row>
    <row r="702" spans="1:8" ht="15.6">
      <c r="A702" s="193"/>
      <c r="B702" s="193"/>
      <c r="C702" s="193"/>
      <c r="D702" s="193"/>
      <c r="E702" s="193"/>
      <c r="F702" s="193"/>
      <c r="G702" s="193"/>
      <c r="H702" s="193"/>
    </row>
    <row r="703" spans="1:8" ht="15.6">
      <c r="A703" s="193"/>
      <c r="B703" s="193"/>
      <c r="C703" s="193"/>
      <c r="D703" s="193"/>
      <c r="E703" s="193"/>
      <c r="F703" s="193"/>
      <c r="G703" s="193"/>
      <c r="H703" s="193"/>
    </row>
    <row r="704" spans="1:8" ht="15.6">
      <c r="A704" s="193"/>
      <c r="B704" s="193"/>
      <c r="C704" s="193"/>
      <c r="D704" s="193"/>
      <c r="E704" s="193"/>
      <c r="F704" s="193"/>
      <c r="G704" s="193"/>
      <c r="H704" s="193"/>
    </row>
    <row r="705" spans="1:8" ht="15.6">
      <c r="A705" s="193"/>
      <c r="B705" s="193"/>
      <c r="C705" s="193"/>
      <c r="D705" s="193"/>
      <c r="E705" s="193"/>
      <c r="F705" s="193"/>
      <c r="G705" s="193"/>
      <c r="H705" s="193"/>
    </row>
    <row r="706" spans="1:8" ht="15.6">
      <c r="A706" s="193"/>
      <c r="B706" s="193"/>
      <c r="C706" s="193"/>
      <c r="D706" s="193"/>
      <c r="E706" s="193"/>
      <c r="F706" s="193"/>
      <c r="G706" s="193"/>
      <c r="H706" s="193"/>
    </row>
    <row r="707" spans="1:8" ht="15.6">
      <c r="A707" s="193"/>
      <c r="B707" s="193"/>
      <c r="C707" s="193"/>
      <c r="D707" s="193"/>
      <c r="E707" s="193"/>
      <c r="F707" s="193"/>
      <c r="G707" s="193"/>
      <c r="H707" s="193"/>
    </row>
    <row r="708" spans="1:8" ht="15.6">
      <c r="A708" s="193"/>
      <c r="B708" s="193"/>
      <c r="C708" s="193"/>
      <c r="D708" s="193"/>
      <c r="E708" s="193"/>
      <c r="F708" s="193"/>
      <c r="G708" s="193"/>
      <c r="H708" s="193"/>
    </row>
    <row r="709" spans="1:8" ht="15.6">
      <c r="A709" s="193"/>
      <c r="B709" s="193"/>
      <c r="C709" s="193"/>
      <c r="D709" s="193"/>
      <c r="E709" s="193"/>
      <c r="F709" s="193"/>
      <c r="G709" s="193"/>
      <c r="H709" s="193"/>
    </row>
    <row r="710" spans="1:8" ht="15.6">
      <c r="A710" s="193"/>
      <c r="B710" s="193"/>
      <c r="C710" s="193"/>
      <c r="D710" s="193"/>
      <c r="E710" s="193"/>
      <c r="F710" s="193"/>
      <c r="G710" s="193"/>
      <c r="H710" s="193"/>
    </row>
    <row r="711" spans="1:8" ht="15.6">
      <c r="A711" s="193"/>
      <c r="B711" s="193"/>
      <c r="C711" s="193"/>
      <c r="D711" s="193"/>
      <c r="E711" s="193"/>
      <c r="F711" s="193"/>
      <c r="G711" s="193"/>
      <c r="H711" s="193"/>
    </row>
    <row r="712" spans="1:8" ht="15.6">
      <c r="A712" s="193"/>
      <c r="B712" s="193"/>
      <c r="C712" s="193"/>
      <c r="D712" s="193"/>
      <c r="E712" s="193"/>
      <c r="F712" s="193"/>
      <c r="G712" s="193"/>
      <c r="H712" s="193"/>
    </row>
    <row r="713" spans="1:8" ht="15.6">
      <c r="A713" s="193"/>
      <c r="B713" s="193"/>
      <c r="C713" s="193"/>
      <c r="D713" s="193"/>
      <c r="E713" s="193"/>
      <c r="F713" s="193"/>
      <c r="G713" s="193"/>
      <c r="H713" s="193"/>
    </row>
    <row r="714" spans="1:8" ht="15.6">
      <c r="A714" s="193"/>
      <c r="B714" s="193"/>
      <c r="C714" s="193"/>
      <c r="D714" s="193"/>
      <c r="E714" s="193"/>
      <c r="F714" s="193"/>
      <c r="G714" s="193"/>
      <c r="H714" s="193"/>
    </row>
    <row r="715" spans="1:8" ht="15.6">
      <c r="A715" s="193"/>
      <c r="B715" s="193"/>
      <c r="C715" s="193"/>
      <c r="D715" s="193"/>
      <c r="E715" s="193"/>
      <c r="F715" s="193"/>
      <c r="G715" s="193"/>
      <c r="H715" s="193"/>
    </row>
    <row r="716" spans="1:8" ht="15.6">
      <c r="A716" s="193"/>
      <c r="B716" s="193"/>
      <c r="C716" s="193"/>
      <c r="D716" s="193"/>
      <c r="E716" s="193"/>
      <c r="F716" s="193"/>
      <c r="G716" s="193"/>
      <c r="H716" s="193"/>
    </row>
    <row r="717" spans="1:8" ht="15.6">
      <c r="A717" s="193"/>
      <c r="B717" s="193"/>
      <c r="C717" s="193"/>
      <c r="D717" s="193"/>
      <c r="E717" s="193"/>
      <c r="F717" s="193"/>
      <c r="G717" s="193"/>
      <c r="H717" s="193"/>
    </row>
    <row r="718" spans="1:8" ht="15.6">
      <c r="A718" s="193"/>
      <c r="B718" s="193"/>
      <c r="C718" s="193"/>
      <c r="D718" s="193"/>
      <c r="E718" s="193"/>
      <c r="F718" s="193"/>
      <c r="G718" s="193"/>
      <c r="H718" s="193"/>
    </row>
    <row r="719" spans="1:8" ht="15.6">
      <c r="A719" s="193"/>
      <c r="B719" s="193"/>
      <c r="C719" s="193"/>
      <c r="D719" s="193"/>
      <c r="E719" s="193"/>
      <c r="F719" s="193"/>
      <c r="G719" s="193"/>
      <c r="H719" s="193"/>
    </row>
    <row r="720" spans="1:8" ht="15.6">
      <c r="A720" s="193"/>
      <c r="B720" s="193"/>
      <c r="C720" s="193"/>
      <c r="D720" s="193"/>
      <c r="E720" s="193"/>
      <c r="F720" s="193"/>
      <c r="G720" s="193"/>
      <c r="H720" s="193"/>
    </row>
    <row r="721" spans="1:8" ht="15.6">
      <c r="A721" s="193"/>
      <c r="B721" s="193"/>
      <c r="C721" s="193"/>
      <c r="D721" s="193"/>
      <c r="E721" s="193"/>
      <c r="F721" s="193"/>
      <c r="G721" s="193"/>
      <c r="H721" s="193"/>
    </row>
    <row r="722" spans="1:8" ht="15.6">
      <c r="A722" s="193"/>
      <c r="B722" s="193"/>
      <c r="C722" s="193"/>
      <c r="D722" s="193"/>
      <c r="E722" s="193"/>
      <c r="F722" s="193"/>
      <c r="G722" s="193"/>
      <c r="H722" s="193"/>
    </row>
    <row r="723" spans="1:8" ht="15.6">
      <c r="A723" s="193"/>
      <c r="B723" s="193"/>
      <c r="C723" s="193"/>
      <c r="D723" s="193"/>
      <c r="E723" s="193"/>
      <c r="F723" s="193"/>
      <c r="G723" s="193"/>
      <c r="H723" s="193"/>
    </row>
    <row r="724" spans="1:8" ht="15.6">
      <c r="A724" s="193"/>
      <c r="B724" s="193"/>
      <c r="C724" s="193"/>
      <c r="D724" s="193"/>
      <c r="E724" s="193"/>
      <c r="F724" s="193"/>
      <c r="G724" s="193"/>
      <c r="H724" s="193"/>
    </row>
    <row r="725" spans="1:8" ht="15.6">
      <c r="A725" s="193"/>
      <c r="B725" s="193"/>
      <c r="C725" s="193"/>
      <c r="D725" s="193"/>
      <c r="E725" s="193"/>
      <c r="F725" s="193"/>
      <c r="G725" s="193"/>
      <c r="H725" s="193"/>
    </row>
    <row r="726" spans="1:8" ht="15.6">
      <c r="A726" s="193"/>
      <c r="B726" s="193"/>
      <c r="C726" s="193"/>
      <c r="D726" s="193"/>
      <c r="E726" s="193"/>
      <c r="F726" s="193"/>
      <c r="G726" s="193"/>
      <c r="H726" s="193"/>
    </row>
    <row r="727" spans="1:8" ht="15.6">
      <c r="A727" s="193"/>
      <c r="B727" s="193"/>
      <c r="C727" s="193"/>
      <c r="D727" s="193"/>
      <c r="E727" s="193"/>
      <c r="F727" s="193"/>
      <c r="G727" s="193"/>
      <c r="H727" s="193"/>
    </row>
    <row r="728" spans="1:8" ht="15.6">
      <c r="A728" s="193"/>
      <c r="B728" s="193"/>
      <c r="C728" s="193"/>
      <c r="D728" s="193"/>
      <c r="E728" s="193"/>
      <c r="F728" s="193"/>
      <c r="G728" s="193"/>
      <c r="H728" s="193"/>
    </row>
    <row r="729" spans="1:8" ht="15.6">
      <c r="A729" s="193"/>
      <c r="B729" s="193"/>
      <c r="C729" s="193"/>
      <c r="D729" s="193"/>
      <c r="E729" s="193"/>
      <c r="F729" s="193"/>
      <c r="G729" s="193"/>
      <c r="H729" s="193"/>
    </row>
    <row r="730" spans="1:8" ht="15.6">
      <c r="A730" s="193"/>
      <c r="B730" s="193"/>
      <c r="C730" s="193"/>
      <c r="D730" s="193"/>
      <c r="E730" s="193"/>
      <c r="F730" s="193"/>
      <c r="G730" s="193"/>
      <c r="H730" s="193"/>
    </row>
    <row r="731" spans="1:8" ht="15.6">
      <c r="A731" s="193"/>
      <c r="B731" s="193"/>
      <c r="C731" s="193"/>
      <c r="D731" s="193"/>
      <c r="E731" s="193"/>
      <c r="F731" s="193"/>
      <c r="G731" s="193"/>
      <c r="H731" s="193"/>
    </row>
    <row r="732" spans="1:8" ht="15.6">
      <c r="A732" s="193"/>
      <c r="B732" s="193"/>
      <c r="C732" s="193"/>
      <c r="D732" s="193"/>
      <c r="E732" s="193"/>
      <c r="F732" s="193"/>
      <c r="G732" s="193"/>
      <c r="H732" s="193"/>
    </row>
    <row r="733" spans="1:8" ht="15.6">
      <c r="A733" s="193"/>
      <c r="B733" s="193"/>
      <c r="C733" s="193"/>
      <c r="D733" s="193"/>
      <c r="E733" s="193"/>
      <c r="F733" s="193"/>
      <c r="G733" s="193"/>
      <c r="H733" s="193"/>
    </row>
    <row r="734" spans="1:8" ht="15.6">
      <c r="A734" s="193"/>
      <c r="B734" s="193"/>
      <c r="C734" s="193"/>
      <c r="D734" s="193"/>
      <c r="E734" s="193"/>
      <c r="F734" s="193"/>
      <c r="G734" s="193"/>
      <c r="H734" s="193"/>
    </row>
    <row r="735" spans="1:8" ht="15.6">
      <c r="A735" s="193"/>
      <c r="B735" s="193"/>
      <c r="C735" s="193"/>
      <c r="D735" s="193"/>
      <c r="E735" s="193"/>
      <c r="F735" s="193"/>
      <c r="G735" s="193"/>
      <c r="H735" s="193"/>
    </row>
    <row r="736" spans="1:8" ht="15.6">
      <c r="A736" s="193"/>
      <c r="B736" s="193"/>
      <c r="C736" s="193"/>
      <c r="D736" s="193"/>
      <c r="E736" s="193"/>
      <c r="F736" s="193"/>
      <c r="G736" s="193"/>
      <c r="H736" s="193"/>
    </row>
    <row r="737" spans="1:8" ht="15.6">
      <c r="A737" s="193"/>
      <c r="B737" s="193"/>
      <c r="C737" s="193"/>
      <c r="D737" s="193"/>
      <c r="E737" s="193"/>
      <c r="F737" s="193"/>
      <c r="G737" s="193"/>
      <c r="H737" s="193"/>
    </row>
    <row r="738" spans="1:8" ht="15.6">
      <c r="A738" s="193"/>
      <c r="B738" s="193"/>
      <c r="C738" s="193"/>
      <c r="D738" s="193"/>
      <c r="E738" s="193"/>
      <c r="F738" s="193"/>
      <c r="G738" s="193"/>
      <c r="H738" s="193"/>
    </row>
    <row r="739" spans="1:8" ht="15.6">
      <c r="A739" s="193"/>
      <c r="B739" s="193"/>
      <c r="C739" s="193"/>
      <c r="D739" s="193"/>
      <c r="E739" s="193"/>
      <c r="F739" s="193"/>
      <c r="G739" s="193"/>
      <c r="H739" s="193"/>
    </row>
    <row r="740" spans="1:8" ht="15.6">
      <c r="A740" s="193"/>
      <c r="B740" s="193"/>
      <c r="C740" s="193"/>
      <c r="D740" s="193"/>
      <c r="E740" s="193"/>
      <c r="F740" s="193"/>
      <c r="G740" s="193"/>
      <c r="H740" s="193"/>
    </row>
    <row r="741" spans="1:8" ht="15.6">
      <c r="A741" s="193"/>
      <c r="B741" s="193"/>
      <c r="C741" s="193"/>
      <c r="D741" s="193"/>
      <c r="E741" s="193"/>
      <c r="F741" s="193"/>
      <c r="G741" s="193"/>
      <c r="H741" s="193"/>
    </row>
    <row r="742" spans="1:8" ht="15.6">
      <c r="A742" s="193"/>
      <c r="B742" s="193"/>
      <c r="C742" s="193"/>
      <c r="D742" s="193"/>
      <c r="E742" s="193"/>
      <c r="F742" s="193"/>
      <c r="G742" s="193"/>
      <c r="H742" s="193"/>
    </row>
    <row r="743" spans="1:8" ht="15.6">
      <c r="A743" s="193"/>
      <c r="B743" s="193"/>
      <c r="C743" s="193"/>
      <c r="D743" s="193"/>
      <c r="E743" s="193"/>
      <c r="F743" s="193"/>
      <c r="G743" s="193"/>
      <c r="H743" s="193"/>
    </row>
    <row r="744" spans="1:8" ht="15.6">
      <c r="A744" s="193"/>
      <c r="B744" s="193"/>
      <c r="C744" s="193"/>
      <c r="D744" s="193"/>
      <c r="E744" s="193"/>
      <c r="F744" s="193"/>
      <c r="G744" s="193"/>
      <c r="H744" s="193"/>
    </row>
    <row r="745" spans="1:8" ht="15.6">
      <c r="A745" s="193"/>
      <c r="B745" s="193"/>
      <c r="C745" s="193"/>
      <c r="D745" s="193"/>
      <c r="E745" s="193"/>
      <c r="F745" s="193"/>
      <c r="G745" s="193"/>
      <c r="H745" s="193"/>
    </row>
    <row r="746" spans="1:8" ht="15.6">
      <c r="A746" s="193"/>
      <c r="B746" s="193"/>
      <c r="C746" s="193"/>
      <c r="D746" s="193"/>
      <c r="E746" s="193"/>
      <c r="F746" s="193"/>
      <c r="G746" s="193"/>
      <c r="H746" s="193"/>
    </row>
    <row r="747" spans="1:8" ht="15.6">
      <c r="A747" s="193"/>
      <c r="B747" s="193"/>
      <c r="C747" s="193"/>
      <c r="D747" s="193"/>
      <c r="E747" s="193"/>
      <c r="F747" s="193"/>
      <c r="G747" s="193"/>
      <c r="H747" s="193"/>
    </row>
    <row r="748" spans="1:8" ht="15.6">
      <c r="A748" s="193"/>
      <c r="B748" s="193"/>
      <c r="C748" s="193"/>
      <c r="D748" s="193"/>
      <c r="E748" s="193"/>
      <c r="F748" s="193"/>
      <c r="G748" s="193"/>
      <c r="H748" s="193"/>
    </row>
    <row r="749" spans="1:8" ht="15.6">
      <c r="A749" s="193"/>
      <c r="B749" s="193"/>
      <c r="C749" s="193"/>
      <c r="D749" s="193"/>
      <c r="E749" s="193"/>
      <c r="F749" s="193"/>
      <c r="G749" s="193"/>
      <c r="H749" s="193"/>
    </row>
    <row r="750" spans="1:8" ht="15.6">
      <c r="A750" s="193"/>
      <c r="B750" s="193"/>
      <c r="C750" s="193"/>
      <c r="D750" s="193"/>
      <c r="E750" s="193"/>
      <c r="F750" s="193"/>
      <c r="G750" s="193"/>
      <c r="H750" s="193"/>
    </row>
    <row r="751" spans="1:8" ht="15.6">
      <c r="A751" s="193"/>
      <c r="B751" s="193"/>
      <c r="C751" s="193"/>
      <c r="D751" s="193"/>
      <c r="E751" s="193"/>
      <c r="F751" s="193"/>
      <c r="G751" s="193"/>
      <c r="H751" s="193"/>
    </row>
    <row r="752" spans="1:8" ht="15.6">
      <c r="A752" s="193"/>
      <c r="B752" s="193"/>
      <c r="C752" s="193"/>
      <c r="D752" s="193"/>
      <c r="E752" s="193"/>
      <c r="F752" s="193"/>
      <c r="G752" s="193"/>
      <c r="H752" s="193"/>
    </row>
    <row r="753" spans="1:8" ht="15.6">
      <c r="A753" s="193"/>
      <c r="B753" s="193"/>
      <c r="C753" s="193"/>
      <c r="D753" s="193"/>
      <c r="E753" s="193"/>
      <c r="F753" s="193"/>
      <c r="G753" s="193"/>
      <c r="H753" s="193"/>
    </row>
    <row r="754" spans="1:8" ht="15.6">
      <c r="A754" s="193"/>
      <c r="B754" s="193"/>
      <c r="C754" s="193"/>
      <c r="D754" s="193"/>
      <c r="E754" s="193"/>
      <c r="F754" s="193"/>
      <c r="G754" s="193"/>
      <c r="H754" s="193"/>
    </row>
    <row r="755" spans="1:8" ht="15.6">
      <c r="A755" s="193"/>
      <c r="B755" s="193"/>
      <c r="C755" s="193"/>
      <c r="D755" s="193"/>
      <c r="E755" s="193"/>
      <c r="F755" s="193"/>
      <c r="G755" s="193"/>
      <c r="H755" s="193"/>
    </row>
    <row r="756" spans="1:8" ht="15.6">
      <c r="A756" s="193"/>
      <c r="B756" s="193"/>
      <c r="C756" s="193"/>
      <c r="D756" s="193"/>
      <c r="E756" s="193"/>
      <c r="F756" s="193"/>
      <c r="G756" s="193"/>
      <c r="H756" s="193"/>
    </row>
    <row r="757" spans="1:8" ht="15.6">
      <c r="A757" s="193"/>
      <c r="B757" s="193"/>
      <c r="C757" s="193"/>
      <c r="D757" s="193"/>
      <c r="E757" s="193"/>
      <c r="F757" s="193"/>
      <c r="G757" s="193"/>
      <c r="H757" s="193"/>
    </row>
    <row r="758" spans="1:8" ht="15.6">
      <c r="A758" s="193"/>
      <c r="B758" s="193"/>
      <c r="C758" s="193"/>
      <c r="D758" s="193"/>
      <c r="E758" s="193"/>
      <c r="F758" s="193"/>
      <c r="G758" s="193"/>
      <c r="H758" s="193"/>
    </row>
    <row r="759" spans="1:8" ht="15.6">
      <c r="A759" s="193"/>
      <c r="B759" s="193"/>
      <c r="C759" s="193"/>
      <c r="D759" s="193"/>
      <c r="E759" s="193"/>
      <c r="F759" s="193"/>
      <c r="G759" s="193"/>
      <c r="H759" s="193"/>
    </row>
    <row r="760" spans="1:8" ht="15.6">
      <c r="A760" s="193"/>
      <c r="B760" s="193"/>
      <c r="C760" s="193"/>
      <c r="D760" s="193"/>
      <c r="E760" s="193"/>
      <c r="F760" s="193"/>
      <c r="G760" s="193"/>
      <c r="H760" s="193"/>
    </row>
    <row r="761" spans="1:8" ht="15.6">
      <c r="A761" s="193"/>
      <c r="B761" s="193"/>
      <c r="C761" s="193"/>
      <c r="D761" s="193"/>
      <c r="E761" s="193"/>
      <c r="F761" s="193"/>
      <c r="G761" s="193"/>
      <c r="H761" s="193"/>
    </row>
    <row r="762" spans="1:8" ht="15.6">
      <c r="A762" s="193"/>
      <c r="B762" s="193"/>
      <c r="C762" s="193"/>
      <c r="D762" s="193"/>
      <c r="E762" s="193"/>
      <c r="F762" s="193"/>
      <c r="G762" s="193"/>
      <c r="H762" s="193"/>
    </row>
    <row r="763" spans="1:8" ht="15.6">
      <c r="A763" s="193"/>
      <c r="B763" s="193"/>
      <c r="C763" s="193"/>
      <c r="D763" s="193"/>
      <c r="E763" s="193"/>
      <c r="F763" s="193"/>
      <c r="G763" s="193"/>
      <c r="H763" s="193"/>
    </row>
    <row r="764" spans="1:8" ht="15.6">
      <c r="A764" s="193"/>
      <c r="B764" s="193"/>
      <c r="C764" s="193"/>
      <c r="D764" s="193"/>
      <c r="E764" s="193"/>
      <c r="F764" s="193"/>
      <c r="G764" s="193"/>
      <c r="H764" s="193"/>
    </row>
    <row r="765" spans="1:8" ht="15.6">
      <c r="A765" s="193"/>
      <c r="B765" s="193"/>
      <c r="C765" s="193"/>
      <c r="D765" s="193"/>
      <c r="E765" s="193"/>
      <c r="F765" s="193"/>
      <c r="G765" s="193"/>
      <c r="H765" s="193"/>
    </row>
    <row r="766" spans="1:8" ht="15.6">
      <c r="A766" s="193"/>
      <c r="B766" s="193"/>
      <c r="C766" s="193"/>
      <c r="D766" s="193"/>
      <c r="E766" s="193"/>
      <c r="F766" s="193"/>
      <c r="G766" s="193"/>
      <c r="H766" s="193"/>
    </row>
    <row r="767" spans="1:8" ht="15.6">
      <c r="A767" s="193"/>
      <c r="B767" s="193"/>
      <c r="C767" s="193"/>
      <c r="D767" s="193"/>
      <c r="E767" s="193"/>
      <c r="F767" s="193"/>
      <c r="G767" s="193"/>
      <c r="H767" s="193"/>
    </row>
    <row r="768" spans="1:8" ht="15.6">
      <c r="A768" s="193"/>
      <c r="B768" s="193"/>
      <c r="C768" s="193"/>
      <c r="D768" s="193"/>
      <c r="E768" s="193"/>
      <c r="F768" s="193"/>
      <c r="G768" s="193"/>
      <c r="H768" s="193"/>
    </row>
    <row r="769" spans="1:8" ht="15.6">
      <c r="A769" s="193"/>
      <c r="B769" s="193"/>
      <c r="C769" s="193"/>
      <c r="D769" s="193"/>
      <c r="E769" s="193"/>
      <c r="F769" s="193"/>
      <c r="G769" s="193"/>
      <c r="H769" s="193"/>
    </row>
    <row r="770" spans="1:8" ht="15.6">
      <c r="A770" s="193"/>
      <c r="B770" s="193"/>
      <c r="C770" s="193"/>
      <c r="D770" s="193"/>
      <c r="E770" s="193"/>
      <c r="F770" s="193"/>
      <c r="G770" s="193"/>
      <c r="H770" s="193"/>
    </row>
    <row r="771" spans="1:8" ht="15.6">
      <c r="A771" s="193"/>
      <c r="B771" s="193"/>
      <c r="C771" s="193"/>
      <c r="D771" s="193"/>
      <c r="E771" s="193"/>
      <c r="F771" s="193"/>
      <c r="G771" s="193"/>
      <c r="H771" s="193"/>
    </row>
    <row r="772" spans="1:8" ht="15.6">
      <c r="A772" s="193"/>
      <c r="B772" s="193"/>
      <c r="C772" s="193"/>
      <c r="D772" s="193"/>
      <c r="E772" s="193"/>
      <c r="F772" s="193"/>
      <c r="G772" s="193"/>
      <c r="H772" s="193"/>
    </row>
    <row r="773" spans="1:8" ht="15.6">
      <c r="A773" s="193"/>
      <c r="B773" s="193"/>
      <c r="C773" s="193"/>
      <c r="D773" s="193"/>
      <c r="E773" s="193"/>
      <c r="F773" s="193"/>
      <c r="G773" s="193"/>
      <c r="H773" s="193"/>
    </row>
    <row r="774" spans="1:8" ht="15.6">
      <c r="A774" s="193"/>
      <c r="B774" s="193"/>
      <c r="C774" s="193"/>
      <c r="D774" s="193"/>
      <c r="E774" s="193"/>
      <c r="F774" s="193"/>
      <c r="G774" s="193"/>
      <c r="H774" s="193"/>
    </row>
    <row r="775" spans="1:8" ht="15.6">
      <c r="A775" s="193"/>
      <c r="B775" s="193"/>
      <c r="C775" s="193"/>
      <c r="D775" s="193"/>
      <c r="E775" s="193"/>
      <c r="F775" s="193"/>
      <c r="G775" s="193"/>
      <c r="H775" s="193"/>
    </row>
    <row r="776" spans="1:8" ht="15.6">
      <c r="A776" s="193"/>
      <c r="B776" s="193"/>
      <c r="C776" s="193"/>
      <c r="D776" s="193"/>
      <c r="E776" s="193"/>
      <c r="F776" s="193"/>
      <c r="G776" s="193"/>
      <c r="H776" s="193"/>
    </row>
    <row r="777" spans="1:8" ht="15.6">
      <c r="A777" s="193"/>
      <c r="B777" s="193"/>
      <c r="C777" s="193"/>
      <c r="D777" s="193"/>
      <c r="E777" s="193"/>
      <c r="F777" s="193"/>
      <c r="G777" s="193"/>
      <c r="H777" s="193"/>
    </row>
    <row r="778" spans="1:8" ht="15.6">
      <c r="A778" s="193"/>
      <c r="B778" s="193"/>
      <c r="C778" s="193"/>
      <c r="D778" s="193"/>
      <c r="E778" s="193"/>
      <c r="F778" s="193"/>
      <c r="G778" s="193"/>
      <c r="H778" s="193"/>
    </row>
    <row r="779" spans="1:8" ht="15.6">
      <c r="A779" s="193"/>
      <c r="B779" s="193"/>
      <c r="C779" s="193"/>
      <c r="D779" s="193"/>
      <c r="E779" s="193"/>
      <c r="F779" s="193"/>
      <c r="G779" s="193"/>
      <c r="H779" s="193"/>
    </row>
    <row r="780" spans="1:8" ht="15.6">
      <c r="A780" s="193"/>
      <c r="B780" s="193"/>
      <c r="C780" s="193"/>
      <c r="D780" s="193"/>
      <c r="E780" s="193"/>
      <c r="F780" s="193"/>
      <c r="G780" s="193"/>
      <c r="H780" s="193"/>
    </row>
    <row r="781" spans="1:8" ht="15.6">
      <c r="A781" s="193"/>
      <c r="B781" s="193"/>
      <c r="C781" s="193"/>
      <c r="D781" s="193"/>
      <c r="E781" s="193"/>
      <c r="F781" s="193"/>
      <c r="G781" s="193"/>
      <c r="H781" s="193"/>
    </row>
    <row r="782" spans="1:8" ht="15.6">
      <c r="A782" s="193"/>
      <c r="B782" s="193"/>
      <c r="C782" s="193"/>
      <c r="D782" s="193"/>
      <c r="E782" s="193"/>
      <c r="F782" s="193"/>
      <c r="G782" s="193"/>
      <c r="H782" s="193"/>
    </row>
    <row r="783" spans="1:8" ht="15.6">
      <c r="A783" s="193"/>
      <c r="B783" s="193"/>
      <c r="C783" s="193"/>
      <c r="D783" s="193"/>
      <c r="E783" s="193"/>
      <c r="F783" s="193"/>
      <c r="G783" s="193"/>
      <c r="H783" s="193"/>
    </row>
    <row r="784" spans="1:8" ht="15.6">
      <c r="A784" s="193"/>
      <c r="B784" s="193"/>
      <c r="C784" s="193"/>
      <c r="D784" s="193"/>
      <c r="E784" s="193"/>
      <c r="F784" s="193"/>
      <c r="G784" s="193"/>
      <c r="H784" s="193"/>
    </row>
    <row r="785" spans="1:8" ht="15.6">
      <c r="A785" s="193"/>
      <c r="B785" s="193"/>
      <c r="C785" s="193"/>
      <c r="D785" s="193"/>
      <c r="E785" s="193"/>
      <c r="F785" s="193"/>
      <c r="G785" s="193"/>
      <c r="H785" s="193"/>
    </row>
    <row r="786" spans="1:8" ht="15.6">
      <c r="A786" s="193"/>
      <c r="B786" s="193"/>
      <c r="C786" s="193"/>
      <c r="D786" s="193"/>
      <c r="E786" s="193"/>
      <c r="F786" s="193"/>
      <c r="G786" s="193"/>
      <c r="H786" s="193"/>
    </row>
    <row r="787" spans="1:8" ht="15.6">
      <c r="A787" s="193"/>
      <c r="B787" s="193"/>
      <c r="C787" s="193"/>
      <c r="D787" s="193"/>
      <c r="E787" s="193"/>
      <c r="F787" s="193"/>
      <c r="G787" s="193"/>
      <c r="H787" s="193"/>
    </row>
    <row r="788" spans="1:8" ht="15.6">
      <c r="A788" s="193"/>
      <c r="B788" s="193"/>
      <c r="C788" s="193"/>
      <c r="D788" s="193"/>
      <c r="E788" s="193"/>
      <c r="F788" s="193"/>
      <c r="G788" s="193"/>
      <c r="H788" s="193"/>
    </row>
    <row r="789" spans="1:8" ht="15.6">
      <c r="A789" s="193"/>
      <c r="B789" s="193"/>
      <c r="C789" s="193"/>
      <c r="D789" s="193"/>
      <c r="E789" s="193"/>
      <c r="F789" s="193"/>
      <c r="G789" s="193"/>
      <c r="H789" s="193"/>
    </row>
    <row r="790" spans="1:8" ht="15.6">
      <c r="A790" s="193"/>
      <c r="B790" s="193"/>
      <c r="C790" s="193"/>
      <c r="D790" s="193"/>
      <c r="E790" s="193"/>
      <c r="F790" s="193"/>
      <c r="G790" s="193"/>
      <c r="H790" s="193"/>
    </row>
    <row r="791" spans="1:8" ht="15.6">
      <c r="A791" s="193"/>
      <c r="B791" s="193"/>
      <c r="C791" s="193"/>
      <c r="D791" s="193"/>
      <c r="E791" s="193"/>
      <c r="F791" s="193"/>
      <c r="G791" s="193"/>
      <c r="H791" s="193"/>
    </row>
    <row r="792" spans="1:8" ht="15.6">
      <c r="A792" s="193"/>
      <c r="B792" s="193"/>
      <c r="C792" s="193"/>
      <c r="D792" s="193"/>
      <c r="E792" s="193"/>
      <c r="F792" s="193"/>
      <c r="G792" s="193"/>
      <c r="H792" s="193"/>
    </row>
    <row r="793" spans="1:8" ht="15.6">
      <c r="A793" s="193"/>
      <c r="B793" s="193"/>
      <c r="C793" s="193"/>
      <c r="D793" s="193"/>
      <c r="E793" s="193"/>
      <c r="F793" s="193"/>
      <c r="G793" s="193"/>
      <c r="H793" s="193"/>
    </row>
    <row r="794" spans="1:8" ht="15.6">
      <c r="A794" s="193"/>
      <c r="B794" s="193"/>
      <c r="C794" s="193"/>
      <c r="D794" s="193"/>
      <c r="E794" s="193"/>
      <c r="F794" s="193"/>
      <c r="G794" s="193"/>
      <c r="H794" s="193"/>
    </row>
    <row r="795" spans="1:8" ht="15.6">
      <c r="A795" s="193"/>
      <c r="B795" s="193"/>
      <c r="C795" s="193"/>
      <c r="D795" s="193"/>
      <c r="E795" s="193"/>
      <c r="F795" s="193"/>
      <c r="G795" s="193"/>
      <c r="H795" s="193"/>
    </row>
    <row r="796" spans="1:8" ht="15.6">
      <c r="A796" s="193"/>
      <c r="B796" s="193"/>
      <c r="C796" s="193"/>
      <c r="D796" s="193"/>
      <c r="E796" s="193"/>
      <c r="F796" s="193"/>
      <c r="G796" s="193"/>
      <c r="H796" s="193"/>
    </row>
    <row r="797" spans="1:8" ht="15.6">
      <c r="A797" s="193"/>
      <c r="B797" s="193"/>
      <c r="C797" s="193"/>
      <c r="D797" s="193"/>
      <c r="E797" s="193"/>
      <c r="F797" s="193"/>
      <c r="G797" s="193"/>
      <c r="H797" s="193"/>
    </row>
    <row r="798" spans="1:8" ht="15.6">
      <c r="A798" s="193"/>
      <c r="B798" s="193"/>
      <c r="C798" s="193"/>
      <c r="D798" s="193"/>
      <c r="E798" s="193"/>
      <c r="F798" s="193"/>
      <c r="G798" s="193"/>
      <c r="H798" s="193"/>
    </row>
    <row r="799" spans="1:8" ht="15.6">
      <c r="A799" s="193"/>
      <c r="B799" s="193"/>
      <c r="C799" s="193"/>
      <c r="D799" s="193"/>
      <c r="E799" s="193"/>
      <c r="F799" s="193"/>
      <c r="G799" s="193"/>
      <c r="H799" s="193"/>
    </row>
    <row r="800" spans="1:8" ht="15.6">
      <c r="A800" s="193"/>
      <c r="B800" s="193"/>
      <c r="C800" s="193"/>
      <c r="D800" s="193"/>
      <c r="E800" s="193"/>
      <c r="F800" s="193"/>
      <c r="G800" s="193"/>
      <c r="H800" s="193"/>
    </row>
    <row r="801" spans="1:8" ht="15.6">
      <c r="A801" s="193"/>
      <c r="B801" s="193"/>
      <c r="C801" s="193"/>
      <c r="D801" s="193"/>
      <c r="E801" s="193"/>
      <c r="F801" s="193"/>
      <c r="G801" s="193"/>
      <c r="H801" s="193"/>
    </row>
    <row r="802" spans="1:8" ht="15.6">
      <c r="A802" s="193"/>
      <c r="B802" s="193"/>
      <c r="C802" s="193"/>
      <c r="D802" s="193"/>
      <c r="E802" s="193"/>
      <c r="F802" s="193"/>
      <c r="G802" s="193"/>
      <c r="H802" s="193"/>
    </row>
    <row r="803" spans="1:8" ht="15.6">
      <c r="A803" s="193"/>
      <c r="B803" s="193"/>
      <c r="C803" s="193"/>
      <c r="D803" s="193"/>
      <c r="E803" s="193"/>
      <c r="F803" s="193"/>
      <c r="G803" s="193"/>
      <c r="H803" s="193"/>
    </row>
    <row r="804" spans="1:8" ht="15.6">
      <c r="A804" s="193"/>
      <c r="B804" s="193"/>
      <c r="C804" s="193"/>
      <c r="D804" s="193"/>
      <c r="E804" s="193"/>
      <c r="F804" s="193"/>
      <c r="G804" s="193"/>
      <c r="H804" s="193"/>
    </row>
    <row r="805" spans="1:8" ht="15.6">
      <c r="A805" s="193"/>
      <c r="B805" s="193"/>
      <c r="C805" s="193"/>
      <c r="D805" s="193"/>
      <c r="E805" s="193"/>
      <c r="F805" s="193"/>
      <c r="G805" s="193"/>
      <c r="H805" s="193"/>
    </row>
    <row r="806" spans="1:8" ht="15.6">
      <c r="A806" s="193"/>
      <c r="B806" s="193"/>
      <c r="C806" s="193"/>
      <c r="D806" s="193"/>
      <c r="E806" s="193"/>
      <c r="F806" s="193"/>
      <c r="G806" s="193"/>
      <c r="H806" s="193"/>
    </row>
    <row r="807" spans="1:8" ht="15.6">
      <c r="A807" s="193"/>
      <c r="B807" s="193"/>
      <c r="C807" s="193"/>
      <c r="D807" s="193"/>
      <c r="E807" s="193"/>
      <c r="F807" s="193"/>
      <c r="G807" s="193"/>
      <c r="H807" s="193"/>
    </row>
    <row r="808" spans="1:8" ht="15.6">
      <c r="A808" s="193"/>
      <c r="B808" s="193"/>
      <c r="C808" s="193"/>
      <c r="D808" s="193"/>
      <c r="E808" s="193"/>
      <c r="F808" s="193"/>
      <c r="G808" s="193"/>
      <c r="H808" s="193"/>
    </row>
    <row r="809" spans="1:8" ht="15.6">
      <c r="A809" s="193"/>
      <c r="B809" s="193"/>
      <c r="C809" s="193"/>
      <c r="D809" s="193"/>
      <c r="E809" s="193"/>
      <c r="F809" s="193"/>
      <c r="G809" s="193"/>
      <c r="H809" s="193"/>
    </row>
    <row r="810" spans="1:8" ht="15.6">
      <c r="A810" s="193"/>
      <c r="B810" s="193"/>
      <c r="C810" s="193"/>
      <c r="D810" s="193"/>
      <c r="E810" s="193"/>
      <c r="F810" s="193"/>
      <c r="G810" s="193"/>
      <c r="H810" s="193"/>
    </row>
    <row r="811" spans="1:8" ht="15.6">
      <c r="A811" s="193"/>
      <c r="B811" s="193"/>
      <c r="C811" s="193"/>
      <c r="D811" s="193"/>
      <c r="E811" s="193"/>
      <c r="F811" s="193"/>
      <c r="G811" s="193"/>
      <c r="H811" s="193"/>
    </row>
    <row r="812" spans="1:8" ht="15.6">
      <c r="A812" s="193"/>
      <c r="B812" s="193"/>
      <c r="C812" s="193"/>
      <c r="D812" s="193"/>
      <c r="E812" s="193"/>
      <c r="F812" s="193"/>
      <c r="G812" s="193"/>
      <c r="H812" s="193"/>
    </row>
    <row r="813" spans="1:8" ht="15.6">
      <c r="A813" s="193"/>
      <c r="B813" s="193"/>
      <c r="C813" s="193"/>
      <c r="D813" s="193"/>
      <c r="E813" s="193"/>
      <c r="F813" s="193"/>
      <c r="G813" s="193"/>
      <c r="H813" s="193"/>
    </row>
    <row r="814" spans="1:8" ht="15.6">
      <c r="A814" s="193"/>
      <c r="B814" s="193"/>
      <c r="C814" s="193"/>
      <c r="D814" s="193"/>
      <c r="E814" s="193"/>
      <c r="F814" s="193"/>
      <c r="G814" s="193"/>
      <c r="H814" s="193"/>
    </row>
    <row r="815" spans="1:8" ht="15.6">
      <c r="A815" s="193"/>
      <c r="B815" s="193"/>
      <c r="C815" s="193"/>
      <c r="D815" s="193"/>
      <c r="E815" s="193"/>
      <c r="F815" s="193"/>
      <c r="G815" s="193"/>
      <c r="H815" s="193"/>
    </row>
    <row r="816" spans="1:8" ht="15.6">
      <c r="A816" s="193"/>
      <c r="B816" s="193"/>
      <c r="C816" s="193"/>
      <c r="D816" s="193"/>
      <c r="E816" s="193"/>
      <c r="F816" s="193"/>
      <c r="G816" s="193"/>
      <c r="H816" s="193"/>
    </row>
    <row r="817" spans="1:8" ht="15.6">
      <c r="A817" s="193"/>
      <c r="B817" s="193"/>
      <c r="C817" s="193"/>
      <c r="D817" s="193"/>
      <c r="E817" s="193"/>
      <c r="F817" s="193"/>
      <c r="G817" s="193"/>
      <c r="H817" s="193"/>
    </row>
    <row r="818" spans="1:8" ht="15.6">
      <c r="A818" s="193"/>
      <c r="B818" s="193"/>
      <c r="C818" s="193"/>
      <c r="D818" s="193"/>
      <c r="E818" s="193"/>
      <c r="F818" s="193"/>
      <c r="G818" s="193"/>
      <c r="H818" s="193"/>
    </row>
    <row r="819" spans="1:8" ht="15.6">
      <c r="A819" s="193"/>
      <c r="B819" s="193"/>
      <c r="C819" s="193"/>
      <c r="D819" s="193"/>
      <c r="E819" s="193"/>
      <c r="F819" s="193"/>
      <c r="G819" s="193"/>
      <c r="H819" s="193"/>
    </row>
    <row r="820" spans="1:8" ht="15.6">
      <c r="A820" s="193"/>
      <c r="B820" s="193"/>
      <c r="C820" s="193"/>
      <c r="D820" s="193"/>
      <c r="E820" s="193"/>
      <c r="F820" s="193"/>
      <c r="G820" s="193"/>
      <c r="H820" s="193"/>
    </row>
    <row r="821" spans="1:8" ht="15.6">
      <c r="A821" s="193"/>
      <c r="B821" s="193"/>
      <c r="C821" s="193"/>
      <c r="D821" s="193"/>
      <c r="E821" s="193"/>
      <c r="F821" s="193"/>
      <c r="G821" s="193"/>
      <c r="H821" s="193"/>
    </row>
    <row r="822" spans="1:8" ht="15.6">
      <c r="A822" s="193"/>
      <c r="B822" s="193"/>
      <c r="C822" s="193"/>
      <c r="D822" s="193"/>
      <c r="E822" s="193"/>
      <c r="F822" s="193"/>
      <c r="G822" s="193"/>
      <c r="H822" s="193"/>
    </row>
    <row r="823" spans="1:8" ht="15.6">
      <c r="A823" s="193"/>
      <c r="B823" s="193"/>
      <c r="C823" s="193"/>
      <c r="D823" s="193"/>
      <c r="E823" s="193"/>
      <c r="F823" s="193"/>
      <c r="G823" s="193"/>
      <c r="H823" s="193"/>
    </row>
    <row r="824" spans="1:8" ht="15.6">
      <c r="A824" s="193"/>
      <c r="B824" s="193"/>
      <c r="C824" s="193"/>
      <c r="D824" s="193"/>
      <c r="E824" s="193"/>
      <c r="F824" s="193"/>
      <c r="G824" s="193"/>
      <c r="H824" s="193"/>
    </row>
    <row r="825" spans="1:8" ht="15.6">
      <c r="A825" s="193"/>
      <c r="B825" s="193"/>
      <c r="C825" s="193"/>
      <c r="D825" s="193"/>
      <c r="E825" s="193"/>
      <c r="F825" s="193"/>
      <c r="G825" s="193"/>
      <c r="H825" s="193"/>
    </row>
    <row r="826" spans="1:8" ht="15.6">
      <c r="A826" s="193"/>
      <c r="B826" s="193"/>
      <c r="C826" s="193"/>
      <c r="D826" s="193"/>
      <c r="E826" s="193"/>
      <c r="F826" s="193"/>
      <c r="G826" s="193"/>
      <c r="H826" s="193"/>
    </row>
    <row r="827" spans="1:8" ht="15.6">
      <c r="A827" s="193"/>
      <c r="B827" s="193"/>
      <c r="C827" s="193"/>
      <c r="D827" s="193"/>
      <c r="E827" s="193"/>
      <c r="F827" s="193"/>
      <c r="G827" s="193"/>
      <c r="H827" s="193"/>
    </row>
    <row r="828" spans="1:8" ht="15.6">
      <c r="A828" s="193"/>
      <c r="B828" s="193"/>
      <c r="C828" s="193"/>
      <c r="D828" s="193"/>
      <c r="E828" s="193"/>
      <c r="F828" s="193"/>
      <c r="G828" s="193"/>
      <c r="H828" s="193"/>
    </row>
    <row r="829" spans="1:8" ht="15.6">
      <c r="A829" s="193"/>
      <c r="B829" s="193"/>
      <c r="C829" s="193"/>
      <c r="D829" s="193"/>
      <c r="E829" s="193"/>
      <c r="F829" s="193"/>
      <c r="G829" s="193"/>
      <c r="H829" s="193"/>
    </row>
    <row r="830" spans="1:8" ht="15.6">
      <c r="A830" s="193"/>
      <c r="B830" s="193"/>
      <c r="C830" s="193"/>
      <c r="D830" s="193"/>
      <c r="E830" s="193"/>
      <c r="F830" s="193"/>
      <c r="G830" s="193"/>
      <c r="H830" s="193"/>
    </row>
    <row r="831" spans="1:8" ht="15.6">
      <c r="A831" s="193"/>
      <c r="B831" s="193"/>
      <c r="C831" s="193"/>
      <c r="D831" s="193"/>
      <c r="E831" s="193"/>
      <c r="F831" s="193"/>
      <c r="G831" s="193"/>
      <c r="H831" s="193"/>
    </row>
    <row r="832" spans="1:8" ht="15.6">
      <c r="A832" s="193"/>
      <c r="B832" s="193"/>
      <c r="C832" s="193"/>
      <c r="D832" s="193"/>
      <c r="E832" s="193"/>
      <c r="F832" s="193"/>
      <c r="G832" s="193"/>
      <c r="H832" s="193"/>
    </row>
    <row r="833" spans="1:8" ht="15.6">
      <c r="A833" s="193"/>
      <c r="B833" s="193"/>
      <c r="C833" s="193"/>
      <c r="D833" s="193"/>
      <c r="E833" s="193"/>
      <c r="F833" s="193"/>
      <c r="G833" s="193"/>
      <c r="H833" s="193"/>
    </row>
    <row r="834" spans="1:8" ht="15.6">
      <c r="A834" s="193"/>
      <c r="B834" s="193"/>
      <c r="C834" s="193"/>
      <c r="D834" s="193"/>
      <c r="E834" s="193"/>
      <c r="F834" s="193"/>
      <c r="G834" s="193"/>
      <c r="H834" s="193"/>
    </row>
    <row r="835" spans="1:8" ht="15.6">
      <c r="A835" s="193"/>
      <c r="B835" s="193"/>
      <c r="C835" s="193"/>
      <c r="D835" s="193"/>
      <c r="E835" s="193"/>
      <c r="F835" s="193"/>
      <c r="G835" s="193"/>
      <c r="H835" s="193"/>
    </row>
    <row r="836" spans="1:8" ht="15.6">
      <c r="A836" s="193"/>
      <c r="B836" s="193"/>
      <c r="C836" s="193"/>
      <c r="D836" s="193"/>
      <c r="E836" s="193"/>
      <c r="F836" s="193"/>
      <c r="G836" s="193"/>
      <c r="H836" s="193"/>
    </row>
    <row r="837" spans="1:8" ht="15.6">
      <c r="A837" s="193"/>
      <c r="B837" s="193"/>
      <c r="C837" s="193"/>
      <c r="D837" s="193"/>
      <c r="E837" s="193"/>
      <c r="F837" s="193"/>
      <c r="G837" s="193"/>
      <c r="H837" s="193"/>
    </row>
    <row r="838" spans="1:8" ht="15.6">
      <c r="A838" s="193"/>
      <c r="B838" s="193"/>
      <c r="C838" s="193"/>
      <c r="D838" s="193"/>
      <c r="E838" s="193"/>
      <c r="F838" s="193"/>
      <c r="G838" s="193"/>
      <c r="H838" s="193"/>
    </row>
    <row r="839" spans="1:8" ht="15.6">
      <c r="A839" s="193"/>
      <c r="B839" s="193"/>
      <c r="C839" s="193"/>
      <c r="D839" s="193"/>
      <c r="E839" s="193"/>
      <c r="F839" s="193"/>
      <c r="G839" s="193"/>
      <c r="H839" s="193"/>
    </row>
    <row r="840" spans="1:8" ht="15.6">
      <c r="A840" s="193"/>
      <c r="B840" s="193"/>
      <c r="C840" s="193"/>
      <c r="D840" s="193"/>
      <c r="E840" s="193"/>
      <c r="F840" s="193"/>
      <c r="G840" s="193"/>
      <c r="H840" s="193"/>
    </row>
    <row r="841" spans="1:8" ht="15.6">
      <c r="A841" s="193"/>
      <c r="B841" s="193"/>
      <c r="C841" s="193"/>
      <c r="D841" s="193"/>
      <c r="E841" s="193"/>
      <c r="F841" s="193"/>
      <c r="G841" s="193"/>
      <c r="H841" s="193"/>
    </row>
    <row r="842" spans="1:8" ht="15.6">
      <c r="A842" s="193"/>
      <c r="B842" s="193"/>
      <c r="C842" s="193"/>
      <c r="D842" s="193"/>
      <c r="E842" s="193"/>
      <c r="F842" s="193"/>
      <c r="G842" s="193"/>
      <c r="H842" s="193"/>
    </row>
    <row r="843" spans="1:8" ht="15.6">
      <c r="A843" s="193"/>
      <c r="B843" s="193"/>
      <c r="C843" s="193"/>
      <c r="D843" s="193"/>
      <c r="E843" s="193"/>
      <c r="F843" s="193"/>
      <c r="G843" s="193"/>
      <c r="H843" s="193"/>
    </row>
    <row r="844" spans="1:8" ht="15.6">
      <c r="A844" s="193"/>
      <c r="B844" s="193"/>
      <c r="C844" s="193"/>
      <c r="D844" s="193"/>
      <c r="E844" s="193"/>
      <c r="F844" s="193"/>
      <c r="G844" s="193"/>
      <c r="H844" s="193"/>
    </row>
    <row r="845" spans="1:8" ht="15.6">
      <c r="A845" s="193"/>
      <c r="B845" s="193"/>
      <c r="C845" s="193"/>
      <c r="D845" s="193"/>
      <c r="E845" s="193"/>
      <c r="F845" s="193"/>
      <c r="G845" s="193"/>
      <c r="H845" s="193"/>
    </row>
    <row r="846" spans="1:8" ht="15.6">
      <c r="A846" s="193"/>
      <c r="B846" s="193"/>
      <c r="C846" s="193"/>
      <c r="D846" s="193"/>
      <c r="E846" s="193"/>
      <c r="F846" s="193"/>
      <c r="G846" s="193"/>
      <c r="H846" s="193"/>
    </row>
    <row r="847" spans="1:8" ht="15.6">
      <c r="A847" s="193"/>
      <c r="B847" s="193"/>
      <c r="C847" s="193"/>
      <c r="D847" s="193"/>
      <c r="E847" s="193"/>
      <c r="F847" s="193"/>
      <c r="G847" s="193"/>
      <c r="H847" s="193"/>
    </row>
    <row r="848" spans="1:8" ht="15.6">
      <c r="A848" s="193"/>
      <c r="B848" s="193"/>
      <c r="C848" s="193"/>
      <c r="D848" s="193"/>
      <c r="E848" s="193"/>
      <c r="F848" s="193"/>
      <c r="G848" s="193"/>
      <c r="H848" s="193"/>
    </row>
    <row r="849" spans="1:8" ht="15.6">
      <c r="A849" s="193"/>
      <c r="B849" s="193"/>
      <c r="C849" s="193"/>
      <c r="D849" s="193"/>
      <c r="E849" s="193"/>
      <c r="F849" s="193"/>
      <c r="G849" s="193"/>
      <c r="H849" s="193"/>
    </row>
    <row r="850" spans="1:8" ht="15.6">
      <c r="A850" s="193"/>
      <c r="B850" s="193"/>
      <c r="C850" s="193"/>
      <c r="D850" s="193"/>
      <c r="E850" s="193"/>
      <c r="F850" s="193"/>
      <c r="G850" s="193"/>
      <c r="H850" s="193"/>
    </row>
    <row r="851" spans="1:8" ht="15.6">
      <c r="A851" s="193"/>
      <c r="B851" s="193"/>
      <c r="C851" s="193"/>
      <c r="D851" s="193"/>
      <c r="E851" s="193"/>
      <c r="F851" s="193"/>
      <c r="G851" s="193"/>
      <c r="H851" s="193"/>
    </row>
    <row r="852" spans="1:8" ht="15.6">
      <c r="A852" s="193"/>
      <c r="B852" s="193"/>
      <c r="C852" s="193"/>
      <c r="D852" s="193"/>
      <c r="E852" s="193"/>
      <c r="F852" s="193"/>
      <c r="G852" s="193"/>
      <c r="H852" s="193"/>
    </row>
    <row r="853" spans="1:8" ht="15.6">
      <c r="A853" s="193"/>
      <c r="B853" s="193"/>
      <c r="C853" s="193"/>
      <c r="D853" s="193"/>
      <c r="E853" s="193"/>
      <c r="F853" s="193"/>
      <c r="G853" s="193"/>
      <c r="H853" s="193"/>
    </row>
    <row r="854" spans="1:8" ht="15.6">
      <c r="A854" s="193"/>
      <c r="B854" s="193"/>
      <c r="C854" s="193"/>
      <c r="D854" s="193"/>
      <c r="E854" s="193"/>
      <c r="F854" s="193"/>
      <c r="G854" s="193"/>
      <c r="H854" s="193"/>
    </row>
    <row r="855" spans="1:8" ht="15.6">
      <c r="A855" s="193"/>
      <c r="B855" s="193"/>
      <c r="C855" s="193"/>
      <c r="D855" s="193"/>
      <c r="E855" s="193"/>
      <c r="F855" s="193"/>
      <c r="G855" s="193"/>
      <c r="H855" s="193"/>
    </row>
    <row r="856" spans="1:8" ht="15.6">
      <c r="A856" s="193"/>
      <c r="B856" s="193"/>
      <c r="C856" s="193"/>
      <c r="D856" s="193"/>
      <c r="E856" s="193"/>
      <c r="F856" s="193"/>
      <c r="G856" s="193"/>
      <c r="H856" s="193"/>
    </row>
    <row r="857" spans="1:8" ht="15.6">
      <c r="A857" s="193"/>
      <c r="B857" s="193"/>
      <c r="C857" s="193"/>
      <c r="D857" s="193"/>
      <c r="E857" s="193"/>
      <c r="F857" s="193"/>
      <c r="G857" s="193"/>
      <c r="H857" s="193"/>
    </row>
    <row r="858" spans="1:8" ht="15.6">
      <c r="A858" s="193"/>
      <c r="B858" s="193"/>
      <c r="C858" s="193"/>
      <c r="D858" s="193"/>
      <c r="E858" s="193"/>
      <c r="F858" s="193"/>
      <c r="G858" s="193"/>
      <c r="H858" s="193"/>
    </row>
    <row r="859" spans="1:8" ht="15.6">
      <c r="A859" s="193"/>
      <c r="B859" s="193"/>
      <c r="C859" s="193"/>
      <c r="D859" s="193"/>
      <c r="E859" s="193"/>
      <c r="F859" s="193"/>
      <c r="G859" s="193"/>
      <c r="H859" s="193"/>
    </row>
    <row r="860" spans="1:8" ht="15.6">
      <c r="A860" s="193"/>
      <c r="B860" s="193"/>
      <c r="C860" s="193"/>
      <c r="D860" s="193"/>
      <c r="E860" s="193"/>
      <c r="F860" s="193"/>
      <c r="G860" s="193"/>
      <c r="H860" s="193"/>
    </row>
    <row r="861" spans="1:8" ht="15.6">
      <c r="A861" s="193"/>
      <c r="B861" s="193"/>
      <c r="C861" s="193"/>
      <c r="D861" s="193"/>
      <c r="E861" s="193"/>
      <c r="F861" s="193"/>
      <c r="G861" s="193"/>
      <c r="H861" s="193"/>
    </row>
    <row r="862" spans="1:8" ht="15.6">
      <c r="A862" s="193"/>
      <c r="B862" s="193"/>
      <c r="C862" s="193"/>
      <c r="D862" s="193"/>
      <c r="E862" s="193"/>
      <c r="F862" s="193"/>
      <c r="G862" s="193"/>
      <c r="H862" s="193"/>
    </row>
    <row r="863" spans="1:8" ht="15.6">
      <c r="A863" s="193"/>
      <c r="B863" s="193"/>
      <c r="C863" s="193"/>
      <c r="D863" s="193"/>
      <c r="E863" s="193"/>
      <c r="F863" s="193"/>
      <c r="G863" s="193"/>
      <c r="H863" s="193"/>
    </row>
    <row r="864" spans="1:8" ht="15.6">
      <c r="A864" s="193"/>
      <c r="B864" s="193"/>
      <c r="C864" s="193"/>
      <c r="D864" s="193"/>
      <c r="E864" s="193"/>
      <c r="F864" s="193"/>
      <c r="G864" s="193"/>
      <c r="H864" s="193"/>
    </row>
    <row r="865" spans="1:8" ht="15.6">
      <c r="A865" s="193"/>
      <c r="B865" s="193"/>
      <c r="C865" s="193"/>
      <c r="D865" s="193"/>
      <c r="E865" s="193"/>
      <c r="F865" s="193"/>
      <c r="G865" s="193"/>
      <c r="H865" s="193"/>
    </row>
    <row r="866" spans="1:8" ht="15.6">
      <c r="A866" s="193"/>
      <c r="B866" s="193"/>
      <c r="C866" s="193"/>
      <c r="D866" s="193"/>
      <c r="E866" s="193"/>
      <c r="F866" s="193"/>
      <c r="G866" s="193"/>
      <c r="H866" s="193"/>
    </row>
    <row r="867" spans="1:8" ht="15.6">
      <c r="A867" s="193"/>
      <c r="B867" s="193"/>
      <c r="C867" s="193"/>
      <c r="D867" s="193"/>
      <c r="E867" s="193"/>
      <c r="F867" s="193"/>
      <c r="G867" s="193"/>
      <c r="H867" s="193"/>
    </row>
    <row r="868" spans="1:8" ht="15.6">
      <c r="A868" s="193"/>
      <c r="B868" s="193"/>
      <c r="C868" s="193"/>
      <c r="D868" s="193"/>
      <c r="E868" s="193"/>
      <c r="F868" s="193"/>
      <c r="G868" s="193"/>
      <c r="H868" s="193"/>
    </row>
    <row r="869" spans="1:8" ht="15.6">
      <c r="A869" s="193"/>
      <c r="B869" s="193"/>
      <c r="C869" s="193"/>
      <c r="D869" s="193"/>
      <c r="E869" s="193"/>
      <c r="F869" s="193"/>
      <c r="G869" s="193"/>
      <c r="H869" s="193"/>
    </row>
    <row r="870" spans="1:8" ht="15.6">
      <c r="A870" s="193"/>
      <c r="B870" s="193"/>
      <c r="C870" s="193"/>
      <c r="D870" s="193"/>
      <c r="E870" s="193"/>
      <c r="F870" s="193"/>
      <c r="G870" s="193"/>
      <c r="H870" s="193"/>
    </row>
    <row r="871" spans="1:8" ht="15.6">
      <c r="A871" s="193"/>
      <c r="B871" s="193"/>
      <c r="C871" s="193"/>
      <c r="D871" s="193"/>
      <c r="E871" s="193"/>
      <c r="F871" s="193"/>
      <c r="G871" s="193"/>
      <c r="H871" s="193"/>
    </row>
    <row r="872" spans="1:8" ht="15.6">
      <c r="A872" s="193"/>
      <c r="B872" s="193"/>
      <c r="C872" s="193"/>
      <c r="D872" s="193"/>
      <c r="E872" s="193"/>
      <c r="F872" s="193"/>
      <c r="G872" s="193"/>
      <c r="H872" s="193"/>
    </row>
    <row r="873" spans="1:8" ht="15.6">
      <c r="A873" s="193"/>
      <c r="B873" s="193"/>
      <c r="C873" s="193"/>
      <c r="D873" s="193"/>
      <c r="E873" s="193"/>
      <c r="F873" s="193"/>
      <c r="G873" s="193"/>
      <c r="H873" s="193"/>
    </row>
    <row r="874" spans="1:8" ht="15.6">
      <c r="A874" s="193"/>
      <c r="B874" s="193"/>
      <c r="C874" s="193"/>
      <c r="D874" s="193"/>
      <c r="E874" s="193"/>
      <c r="F874" s="193"/>
      <c r="G874" s="193"/>
      <c r="H874" s="193"/>
    </row>
    <row r="875" spans="1:8" ht="15.6">
      <c r="A875" s="193"/>
      <c r="B875" s="193"/>
      <c r="C875" s="193"/>
      <c r="D875" s="193"/>
      <c r="E875" s="193"/>
      <c r="F875" s="193"/>
      <c r="G875" s="193"/>
      <c r="H875" s="193"/>
    </row>
    <row r="876" spans="1:8" ht="15.6">
      <c r="A876" s="193"/>
      <c r="B876" s="193"/>
      <c r="C876" s="193"/>
      <c r="D876" s="193"/>
      <c r="E876" s="193"/>
      <c r="F876" s="193"/>
      <c r="G876" s="193"/>
      <c r="H876" s="193"/>
    </row>
    <row r="877" spans="1:8" ht="15.6">
      <c r="A877" s="193"/>
      <c r="B877" s="193"/>
      <c r="C877" s="193"/>
      <c r="D877" s="193"/>
      <c r="E877" s="193"/>
      <c r="F877" s="193"/>
      <c r="G877" s="193"/>
      <c r="H877" s="193"/>
    </row>
    <row r="878" spans="1:8" ht="15.6">
      <c r="A878" s="193"/>
      <c r="B878" s="193"/>
      <c r="C878" s="193"/>
      <c r="D878" s="193"/>
      <c r="E878" s="193"/>
      <c r="F878" s="193"/>
      <c r="G878" s="193"/>
      <c r="H878" s="193"/>
    </row>
    <row r="879" spans="1:8" ht="15.6">
      <c r="A879" s="193"/>
      <c r="B879" s="193"/>
      <c r="C879" s="193"/>
      <c r="D879" s="193"/>
      <c r="E879" s="193"/>
      <c r="F879" s="193"/>
      <c r="G879" s="193"/>
      <c r="H879" s="193"/>
    </row>
    <row r="880" spans="1:8" ht="15.6">
      <c r="A880" s="193"/>
      <c r="B880" s="193"/>
      <c r="C880" s="193"/>
      <c r="D880" s="193"/>
      <c r="E880" s="193"/>
      <c r="F880" s="193"/>
      <c r="G880" s="193"/>
      <c r="H880" s="193"/>
    </row>
    <row r="881" spans="1:8" ht="15.6">
      <c r="A881" s="193"/>
      <c r="B881" s="193"/>
      <c r="C881" s="193"/>
      <c r="D881" s="193"/>
      <c r="E881" s="193"/>
      <c r="F881" s="193"/>
      <c r="G881" s="193"/>
      <c r="H881" s="193"/>
    </row>
    <row r="882" spans="1:8" ht="15.6">
      <c r="A882" s="193"/>
      <c r="B882" s="193"/>
      <c r="C882" s="193"/>
      <c r="D882" s="193"/>
      <c r="E882" s="193"/>
      <c r="F882" s="193"/>
      <c r="G882" s="193"/>
      <c r="H882" s="193"/>
    </row>
    <row r="883" spans="1:8" ht="15.6">
      <c r="A883" s="193"/>
      <c r="B883" s="193"/>
      <c r="C883" s="193"/>
      <c r="D883" s="193"/>
      <c r="E883" s="193"/>
      <c r="F883" s="193"/>
      <c r="G883" s="193"/>
      <c r="H883" s="193"/>
    </row>
    <row r="884" spans="1:8" ht="15.6">
      <c r="A884" s="193"/>
      <c r="B884" s="193"/>
      <c r="C884" s="193"/>
      <c r="D884" s="193"/>
      <c r="E884" s="193"/>
      <c r="F884" s="193"/>
      <c r="G884" s="193"/>
      <c r="H884" s="193"/>
    </row>
    <row r="885" spans="1:8" ht="15.6">
      <c r="A885" s="193"/>
      <c r="B885" s="193"/>
      <c r="C885" s="193"/>
      <c r="D885" s="193"/>
      <c r="E885" s="193"/>
      <c r="F885" s="193"/>
      <c r="G885" s="193"/>
      <c r="H885" s="193"/>
    </row>
    <row r="886" spans="1:8" ht="15.6">
      <c r="A886" s="193"/>
      <c r="B886" s="193"/>
      <c r="C886" s="193"/>
      <c r="D886" s="193"/>
      <c r="E886" s="193"/>
      <c r="F886" s="193"/>
      <c r="G886" s="193"/>
      <c r="H886" s="193"/>
    </row>
    <row r="887" spans="1:8" ht="15.6">
      <c r="A887" s="193"/>
      <c r="B887" s="193"/>
      <c r="C887" s="193"/>
      <c r="D887" s="193"/>
      <c r="E887" s="193"/>
      <c r="F887" s="193"/>
      <c r="G887" s="193"/>
      <c r="H887" s="193"/>
    </row>
    <row r="888" spans="1:8" ht="15.6">
      <c r="A888" s="193"/>
      <c r="B888" s="193"/>
      <c r="C888" s="193"/>
      <c r="D888" s="193"/>
      <c r="E888" s="193"/>
      <c r="F888" s="193"/>
      <c r="G888" s="193"/>
      <c r="H888" s="193"/>
    </row>
    <row r="889" spans="1:8" ht="15.6">
      <c r="A889" s="193"/>
      <c r="B889" s="193"/>
      <c r="C889" s="193"/>
      <c r="D889" s="193"/>
      <c r="E889" s="193"/>
      <c r="F889" s="193"/>
      <c r="G889" s="193"/>
      <c r="H889" s="193"/>
    </row>
    <row r="890" spans="1:8" ht="15.6">
      <c r="A890" s="193"/>
      <c r="B890" s="193"/>
      <c r="C890" s="193"/>
      <c r="D890" s="193"/>
      <c r="E890" s="193"/>
      <c r="F890" s="193"/>
      <c r="G890" s="193"/>
      <c r="H890" s="193"/>
    </row>
    <row r="891" spans="1:8" ht="15.6">
      <c r="A891" s="193"/>
      <c r="B891" s="193"/>
      <c r="C891" s="193"/>
      <c r="D891" s="193"/>
      <c r="E891" s="193"/>
      <c r="F891" s="193"/>
      <c r="G891" s="193"/>
      <c r="H891" s="193"/>
    </row>
    <row r="892" spans="1:8" ht="15.6">
      <c r="A892" s="193"/>
      <c r="B892" s="193"/>
      <c r="C892" s="193"/>
      <c r="D892" s="193"/>
      <c r="E892" s="193"/>
      <c r="F892" s="193"/>
      <c r="G892" s="193"/>
      <c r="H892" s="193"/>
    </row>
    <row r="893" spans="1:8" ht="15.6">
      <c r="A893" s="193"/>
      <c r="B893" s="193"/>
      <c r="C893" s="193"/>
      <c r="D893" s="193"/>
      <c r="E893" s="193"/>
      <c r="F893" s="193"/>
      <c r="G893" s="193"/>
      <c r="H893" s="193"/>
    </row>
    <row r="894" spans="1:8" ht="15.6">
      <c r="A894" s="193"/>
      <c r="B894" s="193"/>
      <c r="C894" s="193"/>
      <c r="D894" s="193"/>
      <c r="E894" s="193"/>
      <c r="F894" s="193"/>
      <c r="G894" s="193"/>
      <c r="H894" s="193"/>
    </row>
    <row r="895" spans="1:8" ht="15.6">
      <c r="A895" s="193"/>
      <c r="B895" s="193"/>
      <c r="C895" s="193"/>
      <c r="D895" s="193"/>
      <c r="E895" s="193"/>
      <c r="F895" s="193"/>
      <c r="G895" s="193"/>
      <c r="H895" s="193"/>
    </row>
    <row r="896" spans="1:8" ht="15.6">
      <c r="A896" s="193"/>
      <c r="B896" s="193"/>
      <c r="C896" s="193"/>
      <c r="D896" s="193"/>
      <c r="E896" s="193"/>
      <c r="F896" s="193"/>
      <c r="G896" s="193"/>
      <c r="H896" s="193"/>
    </row>
    <row r="897" spans="1:8" ht="15.6">
      <c r="A897" s="193"/>
      <c r="B897" s="193"/>
      <c r="C897" s="193"/>
      <c r="D897" s="193"/>
      <c r="E897" s="193"/>
      <c r="F897" s="193"/>
      <c r="G897" s="193"/>
      <c r="H897" s="193"/>
    </row>
    <row r="898" spans="1:8" ht="15.6">
      <c r="A898" s="193"/>
      <c r="B898" s="193"/>
      <c r="C898" s="193"/>
      <c r="D898" s="193"/>
      <c r="E898" s="193"/>
      <c r="F898" s="193"/>
      <c r="G898" s="193"/>
      <c r="H898" s="193"/>
    </row>
    <row r="899" spans="1:8" ht="15.6">
      <c r="A899" s="193"/>
      <c r="B899" s="193"/>
      <c r="C899" s="193"/>
      <c r="D899" s="193"/>
      <c r="E899" s="193"/>
      <c r="F899" s="193"/>
      <c r="G899" s="193"/>
      <c r="H899" s="193"/>
    </row>
    <row r="900" spans="1:8" ht="15.6">
      <c r="A900" s="193"/>
      <c r="B900" s="193"/>
      <c r="C900" s="193"/>
      <c r="D900" s="193"/>
      <c r="E900" s="193"/>
      <c r="F900" s="193"/>
      <c r="G900" s="193"/>
      <c r="H900" s="193"/>
    </row>
    <row r="901" spans="1:8" ht="15.6">
      <c r="A901" s="193"/>
      <c r="B901" s="193"/>
      <c r="C901" s="193"/>
      <c r="D901" s="193"/>
      <c r="E901" s="193"/>
      <c r="F901" s="193"/>
      <c r="G901" s="193"/>
      <c r="H901" s="193"/>
    </row>
    <row r="902" spans="1:8" ht="15.6">
      <c r="A902" s="193"/>
      <c r="B902" s="193"/>
      <c r="C902" s="193"/>
      <c r="D902" s="193"/>
      <c r="E902" s="193"/>
      <c r="F902" s="193"/>
      <c r="G902" s="193"/>
      <c r="H902" s="193"/>
    </row>
    <row r="903" spans="1:8" ht="15.6">
      <c r="A903" s="193"/>
      <c r="B903" s="193"/>
      <c r="C903" s="193"/>
      <c r="D903" s="193"/>
      <c r="E903" s="193"/>
      <c r="F903" s="193"/>
      <c r="G903" s="193"/>
      <c r="H903" s="193"/>
    </row>
    <row r="904" spans="1:8" ht="15.6">
      <c r="A904" s="193"/>
      <c r="B904" s="193"/>
      <c r="C904" s="193"/>
      <c r="D904" s="193"/>
      <c r="E904" s="193"/>
      <c r="F904" s="193"/>
      <c r="G904" s="193"/>
      <c r="H904" s="193"/>
    </row>
    <row r="905" spans="1:8" ht="15.6">
      <c r="A905" s="193"/>
      <c r="B905" s="193"/>
      <c r="C905" s="193"/>
      <c r="D905" s="193"/>
      <c r="E905" s="193"/>
      <c r="F905" s="193"/>
      <c r="G905" s="193"/>
      <c r="H905" s="193"/>
    </row>
    <row r="906" spans="1:8" ht="15.6">
      <c r="A906" s="193"/>
      <c r="B906" s="193"/>
      <c r="C906" s="193"/>
      <c r="D906" s="193"/>
      <c r="E906" s="193"/>
      <c r="F906" s="193"/>
      <c r="G906" s="193"/>
      <c r="H906" s="193"/>
    </row>
    <row r="907" spans="1:8" ht="15.6">
      <c r="A907" s="193"/>
      <c r="B907" s="193"/>
      <c r="C907" s="193"/>
      <c r="D907" s="193"/>
      <c r="E907" s="193"/>
      <c r="F907" s="193"/>
      <c r="G907" s="193"/>
      <c r="H907" s="193"/>
    </row>
    <row r="908" spans="1:8" ht="15.6">
      <c r="A908" s="193"/>
      <c r="B908" s="193"/>
      <c r="C908" s="193"/>
      <c r="D908" s="193"/>
      <c r="E908" s="193"/>
      <c r="F908" s="193"/>
      <c r="G908" s="193"/>
      <c r="H908" s="193"/>
    </row>
    <row r="909" spans="1:8" ht="15.6">
      <c r="A909" s="193"/>
      <c r="B909" s="193"/>
      <c r="C909" s="193"/>
      <c r="D909" s="193"/>
      <c r="E909" s="193"/>
      <c r="F909" s="193"/>
      <c r="G909" s="193"/>
      <c r="H909" s="193"/>
    </row>
    <row r="910" spans="1:8" ht="15.6">
      <c r="A910" s="193"/>
      <c r="B910" s="193"/>
      <c r="C910" s="193"/>
      <c r="D910" s="193"/>
      <c r="E910" s="193"/>
      <c r="F910" s="193"/>
      <c r="G910" s="193"/>
      <c r="H910" s="193"/>
    </row>
    <row r="911" spans="1:8" ht="15.6">
      <c r="A911" s="193"/>
      <c r="B911" s="193"/>
      <c r="C911" s="193"/>
      <c r="D911" s="193"/>
      <c r="E911" s="193"/>
      <c r="F911" s="193"/>
      <c r="G911" s="193"/>
      <c r="H911" s="193"/>
    </row>
    <row r="912" spans="1:8" ht="15.6">
      <c r="A912" s="193"/>
      <c r="B912" s="193"/>
      <c r="C912" s="193"/>
      <c r="D912" s="193"/>
      <c r="E912" s="193"/>
      <c r="F912" s="193"/>
      <c r="G912" s="193"/>
      <c r="H912" s="193"/>
    </row>
    <row r="913" spans="1:8" ht="15.6">
      <c r="A913" s="193"/>
      <c r="B913" s="193"/>
      <c r="C913" s="193"/>
      <c r="D913" s="193"/>
      <c r="E913" s="193"/>
      <c r="F913" s="193"/>
      <c r="G913" s="193"/>
      <c r="H913" s="193"/>
    </row>
    <row r="914" spans="1:8" ht="15.6">
      <c r="A914" s="193"/>
      <c r="B914" s="193"/>
      <c r="C914" s="193"/>
      <c r="D914" s="193"/>
      <c r="E914" s="193"/>
      <c r="F914" s="193"/>
      <c r="G914" s="193"/>
      <c r="H914" s="193"/>
    </row>
    <row r="915" spans="1:8" ht="15.6">
      <c r="A915" s="193"/>
      <c r="B915" s="193"/>
      <c r="C915" s="193"/>
      <c r="D915" s="193"/>
      <c r="E915" s="193"/>
      <c r="F915" s="193"/>
      <c r="G915" s="193"/>
      <c r="H915" s="193"/>
    </row>
    <row r="916" spans="1:8" ht="15.6">
      <c r="A916" s="193"/>
      <c r="B916" s="193"/>
      <c r="C916" s="193"/>
      <c r="D916" s="193"/>
      <c r="E916" s="193"/>
      <c r="F916" s="193"/>
      <c r="G916" s="193"/>
      <c r="H916" s="193"/>
    </row>
    <row r="917" spans="1:8" ht="15.6">
      <c r="A917" s="193"/>
      <c r="B917" s="193"/>
      <c r="C917" s="193"/>
      <c r="D917" s="193"/>
      <c r="E917" s="193"/>
      <c r="F917" s="193"/>
      <c r="G917" s="193"/>
      <c r="H917" s="193"/>
    </row>
    <row r="918" spans="1:8" ht="15.6">
      <c r="A918" s="193"/>
      <c r="B918" s="193"/>
      <c r="C918" s="193"/>
      <c r="D918" s="193"/>
      <c r="E918" s="193"/>
      <c r="F918" s="193"/>
      <c r="G918" s="193"/>
      <c r="H918" s="193"/>
    </row>
    <row r="919" spans="1:8" ht="15.6">
      <c r="A919" s="193"/>
      <c r="B919" s="193"/>
      <c r="C919" s="193"/>
      <c r="D919" s="193"/>
      <c r="E919" s="193"/>
      <c r="F919" s="193"/>
      <c r="G919" s="193"/>
      <c r="H919" s="193"/>
    </row>
    <row r="920" spans="1:8" ht="15.6">
      <c r="A920" s="193"/>
      <c r="B920" s="193"/>
      <c r="C920" s="193"/>
      <c r="D920" s="193"/>
      <c r="E920" s="193"/>
      <c r="F920" s="193"/>
      <c r="G920" s="193"/>
      <c r="H920" s="193"/>
    </row>
    <row r="921" spans="1:8" ht="15.6">
      <c r="A921" s="193"/>
      <c r="B921" s="193"/>
      <c r="C921" s="193"/>
      <c r="D921" s="193"/>
      <c r="E921" s="193"/>
      <c r="F921" s="193"/>
      <c r="G921" s="193"/>
      <c r="H921" s="193"/>
    </row>
    <row r="922" spans="1:8" ht="15.6">
      <c r="A922" s="193"/>
      <c r="B922" s="193"/>
      <c r="C922" s="193"/>
      <c r="D922" s="193"/>
      <c r="E922" s="193"/>
      <c r="F922" s="193"/>
      <c r="G922" s="193"/>
      <c r="H922" s="193"/>
    </row>
    <row r="923" spans="1:8" ht="15.6">
      <c r="A923" s="193"/>
      <c r="B923" s="193"/>
      <c r="C923" s="193"/>
      <c r="D923" s="193"/>
      <c r="E923" s="193"/>
      <c r="F923" s="193"/>
      <c r="G923" s="193"/>
      <c r="H923" s="193"/>
    </row>
    <row r="924" spans="1:8" ht="15.6">
      <c r="A924" s="193"/>
      <c r="B924" s="193"/>
      <c r="C924" s="193"/>
      <c r="D924" s="193"/>
      <c r="E924" s="193"/>
      <c r="F924" s="193"/>
      <c r="G924" s="193"/>
      <c r="H924" s="193"/>
    </row>
    <row r="925" spans="1:8" ht="15.6">
      <c r="A925" s="193"/>
      <c r="B925" s="193"/>
      <c r="C925" s="193"/>
      <c r="D925" s="193"/>
      <c r="E925" s="193"/>
      <c r="F925" s="193"/>
      <c r="G925" s="193"/>
      <c r="H925" s="193"/>
    </row>
    <row r="926" spans="1:8" ht="15.6">
      <c r="A926" s="193"/>
      <c r="B926" s="193"/>
      <c r="C926" s="193"/>
      <c r="D926" s="193"/>
      <c r="E926" s="193"/>
      <c r="F926" s="193"/>
      <c r="G926" s="193"/>
      <c r="H926" s="193"/>
    </row>
    <row r="927" spans="1:8" ht="15.6">
      <c r="A927" s="193"/>
      <c r="B927" s="193"/>
      <c r="C927" s="193"/>
      <c r="D927" s="193"/>
      <c r="E927" s="193"/>
      <c r="F927" s="193"/>
      <c r="G927" s="193"/>
      <c r="H927" s="193"/>
    </row>
    <row r="928" spans="1:8" ht="15.6">
      <c r="A928" s="193"/>
      <c r="B928" s="193"/>
      <c r="C928" s="193"/>
      <c r="D928" s="193"/>
      <c r="E928" s="193"/>
      <c r="F928" s="193"/>
      <c r="G928" s="193"/>
      <c r="H928" s="193"/>
    </row>
    <row r="929" spans="1:8" ht="15.6">
      <c r="A929" s="193"/>
      <c r="B929" s="193"/>
      <c r="C929" s="193"/>
      <c r="D929" s="193"/>
      <c r="E929" s="193"/>
      <c r="F929" s="193"/>
      <c r="G929" s="193"/>
      <c r="H929" s="193"/>
    </row>
    <row r="930" spans="1:8" ht="15.6">
      <c r="A930" s="193"/>
      <c r="B930" s="193"/>
      <c r="C930" s="193"/>
      <c r="D930" s="193"/>
      <c r="E930" s="193"/>
      <c r="F930" s="193"/>
      <c r="G930" s="193"/>
      <c r="H930" s="193"/>
    </row>
    <row r="931" spans="1:8" ht="15.6">
      <c r="A931" s="193"/>
      <c r="B931" s="193"/>
      <c r="C931" s="193"/>
      <c r="D931" s="193"/>
      <c r="E931" s="193"/>
      <c r="F931" s="193"/>
      <c r="G931" s="193"/>
      <c r="H931" s="193"/>
    </row>
    <row r="932" spans="1:8" ht="15.6">
      <c r="A932" s="193"/>
      <c r="B932" s="193"/>
      <c r="C932" s="193"/>
      <c r="D932" s="193"/>
      <c r="E932" s="193"/>
      <c r="F932" s="193"/>
      <c r="G932" s="193"/>
      <c r="H932" s="193"/>
    </row>
    <row r="933" spans="1:8" ht="15.6">
      <c r="A933" s="193"/>
      <c r="B933" s="193"/>
      <c r="C933" s="193"/>
      <c r="D933" s="193"/>
      <c r="E933" s="193"/>
      <c r="F933" s="193"/>
      <c r="G933" s="193"/>
      <c r="H933" s="193"/>
    </row>
    <row r="934" spans="1:8" ht="15.6">
      <c r="A934" s="193"/>
      <c r="B934" s="193"/>
      <c r="C934" s="193"/>
      <c r="D934" s="193"/>
      <c r="E934" s="193"/>
      <c r="F934" s="193"/>
      <c r="G934" s="193"/>
      <c r="H934" s="193"/>
    </row>
    <row r="935" spans="1:8" ht="15.6">
      <c r="A935" s="193"/>
      <c r="B935" s="193"/>
      <c r="C935" s="193"/>
      <c r="D935" s="193"/>
      <c r="E935" s="193"/>
      <c r="F935" s="193"/>
      <c r="G935" s="193"/>
      <c r="H935" s="193"/>
    </row>
    <row r="936" spans="1:8" ht="15.6">
      <c r="A936" s="193"/>
      <c r="B936" s="193"/>
      <c r="C936" s="193"/>
      <c r="D936" s="193"/>
      <c r="E936" s="193"/>
      <c r="F936" s="193"/>
      <c r="G936" s="193"/>
      <c r="H936" s="193"/>
    </row>
    <row r="937" spans="1:8" ht="15.6">
      <c r="A937" s="193"/>
      <c r="B937" s="193"/>
      <c r="C937" s="193"/>
      <c r="D937" s="193"/>
      <c r="E937" s="193"/>
      <c r="F937" s="193"/>
      <c r="G937" s="193"/>
      <c r="H937" s="193"/>
    </row>
    <row r="938" spans="1:8" ht="15.6">
      <c r="A938" s="193"/>
      <c r="B938" s="193"/>
      <c r="C938" s="193"/>
      <c r="D938" s="193"/>
      <c r="E938" s="193"/>
      <c r="F938" s="193"/>
      <c r="G938" s="193"/>
      <c r="H938" s="193"/>
    </row>
    <row r="939" spans="1:8" ht="15.6">
      <c r="A939" s="193"/>
      <c r="B939" s="193"/>
      <c r="C939" s="193"/>
      <c r="D939" s="193"/>
      <c r="E939" s="193"/>
      <c r="F939" s="193"/>
      <c r="G939" s="193"/>
      <c r="H939" s="193"/>
    </row>
    <row r="940" spans="1:8" ht="15.6">
      <c r="A940" s="193"/>
      <c r="B940" s="193"/>
      <c r="C940" s="193"/>
      <c r="D940" s="193"/>
      <c r="E940" s="193"/>
      <c r="F940" s="193"/>
      <c r="G940" s="193"/>
      <c r="H940" s="193"/>
    </row>
    <row r="941" spans="1:8" ht="15.6">
      <c r="A941" s="193"/>
      <c r="B941" s="193"/>
      <c r="C941" s="193"/>
      <c r="D941" s="193"/>
      <c r="E941" s="193"/>
      <c r="F941" s="193"/>
      <c r="G941" s="193"/>
      <c r="H941" s="193"/>
    </row>
    <row r="942" spans="1:8" ht="15.6">
      <c r="A942" s="193"/>
      <c r="B942" s="193"/>
      <c r="C942" s="193"/>
      <c r="D942" s="193"/>
      <c r="E942" s="193"/>
      <c r="F942" s="193"/>
      <c r="G942" s="193"/>
      <c r="H942" s="193"/>
    </row>
    <row r="943" spans="1:8" ht="15.6">
      <c r="A943" s="193"/>
      <c r="B943" s="193"/>
      <c r="C943" s="193"/>
      <c r="D943" s="193"/>
      <c r="E943" s="193"/>
      <c r="F943" s="193"/>
      <c r="G943" s="193"/>
      <c r="H943" s="193"/>
    </row>
    <row r="944" spans="1:8" ht="15.6">
      <c r="A944" s="193"/>
      <c r="B944" s="193"/>
      <c r="C944" s="193"/>
      <c r="D944" s="193"/>
      <c r="E944" s="193"/>
      <c r="F944" s="193"/>
      <c r="G944" s="193"/>
      <c r="H944" s="193"/>
    </row>
    <row r="945" spans="1:8" ht="15.6">
      <c r="A945" s="193"/>
      <c r="B945" s="193"/>
      <c r="C945" s="193"/>
      <c r="D945" s="193"/>
      <c r="E945" s="193"/>
      <c r="F945" s="193"/>
      <c r="G945" s="193"/>
      <c r="H945" s="193"/>
    </row>
    <row r="946" spans="1:8" ht="15.6">
      <c r="A946" s="193"/>
      <c r="B946" s="193"/>
      <c r="C946" s="193"/>
      <c r="D946" s="193"/>
      <c r="E946" s="193"/>
      <c r="F946" s="193"/>
      <c r="G946" s="193"/>
      <c r="H946" s="193"/>
    </row>
    <row r="947" spans="1:8" ht="15.6">
      <c r="A947" s="193"/>
      <c r="B947" s="193"/>
      <c r="C947" s="193"/>
      <c r="D947" s="193"/>
      <c r="E947" s="193"/>
      <c r="F947" s="193"/>
      <c r="G947" s="193"/>
      <c r="H947" s="193"/>
    </row>
    <row r="948" spans="1:8" ht="15.6">
      <c r="A948" s="193"/>
      <c r="B948" s="193"/>
      <c r="C948" s="193"/>
      <c r="D948" s="193"/>
      <c r="E948" s="193"/>
      <c r="F948" s="193"/>
      <c r="G948" s="193"/>
      <c r="H948" s="193"/>
    </row>
    <row r="949" spans="1:8" ht="15.6">
      <c r="A949" s="193"/>
      <c r="B949" s="193"/>
      <c r="C949" s="193"/>
      <c r="D949" s="193"/>
      <c r="E949" s="193"/>
      <c r="F949" s="193"/>
      <c r="G949" s="193"/>
      <c r="H949" s="193"/>
    </row>
    <row r="950" spans="1:8" ht="15.6">
      <c r="A950" s="193"/>
      <c r="B950" s="193"/>
      <c r="C950" s="193"/>
      <c r="D950" s="193"/>
      <c r="E950" s="193"/>
      <c r="F950" s="193"/>
      <c r="G950" s="193"/>
      <c r="H950" s="193"/>
    </row>
    <row r="951" spans="1:8" ht="15.6">
      <c r="A951" s="193"/>
      <c r="B951" s="193"/>
      <c r="C951" s="193"/>
      <c r="D951" s="193"/>
      <c r="E951" s="193"/>
      <c r="F951" s="193"/>
      <c r="G951" s="193"/>
      <c r="H951" s="193"/>
    </row>
    <row r="952" spans="1:8" ht="15.6">
      <c r="A952" s="193"/>
      <c r="B952" s="193"/>
      <c r="C952" s="193"/>
      <c r="D952" s="193"/>
      <c r="E952" s="193"/>
      <c r="F952" s="193"/>
      <c r="G952" s="193"/>
      <c r="H952" s="193"/>
    </row>
    <row r="953" spans="1:8" ht="15.6">
      <c r="A953" s="193"/>
      <c r="B953" s="193"/>
      <c r="C953" s="193"/>
      <c r="D953" s="193"/>
      <c r="E953" s="193"/>
      <c r="F953" s="193"/>
      <c r="G953" s="193"/>
      <c r="H953" s="193"/>
    </row>
    <row r="954" spans="1:8" ht="15.6">
      <c r="A954" s="193"/>
      <c r="B954" s="193"/>
      <c r="C954" s="193"/>
      <c r="D954" s="193"/>
      <c r="E954" s="193"/>
      <c r="F954" s="193"/>
      <c r="G954" s="193"/>
      <c r="H954" s="193"/>
    </row>
    <row r="955" spans="1:8" ht="15.6">
      <c r="A955" s="193"/>
      <c r="B955" s="193"/>
      <c r="C955" s="193"/>
      <c r="D955" s="193"/>
      <c r="E955" s="193"/>
      <c r="F955" s="193"/>
      <c r="G955" s="193"/>
      <c r="H955" s="193"/>
    </row>
    <row r="956" spans="1:8" ht="15.6">
      <c r="A956" s="193"/>
      <c r="B956" s="193"/>
      <c r="C956" s="193"/>
      <c r="D956" s="193"/>
      <c r="E956" s="193"/>
      <c r="F956" s="193"/>
      <c r="G956" s="193"/>
      <c r="H956" s="193"/>
    </row>
    <row r="957" spans="1:8" ht="15.6">
      <c r="A957" s="193"/>
      <c r="B957" s="193"/>
      <c r="C957" s="193"/>
      <c r="D957" s="193"/>
      <c r="E957" s="193"/>
      <c r="F957" s="193"/>
      <c r="G957" s="193"/>
      <c r="H957" s="193"/>
    </row>
    <row r="958" spans="1:8" ht="15.6">
      <c r="A958" s="193"/>
      <c r="B958" s="193"/>
      <c r="C958" s="193"/>
      <c r="D958" s="193"/>
      <c r="E958" s="193"/>
      <c r="F958" s="193"/>
      <c r="G958" s="193"/>
      <c r="H958" s="193"/>
    </row>
    <row r="959" spans="1:8" ht="15.6">
      <c r="A959" s="193"/>
      <c r="B959" s="193"/>
      <c r="C959" s="193"/>
      <c r="D959" s="193"/>
      <c r="E959" s="193"/>
      <c r="F959" s="193"/>
      <c r="G959" s="193"/>
      <c r="H959" s="193"/>
    </row>
    <row r="960" spans="1:8" ht="15.6">
      <c r="A960" s="193"/>
      <c r="B960" s="193"/>
      <c r="C960" s="193"/>
      <c r="D960" s="193"/>
      <c r="E960" s="193"/>
      <c r="F960" s="193"/>
      <c r="G960" s="193"/>
      <c r="H960" s="193"/>
    </row>
    <row r="961" spans="1:8" ht="15.6">
      <c r="A961" s="193"/>
      <c r="B961" s="193"/>
      <c r="C961" s="193"/>
      <c r="D961" s="193"/>
      <c r="E961" s="193"/>
      <c r="F961" s="193"/>
      <c r="G961" s="193"/>
      <c r="H961" s="193"/>
    </row>
    <row r="962" spans="1:8" ht="15.6">
      <c r="A962" s="193"/>
      <c r="B962" s="193"/>
      <c r="C962" s="193"/>
      <c r="D962" s="193"/>
      <c r="E962" s="193"/>
      <c r="F962" s="193"/>
      <c r="G962" s="193"/>
      <c r="H962" s="193"/>
    </row>
    <row r="963" spans="1:8" ht="15.6">
      <c r="A963" s="193"/>
      <c r="B963" s="193"/>
      <c r="C963" s="193"/>
      <c r="D963" s="193"/>
      <c r="E963" s="193"/>
      <c r="F963" s="193"/>
      <c r="G963" s="193"/>
      <c r="H963" s="193"/>
    </row>
    <row r="964" spans="1:8" ht="15.6">
      <c r="A964" s="193"/>
      <c r="B964" s="193"/>
      <c r="C964" s="193"/>
      <c r="D964" s="193"/>
      <c r="E964" s="193"/>
      <c r="F964" s="193"/>
      <c r="G964" s="193"/>
      <c r="H964" s="193"/>
    </row>
    <row r="965" spans="1:8" ht="15.6">
      <c r="A965" s="193"/>
      <c r="B965" s="193"/>
      <c r="C965" s="193"/>
      <c r="D965" s="193"/>
      <c r="E965" s="193"/>
      <c r="F965" s="193"/>
      <c r="G965" s="193"/>
      <c r="H965" s="193"/>
    </row>
    <row r="966" spans="1:8" ht="15.6">
      <c r="A966" s="193"/>
      <c r="B966" s="193"/>
      <c r="C966" s="193"/>
      <c r="D966" s="193"/>
      <c r="E966" s="193"/>
      <c r="F966" s="193"/>
      <c r="G966" s="193"/>
      <c r="H966" s="193"/>
    </row>
    <row r="967" spans="1:8" ht="15.6">
      <c r="A967" s="193"/>
      <c r="B967" s="193"/>
      <c r="C967" s="193"/>
      <c r="D967" s="193"/>
      <c r="E967" s="193"/>
      <c r="F967" s="193"/>
      <c r="G967" s="193"/>
      <c r="H967" s="193"/>
    </row>
    <row r="968" spans="1:8" ht="15.6">
      <c r="A968" s="193"/>
      <c r="B968" s="193"/>
      <c r="C968" s="193"/>
      <c r="D968" s="193"/>
      <c r="E968" s="193"/>
      <c r="F968" s="193"/>
      <c r="G968" s="193"/>
      <c r="H968" s="193"/>
    </row>
    <row r="969" spans="1:8" ht="15.6">
      <c r="A969" s="193"/>
      <c r="B969" s="193"/>
      <c r="C969" s="193"/>
      <c r="D969" s="193"/>
      <c r="E969" s="193"/>
      <c r="F969" s="193"/>
      <c r="G969" s="193"/>
      <c r="H969" s="193"/>
    </row>
    <row r="970" spans="1:8" ht="15.6">
      <c r="A970" s="193"/>
      <c r="B970" s="193"/>
      <c r="C970" s="193"/>
      <c r="D970" s="193"/>
      <c r="E970" s="193"/>
      <c r="F970" s="193"/>
      <c r="G970" s="193"/>
      <c r="H970" s="193"/>
    </row>
    <row r="971" spans="1:8" ht="15.6">
      <c r="A971" s="193"/>
      <c r="B971" s="193"/>
      <c r="C971" s="193"/>
      <c r="D971" s="193"/>
      <c r="E971" s="193"/>
      <c r="F971" s="193"/>
      <c r="G971" s="193"/>
      <c r="H971" s="193"/>
    </row>
    <row r="972" spans="1:8" ht="15.6">
      <c r="A972" s="193"/>
      <c r="B972" s="193"/>
      <c r="C972" s="193"/>
      <c r="D972" s="193"/>
      <c r="E972" s="193"/>
      <c r="F972" s="193"/>
      <c r="G972" s="193"/>
      <c r="H972" s="193"/>
    </row>
    <row r="973" spans="1:8" ht="15.6">
      <c r="A973" s="193"/>
      <c r="B973" s="193"/>
      <c r="C973" s="193"/>
      <c r="D973" s="193"/>
      <c r="E973" s="193"/>
      <c r="F973" s="193"/>
      <c r="G973" s="193"/>
      <c r="H973" s="193"/>
    </row>
    <row r="974" spans="1:8" ht="15.6">
      <c r="A974" s="193"/>
      <c r="B974" s="193"/>
      <c r="C974" s="193"/>
      <c r="D974" s="193"/>
      <c r="E974" s="193"/>
      <c r="F974" s="193"/>
      <c r="G974" s="193"/>
      <c r="H974" s="193"/>
    </row>
    <row r="975" spans="1:8" ht="15.6">
      <c r="A975" s="193"/>
      <c r="B975" s="193"/>
      <c r="C975" s="193"/>
      <c r="D975" s="193"/>
      <c r="E975" s="193"/>
      <c r="F975" s="193"/>
      <c r="G975" s="193"/>
      <c r="H975" s="193"/>
    </row>
    <row r="976" spans="1:8" ht="15.6">
      <c r="A976" s="193"/>
      <c r="B976" s="193"/>
      <c r="C976" s="193"/>
      <c r="D976" s="193"/>
      <c r="E976" s="193"/>
      <c r="F976" s="193"/>
      <c r="G976" s="193"/>
      <c r="H976" s="193"/>
    </row>
    <row r="977" spans="1:8" ht="15.6">
      <c r="A977" s="193"/>
      <c r="B977" s="193"/>
      <c r="C977" s="193"/>
      <c r="D977" s="193"/>
      <c r="E977" s="193"/>
      <c r="F977" s="193"/>
      <c r="G977" s="193"/>
      <c r="H977" s="193"/>
    </row>
    <row r="978" spans="1:8" ht="15.6">
      <c r="A978" s="193"/>
      <c r="B978" s="193"/>
      <c r="C978" s="193"/>
      <c r="D978" s="193"/>
      <c r="E978" s="193"/>
      <c r="F978" s="193"/>
      <c r="G978" s="193"/>
      <c r="H978" s="193"/>
    </row>
    <row r="979" spans="1:8" ht="15.6">
      <c r="A979" s="193"/>
      <c r="B979" s="193"/>
      <c r="C979" s="193"/>
      <c r="D979" s="193"/>
      <c r="E979" s="193"/>
      <c r="F979" s="193"/>
      <c r="G979" s="193"/>
      <c r="H979" s="193"/>
    </row>
    <row r="980" spans="1:8" ht="15.6">
      <c r="A980" s="193"/>
      <c r="B980" s="193"/>
      <c r="C980" s="193"/>
      <c r="D980" s="193"/>
      <c r="E980" s="193"/>
      <c r="F980" s="193"/>
      <c r="G980" s="193"/>
      <c r="H980" s="193"/>
    </row>
    <row r="981" spans="1:8" ht="15.6">
      <c r="A981" s="193"/>
      <c r="B981" s="193"/>
      <c r="C981" s="193"/>
      <c r="D981" s="193"/>
      <c r="E981" s="193"/>
      <c r="F981" s="193"/>
      <c r="G981" s="193"/>
      <c r="H981" s="193"/>
    </row>
    <row r="982" spans="1:8" ht="15.6">
      <c r="A982" s="193"/>
      <c r="B982" s="193"/>
      <c r="C982" s="193"/>
      <c r="D982" s="193"/>
      <c r="E982" s="193"/>
      <c r="F982" s="193"/>
      <c r="G982" s="193"/>
      <c r="H982" s="193"/>
    </row>
    <row r="983" spans="1:8" ht="15.6">
      <c r="A983" s="193"/>
      <c r="B983" s="193"/>
      <c r="C983" s="193"/>
      <c r="D983" s="193"/>
      <c r="E983" s="193"/>
      <c r="F983" s="193"/>
      <c r="G983" s="193"/>
      <c r="H983" s="193"/>
    </row>
    <row r="984" spans="1:8" ht="15.6">
      <c r="A984" s="193"/>
      <c r="B984" s="193"/>
      <c r="C984" s="193"/>
      <c r="D984" s="193"/>
      <c r="E984" s="193"/>
      <c r="F984" s="193"/>
      <c r="G984" s="193"/>
      <c r="H984" s="193"/>
    </row>
    <row r="985" spans="1:8" ht="15.6">
      <c r="A985" s="193"/>
      <c r="B985" s="193"/>
      <c r="C985" s="193"/>
      <c r="D985" s="193"/>
      <c r="E985" s="193"/>
      <c r="F985" s="193"/>
      <c r="G985" s="193"/>
      <c r="H985" s="193"/>
    </row>
    <row r="986" spans="1:8" ht="15.6">
      <c r="A986" s="193"/>
      <c r="B986" s="193"/>
      <c r="C986" s="193"/>
      <c r="D986" s="193"/>
      <c r="E986" s="193"/>
      <c r="F986" s="193"/>
      <c r="G986" s="193"/>
      <c r="H986" s="193"/>
    </row>
    <row r="987" spans="1:8" ht="15.6">
      <c r="A987" s="193"/>
      <c r="B987" s="193"/>
      <c r="C987" s="193"/>
      <c r="D987" s="193"/>
      <c r="E987" s="193"/>
      <c r="F987" s="193"/>
      <c r="G987" s="193"/>
      <c r="H987" s="193"/>
    </row>
    <row r="988" spans="1:8" ht="15.6">
      <c r="A988" s="193"/>
      <c r="B988" s="193"/>
      <c r="C988" s="193"/>
      <c r="D988" s="193"/>
      <c r="E988" s="193"/>
      <c r="F988" s="193"/>
      <c r="G988" s="193"/>
      <c r="H988" s="193"/>
    </row>
    <row r="989" spans="1:8" ht="15.6">
      <c r="A989" s="193"/>
      <c r="B989" s="193"/>
      <c r="C989" s="193"/>
      <c r="D989" s="193"/>
      <c r="E989" s="193"/>
      <c r="F989" s="193"/>
      <c r="G989" s="193"/>
      <c r="H989" s="193"/>
    </row>
    <row r="990" spans="1:8" ht="15.6">
      <c r="A990" s="193"/>
      <c r="B990" s="193"/>
      <c r="C990" s="193"/>
      <c r="D990" s="193"/>
      <c r="E990" s="193"/>
      <c r="F990" s="193"/>
      <c r="G990" s="193"/>
      <c r="H990" s="193"/>
    </row>
    <row r="991" spans="1:8" ht="15.6">
      <c r="A991" s="193"/>
      <c r="B991" s="193"/>
      <c r="C991" s="193"/>
      <c r="D991" s="193"/>
      <c r="E991" s="193"/>
      <c r="F991" s="193"/>
      <c r="G991" s="193"/>
      <c r="H991" s="193"/>
    </row>
    <row r="992" spans="1:8" ht="15.6">
      <c r="A992" s="193"/>
      <c r="B992" s="193"/>
      <c r="C992" s="193"/>
      <c r="D992" s="193"/>
      <c r="E992" s="193"/>
      <c r="F992" s="193"/>
      <c r="G992" s="193"/>
      <c r="H992" s="193"/>
    </row>
    <row r="993" spans="1:8" ht="15.6">
      <c r="A993" s="193"/>
      <c r="B993" s="193"/>
      <c r="C993" s="193"/>
      <c r="D993" s="193"/>
      <c r="E993" s="193"/>
      <c r="F993" s="193"/>
      <c r="G993" s="193"/>
      <c r="H993" s="193"/>
    </row>
    <row r="994" spans="1:8" ht="15.6">
      <c r="A994" s="193"/>
      <c r="B994" s="193"/>
      <c r="C994" s="193"/>
      <c r="D994" s="193"/>
      <c r="E994" s="193"/>
      <c r="F994" s="193"/>
      <c r="G994" s="193"/>
      <c r="H994" s="193"/>
    </row>
    <row r="995" spans="1:8" ht="15.6">
      <c r="A995" s="193"/>
      <c r="B995" s="193"/>
      <c r="C995" s="193"/>
      <c r="D995" s="193"/>
      <c r="E995" s="193"/>
      <c r="F995" s="193"/>
      <c r="G995" s="193"/>
      <c r="H995" s="193"/>
    </row>
    <row r="996" spans="1:8" ht="15.6">
      <c r="A996" s="193"/>
      <c r="B996" s="193"/>
      <c r="C996" s="193"/>
      <c r="D996" s="193"/>
      <c r="E996" s="193"/>
      <c r="F996" s="193"/>
      <c r="G996" s="193"/>
      <c r="H996" s="193"/>
    </row>
    <row r="997" spans="1:8" ht="15.6">
      <c r="A997" s="193"/>
      <c r="B997" s="193"/>
      <c r="C997" s="193"/>
      <c r="D997" s="193"/>
      <c r="E997" s="193"/>
      <c r="F997" s="193"/>
      <c r="G997" s="193"/>
      <c r="H997" s="193"/>
    </row>
    <row r="998" spans="1:8" ht="15.6">
      <c r="A998" s="193"/>
      <c r="B998" s="193"/>
      <c r="C998" s="193"/>
      <c r="D998" s="193"/>
      <c r="E998" s="193"/>
      <c r="F998" s="193"/>
      <c r="G998" s="193"/>
      <c r="H998" s="193"/>
    </row>
    <row r="999" spans="1:8" ht="15.6">
      <c r="A999" s="193"/>
      <c r="B999" s="193"/>
      <c r="C999" s="193"/>
      <c r="D999" s="193"/>
      <c r="E999" s="193"/>
      <c r="F999" s="193"/>
      <c r="G999" s="193"/>
      <c r="H999" s="193"/>
    </row>
    <row r="1000" spans="1:8" ht="15.6">
      <c r="A1000" s="193"/>
      <c r="B1000" s="193"/>
      <c r="C1000" s="193"/>
      <c r="D1000" s="193"/>
      <c r="E1000" s="193"/>
      <c r="F1000" s="193"/>
      <c r="G1000" s="193"/>
      <c r="H1000" s="193"/>
    </row>
    <row r="1001" spans="1:8" ht="15.6">
      <c r="A1001" s="193"/>
      <c r="B1001" s="193"/>
      <c r="C1001" s="193"/>
      <c r="D1001" s="193"/>
      <c r="E1001" s="193"/>
      <c r="F1001" s="193"/>
      <c r="G1001" s="193"/>
      <c r="H1001" s="193"/>
    </row>
    <row r="1002" spans="1:8" ht="15.6">
      <c r="A1002" s="193"/>
      <c r="B1002" s="193"/>
      <c r="C1002" s="193"/>
      <c r="D1002" s="193"/>
      <c r="E1002" s="193"/>
      <c r="F1002" s="193"/>
      <c r="G1002" s="193"/>
      <c r="H1002" s="193"/>
    </row>
    <row r="1003" spans="1:8" ht="15.6">
      <c r="A1003" s="193"/>
      <c r="B1003" s="193"/>
      <c r="C1003" s="193"/>
      <c r="D1003" s="193"/>
      <c r="E1003" s="193"/>
      <c r="F1003" s="193"/>
      <c r="G1003" s="193"/>
      <c r="H1003" s="193"/>
    </row>
    <row r="1004" spans="1:8" ht="15.6">
      <c r="A1004" s="193"/>
      <c r="B1004" s="193"/>
      <c r="C1004" s="193"/>
      <c r="D1004" s="193"/>
      <c r="E1004" s="193"/>
      <c r="F1004" s="193"/>
      <c r="G1004" s="193"/>
      <c r="H1004" s="193"/>
    </row>
    <row r="1005" spans="1:8" ht="15.6">
      <c r="A1005" s="193"/>
      <c r="B1005" s="193"/>
      <c r="C1005" s="193"/>
      <c r="D1005" s="193"/>
      <c r="E1005" s="193"/>
      <c r="F1005" s="193"/>
      <c r="G1005" s="193"/>
      <c r="H1005" s="193"/>
    </row>
    <row r="1006" spans="1:8" ht="15.6">
      <c r="A1006" s="193"/>
      <c r="B1006" s="193"/>
      <c r="C1006" s="193"/>
      <c r="D1006" s="193"/>
      <c r="E1006" s="193"/>
      <c r="F1006" s="193"/>
      <c r="G1006" s="193"/>
      <c r="H1006" s="193"/>
    </row>
    <row r="1007" spans="1:8" ht="15.6">
      <c r="A1007" s="193"/>
      <c r="B1007" s="193"/>
      <c r="C1007" s="193"/>
      <c r="D1007" s="193"/>
      <c r="E1007" s="193"/>
      <c r="F1007" s="193"/>
      <c r="G1007" s="193"/>
      <c r="H1007" s="193"/>
    </row>
    <row r="1008" spans="1:8" ht="15.6">
      <c r="A1008" s="193"/>
      <c r="B1008" s="193"/>
      <c r="C1008" s="193"/>
      <c r="D1008" s="193"/>
      <c r="E1008" s="193"/>
      <c r="F1008" s="193"/>
      <c r="G1008" s="193"/>
      <c r="H1008" s="193"/>
    </row>
    <row r="1009" spans="1:8" ht="15.6">
      <c r="A1009" s="193"/>
      <c r="B1009" s="193"/>
      <c r="C1009" s="193"/>
      <c r="D1009" s="193"/>
      <c r="E1009" s="193"/>
      <c r="F1009" s="193"/>
      <c r="G1009" s="193"/>
      <c r="H1009" s="193"/>
    </row>
    <row r="1010" spans="1:8" ht="15.6">
      <c r="A1010" s="193"/>
      <c r="B1010" s="193"/>
      <c r="C1010" s="193"/>
      <c r="D1010" s="193"/>
      <c r="E1010" s="193"/>
      <c r="F1010" s="193"/>
      <c r="G1010" s="193"/>
      <c r="H1010" s="193"/>
    </row>
    <row r="1011" spans="1:8" ht="15.6">
      <c r="A1011" s="193"/>
      <c r="B1011" s="193"/>
      <c r="C1011" s="193"/>
      <c r="D1011" s="193"/>
      <c r="E1011" s="193"/>
      <c r="F1011" s="193"/>
      <c r="G1011" s="193"/>
      <c r="H1011" s="193"/>
    </row>
    <row r="1012" spans="1:8" ht="15.6">
      <c r="A1012" s="193"/>
      <c r="B1012" s="193"/>
      <c r="C1012" s="193"/>
      <c r="D1012" s="193"/>
      <c r="E1012" s="193"/>
      <c r="F1012" s="193"/>
      <c r="G1012" s="193"/>
      <c r="H1012" s="193"/>
    </row>
    <row r="1013" spans="1:8" ht="15.6">
      <c r="A1013" s="193"/>
      <c r="B1013" s="193"/>
      <c r="C1013" s="193"/>
      <c r="D1013" s="193"/>
      <c r="E1013" s="193"/>
      <c r="F1013" s="193"/>
      <c r="G1013" s="193"/>
      <c r="H1013" s="193"/>
    </row>
    <row r="1014" spans="1:8" ht="15.6">
      <c r="A1014" s="193"/>
      <c r="B1014" s="193"/>
      <c r="C1014" s="193"/>
      <c r="D1014" s="193"/>
      <c r="E1014" s="193"/>
      <c r="F1014" s="193"/>
      <c r="G1014" s="193"/>
      <c r="H1014" s="193"/>
    </row>
    <row r="1015" spans="1:8" ht="15.6">
      <c r="A1015" s="193"/>
      <c r="B1015" s="193"/>
      <c r="C1015" s="193"/>
      <c r="D1015" s="193"/>
      <c r="E1015" s="193"/>
      <c r="F1015" s="193"/>
      <c r="G1015" s="193"/>
      <c r="H1015" s="193"/>
    </row>
    <row r="1016" spans="1:8" ht="15.6">
      <c r="A1016" s="193"/>
      <c r="B1016" s="193"/>
      <c r="C1016" s="193"/>
      <c r="D1016" s="193"/>
      <c r="E1016" s="193"/>
      <c r="F1016" s="193"/>
      <c r="G1016" s="193"/>
      <c r="H1016" s="193"/>
    </row>
    <row r="1017" spans="1:8" ht="15.6">
      <c r="A1017" s="193"/>
      <c r="B1017" s="193"/>
      <c r="C1017" s="193"/>
      <c r="D1017" s="193"/>
      <c r="E1017" s="193"/>
      <c r="F1017" s="193"/>
      <c r="G1017" s="193"/>
      <c r="H1017" s="193"/>
    </row>
    <row r="1018" spans="1:8" ht="15.6">
      <c r="A1018" s="193"/>
      <c r="B1018" s="193"/>
      <c r="C1018" s="193"/>
      <c r="D1018" s="193"/>
      <c r="E1018" s="193"/>
      <c r="F1018" s="193"/>
      <c r="G1018" s="193"/>
      <c r="H1018" s="193"/>
    </row>
    <row r="1019" spans="1:8" ht="15.6">
      <c r="A1019" s="193"/>
      <c r="B1019" s="193"/>
      <c r="C1019" s="193"/>
      <c r="D1019" s="193"/>
      <c r="E1019" s="193"/>
      <c r="F1019" s="193"/>
      <c r="G1019" s="193"/>
      <c r="H1019" s="193"/>
    </row>
    <row r="1020" spans="1:8" ht="15.6">
      <c r="A1020" s="193"/>
      <c r="B1020" s="193"/>
      <c r="C1020" s="193"/>
      <c r="D1020" s="193"/>
      <c r="E1020" s="193"/>
      <c r="F1020" s="193"/>
      <c r="G1020" s="193"/>
      <c r="H1020" s="193"/>
    </row>
    <row r="1021" spans="1:8" ht="15.6">
      <c r="A1021" s="193"/>
      <c r="B1021" s="193"/>
      <c r="C1021" s="193"/>
      <c r="D1021" s="193"/>
      <c r="E1021" s="193"/>
      <c r="F1021" s="193"/>
      <c r="G1021" s="193"/>
      <c r="H1021" s="193"/>
    </row>
    <row r="1022" spans="1:8" ht="15.6">
      <c r="A1022" s="193"/>
      <c r="B1022" s="193"/>
      <c r="C1022" s="193"/>
      <c r="D1022" s="193"/>
      <c r="E1022" s="193"/>
      <c r="F1022" s="193"/>
      <c r="G1022" s="193"/>
      <c r="H1022" s="193"/>
    </row>
    <row r="1023" spans="1:8" ht="15.6">
      <c r="A1023" s="193"/>
      <c r="B1023" s="193"/>
      <c r="C1023" s="193"/>
      <c r="D1023" s="193"/>
      <c r="E1023" s="193"/>
      <c r="F1023" s="193"/>
      <c r="G1023" s="193"/>
      <c r="H1023" s="193"/>
    </row>
    <row r="1024" spans="1:8" ht="15.6">
      <c r="A1024" s="193"/>
      <c r="B1024" s="193"/>
      <c r="C1024" s="193"/>
      <c r="D1024" s="193"/>
      <c r="E1024" s="193"/>
      <c r="F1024" s="193"/>
      <c r="G1024" s="193"/>
      <c r="H1024" s="193"/>
    </row>
    <row r="1025" spans="1:8" ht="15.6">
      <c r="A1025" s="193"/>
      <c r="B1025" s="193"/>
      <c r="C1025" s="193"/>
      <c r="D1025" s="193"/>
      <c r="E1025" s="193"/>
      <c r="F1025" s="193"/>
      <c r="G1025" s="193"/>
      <c r="H1025" s="193"/>
    </row>
  </sheetData>
  <mergeCells count="23">
    <mergeCell ref="C60:H60"/>
    <mergeCell ref="C61:H61"/>
    <mergeCell ref="C62:H62"/>
    <mergeCell ref="B34:G34"/>
    <mergeCell ref="B2:G2"/>
    <mergeCell ref="B4:G4"/>
    <mergeCell ref="C41:H41"/>
    <mergeCell ref="C42:H42"/>
    <mergeCell ref="C43:H43"/>
    <mergeCell ref="C50:H50"/>
    <mergeCell ref="C51:H51"/>
    <mergeCell ref="C52:H52"/>
    <mergeCell ref="B1:G1"/>
    <mergeCell ref="C29:H29"/>
    <mergeCell ref="C31:H31"/>
    <mergeCell ref="C32:H32"/>
    <mergeCell ref="C30:H30"/>
    <mergeCell ref="C9:H9"/>
    <mergeCell ref="C10:H10"/>
    <mergeCell ref="C11:H11"/>
    <mergeCell ref="C20:H20"/>
    <mergeCell ref="C21:H21"/>
    <mergeCell ref="C22:H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  <outlinePr summaryBelow="0" summaryRight="0"/>
  </sheetPr>
  <dimension ref="A1:AA1016"/>
  <sheetViews>
    <sheetView workbookViewId="0">
      <selection activeCell="D151" sqref="D151"/>
    </sheetView>
  </sheetViews>
  <sheetFormatPr defaultColWidth="12.7109375" defaultRowHeight="15.75" customHeight="1"/>
  <cols>
    <col min="1" max="2" width="6.7109375" style="72" customWidth="1"/>
    <col min="3" max="3" width="2.28515625" style="72" customWidth="1"/>
    <col min="4" max="4" width="34.7109375" style="72" customWidth="1"/>
    <col min="5" max="6" width="4.7109375" style="106" customWidth="1"/>
    <col min="7" max="7" width="6.7109375" style="106" customWidth="1"/>
    <col min="8" max="8" width="14.7109375" style="72" customWidth="1"/>
    <col min="9" max="16384" width="12.7109375" style="72"/>
  </cols>
  <sheetData>
    <row r="1" spans="1:27" s="79" customFormat="1" ht="33" customHeight="1">
      <c r="A1" s="204" t="s">
        <v>299</v>
      </c>
      <c r="B1" s="264" t="s">
        <v>300</v>
      </c>
      <c r="C1" s="264"/>
      <c r="D1" s="264"/>
      <c r="E1" s="264"/>
      <c r="F1" s="264"/>
      <c r="G1" s="264"/>
      <c r="H1" s="102" t="s">
        <v>301</v>
      </c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</row>
    <row r="2" spans="1:27" ht="15.75" customHeight="1">
      <c r="A2" s="108" t="s">
        <v>340</v>
      </c>
      <c r="B2" s="281" t="s">
        <v>341</v>
      </c>
      <c r="C2" s="281"/>
      <c r="D2" s="281"/>
      <c r="E2" s="281"/>
      <c r="F2" s="281"/>
      <c r="G2" s="281"/>
      <c r="H2" s="109">
        <f>AVERAGE(H4,H28,H47,H71,H95,H119)</f>
        <v>4</v>
      </c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s="79" customFormat="1" ht="15.75" customHeight="1">
      <c r="A3" s="94"/>
      <c r="B3" s="95"/>
      <c r="C3" s="95"/>
      <c r="D3" s="96"/>
      <c r="E3" s="96"/>
      <c r="F3" s="96"/>
      <c r="G3" s="96"/>
      <c r="H3" s="97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123">
        <v>1</v>
      </c>
      <c r="B4" s="279" t="s">
        <v>342</v>
      </c>
      <c r="C4" s="279"/>
      <c r="D4" s="279"/>
      <c r="E4" s="279"/>
      <c r="F4" s="279"/>
      <c r="G4" s="279"/>
      <c r="H4" s="132">
        <f>AVERAGE(H5:H22)</f>
        <v>4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 spans="1:27" ht="15.75" customHeight="1">
      <c r="A5" s="111"/>
      <c r="B5" s="112">
        <v>46023</v>
      </c>
      <c r="C5" s="104"/>
      <c r="D5" s="104" t="s">
        <v>326</v>
      </c>
      <c r="H5" s="132">
        <f>AVERAGE(G7:G9)</f>
        <v>4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 spans="1:27" ht="15.75" hidden="1" customHeight="1">
      <c r="A6" s="111"/>
      <c r="B6" s="104"/>
      <c r="C6" s="104"/>
      <c r="D6" s="104"/>
      <c r="E6" s="113" t="s">
        <v>4</v>
      </c>
      <c r="F6" s="113" t="s">
        <v>10</v>
      </c>
      <c r="G6" s="113" t="s">
        <v>306</v>
      </c>
      <c r="H6" s="11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</row>
    <row r="7" spans="1:27" ht="15.75" hidden="1" customHeight="1">
      <c r="A7" s="111"/>
      <c r="B7" s="104"/>
      <c r="C7" s="104" t="s">
        <v>307</v>
      </c>
      <c r="D7" s="104" t="s">
        <v>343</v>
      </c>
      <c r="E7" s="113">
        <v>4</v>
      </c>
      <c r="F7" s="113">
        <v>4</v>
      </c>
      <c r="G7" s="134">
        <f t="shared" ref="G7" si="0">AVERAGE(E7:F7)</f>
        <v>4</v>
      </c>
      <c r="H7" s="11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</row>
    <row r="8" spans="1:27" ht="15.75" hidden="1" customHeight="1">
      <c r="A8" s="111"/>
      <c r="B8" s="104"/>
      <c r="C8" s="104" t="s">
        <v>309</v>
      </c>
      <c r="D8" s="104" t="s">
        <v>344</v>
      </c>
      <c r="E8" s="113">
        <v>4</v>
      </c>
      <c r="F8" s="113">
        <v>4</v>
      </c>
      <c r="G8" s="134">
        <f t="shared" ref="G8:G9" si="1">AVERAGE(E8:F8)</f>
        <v>4</v>
      </c>
      <c r="H8" s="110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</row>
    <row r="9" spans="1:27" ht="15.75" hidden="1" customHeight="1">
      <c r="A9" s="111"/>
      <c r="B9" s="115"/>
      <c r="C9" s="104" t="s">
        <v>316</v>
      </c>
      <c r="D9" s="104" t="s">
        <v>345</v>
      </c>
      <c r="E9" s="113">
        <v>4</v>
      </c>
      <c r="F9" s="113">
        <v>4</v>
      </c>
      <c r="G9" s="134">
        <f t="shared" si="1"/>
        <v>4</v>
      </c>
      <c r="H9" s="11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</row>
    <row r="10" spans="1:27" s="79" customFormat="1" ht="15.75" hidden="1" customHeight="1">
      <c r="A10" s="82"/>
      <c r="B10" s="192" t="s">
        <v>311</v>
      </c>
      <c r="C10" s="271"/>
      <c r="D10" s="271"/>
      <c r="E10" s="271"/>
      <c r="F10" s="271"/>
      <c r="G10" s="271"/>
      <c r="H10" s="272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s="79" customFormat="1" ht="15.75" hidden="1" customHeight="1">
      <c r="A11" s="99"/>
      <c r="B11" s="87" t="s">
        <v>285</v>
      </c>
      <c r="C11" s="271" t="s">
        <v>312</v>
      </c>
      <c r="D11" s="271"/>
      <c r="E11" s="271"/>
      <c r="F11" s="271"/>
      <c r="G11" s="271"/>
      <c r="H11" s="272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s="79" customFormat="1" ht="15.75" hidden="1" customHeight="1">
      <c r="A12" s="82"/>
      <c r="B12" s="87" t="s">
        <v>285</v>
      </c>
      <c r="C12" s="271" t="s">
        <v>312</v>
      </c>
      <c r="D12" s="271"/>
      <c r="E12" s="271"/>
      <c r="F12" s="271"/>
      <c r="G12" s="271"/>
      <c r="H12" s="272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spans="1:27" ht="15.75" hidden="1" customHeight="1">
      <c r="A13" s="111"/>
      <c r="B13" s="115"/>
      <c r="C13" s="104"/>
      <c r="D13" s="104"/>
      <c r="E13" s="113"/>
      <c r="F13" s="113"/>
      <c r="G13" s="113"/>
      <c r="H13" s="11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 spans="1:27" ht="15.75" customHeight="1">
      <c r="A14" s="111"/>
      <c r="B14" s="112">
        <v>46054</v>
      </c>
      <c r="C14" s="104"/>
      <c r="D14" s="104" t="s">
        <v>346</v>
      </c>
      <c r="E14" s="116"/>
      <c r="F14" s="116"/>
      <c r="G14" s="116"/>
      <c r="H14" s="132">
        <f>AVERAGE(G16:G23)</f>
        <v>4</v>
      </c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</row>
    <row r="15" spans="1:27" ht="15.75" hidden="1" customHeight="1">
      <c r="A15" s="111"/>
      <c r="B15" s="104"/>
      <c r="C15" s="104"/>
      <c r="D15" s="104"/>
      <c r="E15" s="113" t="s">
        <v>31</v>
      </c>
      <c r="F15" s="113" t="s">
        <v>10</v>
      </c>
      <c r="G15" s="113" t="s">
        <v>306</v>
      </c>
      <c r="H15" s="11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</row>
    <row r="16" spans="1:27" ht="15.75" hidden="1" customHeight="1">
      <c r="A16" s="111"/>
      <c r="B16" s="104"/>
      <c r="C16" s="104" t="s">
        <v>307</v>
      </c>
      <c r="D16" s="104" t="s">
        <v>347</v>
      </c>
      <c r="E16" s="113" t="s">
        <v>285</v>
      </c>
      <c r="F16" s="113">
        <v>4</v>
      </c>
      <c r="G16" s="134">
        <f t="shared" ref="G16:G19" si="2">AVERAGE(E16:F16)</f>
        <v>4</v>
      </c>
      <c r="H16" s="11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</row>
    <row r="17" spans="1:27" ht="15.75" hidden="1" customHeight="1">
      <c r="A17" s="111"/>
      <c r="B17" s="104"/>
      <c r="C17" s="104" t="s">
        <v>309</v>
      </c>
      <c r="D17" s="104" t="s">
        <v>348</v>
      </c>
      <c r="E17" s="113">
        <v>4</v>
      </c>
      <c r="F17" s="113">
        <v>4</v>
      </c>
      <c r="G17" s="134">
        <f t="shared" si="2"/>
        <v>4</v>
      </c>
      <c r="H17" s="110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</row>
    <row r="18" spans="1:27" ht="15.75" hidden="1" customHeight="1">
      <c r="A18" s="111"/>
      <c r="B18" s="104"/>
      <c r="C18" s="104" t="s">
        <v>316</v>
      </c>
      <c r="D18" s="104" t="s">
        <v>349</v>
      </c>
      <c r="E18" s="113">
        <v>4</v>
      </c>
      <c r="F18" s="113">
        <v>4</v>
      </c>
      <c r="G18" s="134">
        <f t="shared" si="2"/>
        <v>4</v>
      </c>
      <c r="H18" s="110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</row>
    <row r="19" spans="1:27" ht="15.75" hidden="1" customHeight="1">
      <c r="A19" s="111"/>
      <c r="B19" s="115"/>
      <c r="C19" s="104" t="s">
        <v>318</v>
      </c>
      <c r="D19" s="104" t="s">
        <v>350</v>
      </c>
      <c r="E19" s="113" t="s">
        <v>285</v>
      </c>
      <c r="F19" s="113">
        <v>4</v>
      </c>
      <c r="G19" s="134">
        <f t="shared" si="2"/>
        <v>4</v>
      </c>
      <c r="H19" s="110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</row>
    <row r="20" spans="1:27" ht="15.75" hidden="1" customHeight="1">
      <c r="A20" s="111"/>
      <c r="B20" s="104"/>
      <c r="C20" s="104"/>
      <c r="D20" s="104" t="s">
        <v>351</v>
      </c>
      <c r="E20" s="107"/>
      <c r="F20" s="107"/>
      <c r="G20" s="113"/>
      <c r="H20" s="110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</row>
    <row r="21" spans="1:27" ht="15.75" hidden="1" customHeight="1">
      <c r="A21" s="111"/>
      <c r="B21" s="115"/>
      <c r="C21" s="104" t="s">
        <v>320</v>
      </c>
      <c r="D21" s="104" t="s">
        <v>352</v>
      </c>
      <c r="E21" s="113" t="s">
        <v>285</v>
      </c>
      <c r="F21" s="113">
        <v>4</v>
      </c>
      <c r="G21" s="134">
        <f t="shared" ref="G21:G23" si="3">AVERAGE(E21:F21)</f>
        <v>4</v>
      </c>
      <c r="H21" s="110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</row>
    <row r="22" spans="1:27" ht="15.75" hidden="1" customHeight="1">
      <c r="A22" s="111"/>
      <c r="B22" s="115"/>
      <c r="C22" s="104" t="s">
        <v>353</v>
      </c>
      <c r="D22" s="104" t="s">
        <v>354</v>
      </c>
      <c r="E22" s="113" t="s">
        <v>285</v>
      </c>
      <c r="F22" s="113">
        <v>4</v>
      </c>
      <c r="G22" s="134">
        <f t="shared" si="3"/>
        <v>4</v>
      </c>
      <c r="H22" s="11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1:27" ht="15.75" hidden="1" customHeight="1">
      <c r="A23" s="111"/>
      <c r="B23" s="104"/>
      <c r="C23" s="104" t="s">
        <v>355</v>
      </c>
      <c r="D23" s="104" t="s">
        <v>356</v>
      </c>
      <c r="E23" s="113">
        <v>4</v>
      </c>
      <c r="F23" s="113">
        <v>4</v>
      </c>
      <c r="G23" s="134">
        <f t="shared" si="3"/>
        <v>4</v>
      </c>
      <c r="H23" s="110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1:27" ht="15.75" hidden="1" customHeight="1">
      <c r="A24" s="82"/>
      <c r="B24" s="192" t="s">
        <v>311</v>
      </c>
      <c r="C24" s="271"/>
      <c r="D24" s="271"/>
      <c r="E24" s="271"/>
      <c r="F24" s="271"/>
      <c r="G24" s="271"/>
      <c r="H24" s="272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spans="1:27" ht="15.75" hidden="1" customHeight="1">
      <c r="A25" s="99"/>
      <c r="B25" s="87" t="s">
        <v>285</v>
      </c>
      <c r="C25" s="271" t="s">
        <v>312</v>
      </c>
      <c r="D25" s="271"/>
      <c r="E25" s="271"/>
      <c r="F25" s="271"/>
      <c r="G25" s="271"/>
      <c r="H25" s="272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spans="1:27" ht="15.75" hidden="1" customHeight="1">
      <c r="A26" s="82"/>
      <c r="B26" s="87" t="s">
        <v>285</v>
      </c>
      <c r="C26" s="271" t="s">
        <v>312</v>
      </c>
      <c r="D26" s="271"/>
      <c r="E26" s="271"/>
      <c r="F26" s="271"/>
      <c r="G26" s="271"/>
      <c r="H26" s="272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75" customHeight="1">
      <c r="A27" s="94"/>
      <c r="B27" s="95"/>
      <c r="C27" s="95"/>
      <c r="D27" s="96"/>
      <c r="E27" s="96"/>
      <c r="F27" s="96"/>
      <c r="G27" s="96"/>
      <c r="H27" s="97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15.75" customHeight="1">
      <c r="A28" s="123">
        <v>2</v>
      </c>
      <c r="B28" s="197" t="s">
        <v>357</v>
      </c>
      <c r="C28" s="104"/>
      <c r="D28" s="104"/>
      <c r="E28" s="107"/>
      <c r="F28" s="107"/>
      <c r="G28" s="107"/>
      <c r="H28" s="132">
        <f>AVERAGE(H29:H37)</f>
        <v>4</v>
      </c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1:27" ht="15.75" customHeight="1">
      <c r="A29" s="111"/>
      <c r="B29" s="112">
        <v>46024</v>
      </c>
      <c r="C29" s="104"/>
      <c r="D29" s="104" t="s">
        <v>358</v>
      </c>
      <c r="H29" s="132">
        <f>AVERAGE(G31:G32)</f>
        <v>4</v>
      </c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1:27" ht="15.75" hidden="1" customHeight="1">
      <c r="A30" s="111"/>
      <c r="B30" s="104"/>
      <c r="C30" s="104"/>
      <c r="D30" s="104"/>
      <c r="E30" s="113" t="s">
        <v>4</v>
      </c>
      <c r="F30" s="113" t="s">
        <v>10</v>
      </c>
      <c r="G30" s="113" t="s">
        <v>306</v>
      </c>
      <c r="H30" s="11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1:27" ht="15.75" hidden="1" customHeight="1">
      <c r="A31" s="111"/>
      <c r="B31" s="104"/>
      <c r="C31" s="104" t="s">
        <v>307</v>
      </c>
      <c r="D31" s="104" t="s">
        <v>343</v>
      </c>
      <c r="E31" s="113">
        <v>4</v>
      </c>
      <c r="F31" s="113">
        <v>4</v>
      </c>
      <c r="G31" s="134">
        <f t="shared" ref="G31:G32" si="4">AVERAGE(E31:F31)</f>
        <v>4</v>
      </c>
      <c r="H31" s="11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1:27" ht="15.75" hidden="1" customHeight="1">
      <c r="A32" s="111"/>
      <c r="B32" s="104"/>
      <c r="C32" s="104" t="s">
        <v>309</v>
      </c>
      <c r="D32" s="104" t="s">
        <v>345</v>
      </c>
      <c r="E32" s="113">
        <v>4</v>
      </c>
      <c r="F32" s="113">
        <v>4</v>
      </c>
      <c r="G32" s="134">
        <f t="shared" si="4"/>
        <v>4</v>
      </c>
      <c r="H32" s="110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1:27" ht="15.75" hidden="1" customHeight="1">
      <c r="A33" s="82"/>
      <c r="B33" s="192" t="s">
        <v>311</v>
      </c>
      <c r="C33" s="271"/>
      <c r="D33" s="271"/>
      <c r="E33" s="271"/>
      <c r="F33" s="271"/>
      <c r="G33" s="271"/>
      <c r="H33" s="27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spans="1:27" ht="15.75" hidden="1" customHeight="1">
      <c r="A34" s="99"/>
      <c r="B34" s="87" t="s">
        <v>285</v>
      </c>
      <c r="C34" s="271" t="s">
        <v>312</v>
      </c>
      <c r="D34" s="271"/>
      <c r="E34" s="271"/>
      <c r="F34" s="271"/>
      <c r="G34" s="271"/>
      <c r="H34" s="272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spans="1:27" ht="15.75" hidden="1" customHeight="1">
      <c r="A35" s="82"/>
      <c r="B35" s="87" t="s">
        <v>285</v>
      </c>
      <c r="C35" s="271" t="s">
        <v>312</v>
      </c>
      <c r="D35" s="271"/>
      <c r="E35" s="271"/>
      <c r="F35" s="271"/>
      <c r="G35" s="271"/>
      <c r="H35" s="27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spans="1:27" ht="14.45" hidden="1">
      <c r="A36" s="111"/>
      <c r="B36" s="115"/>
      <c r="C36" s="104"/>
      <c r="D36" s="104"/>
      <c r="E36" s="113"/>
      <c r="F36" s="113"/>
      <c r="G36" s="113"/>
      <c r="H36" s="11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1:27" ht="14.45">
      <c r="A37" s="111"/>
      <c r="B37" s="112">
        <v>46055</v>
      </c>
      <c r="C37" s="104"/>
      <c r="D37" s="104" t="s">
        <v>346</v>
      </c>
      <c r="E37" s="113"/>
      <c r="F37" s="113"/>
      <c r="G37" s="113"/>
      <c r="H37" s="132">
        <f>AVERAGE(G39:G42)</f>
        <v>4</v>
      </c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1:27" ht="14.45" hidden="1">
      <c r="A38" s="111"/>
      <c r="B38" s="104"/>
      <c r="C38" s="104"/>
      <c r="D38" s="104"/>
      <c r="E38" s="113" t="s">
        <v>31</v>
      </c>
      <c r="F38" s="113" t="s">
        <v>10</v>
      </c>
      <c r="G38" s="113" t="s">
        <v>306</v>
      </c>
      <c r="H38" s="110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1:27" ht="14.45" hidden="1">
      <c r="A39" s="111"/>
      <c r="B39" s="104"/>
      <c r="C39" s="104" t="s">
        <v>307</v>
      </c>
      <c r="D39" s="104" t="s">
        <v>348</v>
      </c>
      <c r="E39" s="113" t="s">
        <v>285</v>
      </c>
      <c r="F39" s="113">
        <v>4</v>
      </c>
      <c r="G39" s="134">
        <f t="shared" ref="G39:G42" si="5">AVERAGE(E39:F39)</f>
        <v>4</v>
      </c>
      <c r="H39" s="110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1:27" ht="14.45" hidden="1">
      <c r="A40" s="111"/>
      <c r="B40" s="104"/>
      <c r="C40" s="104" t="s">
        <v>309</v>
      </c>
      <c r="D40" s="104" t="s">
        <v>349</v>
      </c>
      <c r="E40" s="113">
        <v>4</v>
      </c>
      <c r="F40" s="113">
        <v>4</v>
      </c>
      <c r="G40" s="134">
        <f t="shared" si="5"/>
        <v>4</v>
      </c>
      <c r="H40" s="110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</row>
    <row r="41" spans="1:27" ht="14.45" hidden="1">
      <c r="A41" s="111"/>
      <c r="B41" s="104"/>
      <c r="C41" s="104" t="s">
        <v>316</v>
      </c>
      <c r="D41" s="104" t="s">
        <v>356</v>
      </c>
      <c r="E41" s="113">
        <v>4</v>
      </c>
      <c r="F41" s="113">
        <v>4</v>
      </c>
      <c r="G41" s="134">
        <f t="shared" si="5"/>
        <v>4</v>
      </c>
      <c r="H41" s="110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</row>
    <row r="42" spans="1:27" ht="14.45" hidden="1">
      <c r="A42" s="111"/>
      <c r="B42" s="104"/>
      <c r="C42" s="104" t="s">
        <v>318</v>
      </c>
      <c r="D42" s="104" t="s">
        <v>354</v>
      </c>
      <c r="E42" s="113" t="s">
        <v>285</v>
      </c>
      <c r="F42" s="113">
        <v>4</v>
      </c>
      <c r="G42" s="134">
        <f t="shared" si="5"/>
        <v>4</v>
      </c>
      <c r="H42" s="11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</row>
    <row r="43" spans="1:27" ht="15.75" hidden="1" customHeight="1">
      <c r="A43" s="82"/>
      <c r="B43" s="192" t="s">
        <v>311</v>
      </c>
      <c r="C43" s="271"/>
      <c r="D43" s="271"/>
      <c r="E43" s="271"/>
      <c r="F43" s="271"/>
      <c r="G43" s="271"/>
      <c r="H43" s="272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spans="1:27" ht="15.75" hidden="1" customHeight="1">
      <c r="A44" s="99"/>
      <c r="B44" s="87" t="s">
        <v>285</v>
      </c>
      <c r="C44" s="271" t="s">
        <v>312</v>
      </c>
      <c r="D44" s="271"/>
      <c r="E44" s="271"/>
      <c r="F44" s="271"/>
      <c r="G44" s="271"/>
      <c r="H44" s="272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spans="1:27" ht="15.75" hidden="1" customHeight="1">
      <c r="A45" s="82"/>
      <c r="B45" s="87" t="s">
        <v>285</v>
      </c>
      <c r="C45" s="271" t="s">
        <v>312</v>
      </c>
      <c r="D45" s="271"/>
      <c r="E45" s="271"/>
      <c r="F45" s="271"/>
      <c r="G45" s="271"/>
      <c r="H45" s="27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spans="1:27" ht="15.6">
      <c r="A46" s="94"/>
      <c r="B46" s="95"/>
      <c r="C46" s="95"/>
      <c r="D46" s="96"/>
      <c r="E46" s="96"/>
      <c r="F46" s="96"/>
      <c r="G46" s="96"/>
      <c r="H46" s="97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spans="1:27" ht="14.45">
      <c r="A47" s="123">
        <v>3</v>
      </c>
      <c r="B47" s="279" t="s">
        <v>359</v>
      </c>
      <c r="C47" s="279"/>
      <c r="D47" s="279"/>
      <c r="E47" s="279"/>
      <c r="F47" s="279"/>
      <c r="G47" s="279"/>
      <c r="H47" s="132">
        <f>AVERAGE(H48:H65)</f>
        <v>4</v>
      </c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 spans="1:27" ht="14.45">
      <c r="A48" s="111"/>
      <c r="B48" s="117">
        <v>3.1</v>
      </c>
      <c r="C48" s="104"/>
      <c r="D48" s="104" t="s">
        <v>326</v>
      </c>
      <c r="H48" s="132">
        <f>AVERAGE(G50:G52)</f>
        <v>4</v>
      </c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</row>
    <row r="49" spans="1:27" ht="14.45" hidden="1">
      <c r="A49" s="111"/>
      <c r="B49" s="104"/>
      <c r="C49" s="104"/>
      <c r="D49" s="104"/>
      <c r="E49" s="113" t="s">
        <v>4</v>
      </c>
      <c r="F49" s="113" t="s">
        <v>10</v>
      </c>
      <c r="G49" s="113" t="s">
        <v>306</v>
      </c>
      <c r="H49" s="114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</row>
    <row r="50" spans="1:27" ht="14.45" hidden="1">
      <c r="A50" s="111"/>
      <c r="B50" s="104"/>
      <c r="C50" s="104" t="s">
        <v>307</v>
      </c>
      <c r="D50" s="104" t="s">
        <v>343</v>
      </c>
      <c r="E50" s="113">
        <v>4</v>
      </c>
      <c r="F50" s="113">
        <v>4</v>
      </c>
      <c r="G50" s="134">
        <f t="shared" ref="G50:G52" si="6">AVERAGE(E50:F50)</f>
        <v>4</v>
      </c>
      <c r="H50" s="114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spans="1:27" ht="14.45" hidden="1">
      <c r="A51" s="111"/>
      <c r="B51" s="104"/>
      <c r="C51" s="104" t="s">
        <v>309</v>
      </c>
      <c r="D51" s="104" t="s">
        <v>344</v>
      </c>
      <c r="E51" s="113">
        <v>4</v>
      </c>
      <c r="F51" s="113">
        <v>4</v>
      </c>
      <c r="G51" s="134">
        <f t="shared" si="6"/>
        <v>4</v>
      </c>
      <c r="H51" s="110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spans="1:27" ht="14.45" hidden="1">
      <c r="A52" s="111"/>
      <c r="B52" s="115"/>
      <c r="C52" s="104" t="s">
        <v>316</v>
      </c>
      <c r="D52" s="104" t="s">
        <v>345</v>
      </c>
      <c r="E52" s="113">
        <v>4</v>
      </c>
      <c r="F52" s="113">
        <v>4</v>
      </c>
      <c r="G52" s="134">
        <f t="shared" si="6"/>
        <v>4</v>
      </c>
      <c r="H52" s="114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</row>
    <row r="53" spans="1:27" ht="15.75" hidden="1" customHeight="1">
      <c r="A53" s="82"/>
      <c r="B53" s="192" t="s">
        <v>311</v>
      </c>
      <c r="C53" s="271"/>
      <c r="D53" s="271"/>
      <c r="E53" s="271"/>
      <c r="F53" s="271"/>
      <c r="G53" s="271"/>
      <c r="H53" s="272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75" hidden="1" customHeight="1">
      <c r="A54" s="99"/>
      <c r="B54" s="87" t="s">
        <v>285</v>
      </c>
      <c r="C54" s="271" t="s">
        <v>312</v>
      </c>
      <c r="D54" s="271"/>
      <c r="E54" s="271"/>
      <c r="F54" s="271"/>
      <c r="G54" s="271"/>
      <c r="H54" s="272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75" hidden="1" customHeight="1">
      <c r="A55" s="82"/>
      <c r="B55" s="87" t="s">
        <v>285</v>
      </c>
      <c r="C55" s="271" t="s">
        <v>312</v>
      </c>
      <c r="D55" s="271"/>
      <c r="E55" s="271"/>
      <c r="F55" s="271"/>
      <c r="G55" s="271"/>
      <c r="H55" s="272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4.45" hidden="1">
      <c r="A56" s="111"/>
      <c r="B56" s="115"/>
      <c r="C56" s="104"/>
      <c r="D56" s="104"/>
      <c r="E56" s="113"/>
      <c r="F56" s="113"/>
      <c r="G56" s="113"/>
      <c r="H56" s="114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 spans="1:27" ht="14.45">
      <c r="A57" s="111"/>
      <c r="B57" s="117">
        <v>3.2</v>
      </c>
      <c r="C57" s="104"/>
      <c r="D57" s="104" t="s">
        <v>346</v>
      </c>
      <c r="E57" s="116"/>
      <c r="F57" s="116"/>
      <c r="G57" s="116"/>
      <c r="H57" s="132">
        <f>AVERAGE(G59:G66)</f>
        <v>4</v>
      </c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 spans="1:27" ht="14.45" hidden="1">
      <c r="A58" s="111"/>
      <c r="B58" s="104"/>
      <c r="C58" s="104"/>
      <c r="D58" s="104"/>
      <c r="E58" s="113" t="s">
        <v>31</v>
      </c>
      <c r="F58" s="113" t="s">
        <v>10</v>
      </c>
      <c r="G58" s="113" t="s">
        <v>306</v>
      </c>
      <c r="H58" s="114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 spans="1:27" ht="14.45" hidden="1">
      <c r="A59" s="111"/>
      <c r="B59" s="104"/>
      <c r="C59" s="104" t="s">
        <v>307</v>
      </c>
      <c r="D59" s="104" t="s">
        <v>347</v>
      </c>
      <c r="E59" s="113" t="s">
        <v>285</v>
      </c>
      <c r="F59" s="113">
        <v>4</v>
      </c>
      <c r="G59" s="134">
        <f t="shared" ref="G59:G62" si="7">AVERAGE(E59:F59)</f>
        <v>4</v>
      </c>
      <c r="H59" s="114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spans="1:27" ht="14.45" hidden="1">
      <c r="A60" s="111"/>
      <c r="B60" s="104"/>
      <c r="C60" s="104" t="s">
        <v>309</v>
      </c>
      <c r="D60" s="104" t="s">
        <v>348</v>
      </c>
      <c r="E60" s="113" t="s">
        <v>285</v>
      </c>
      <c r="F60" s="113">
        <v>4</v>
      </c>
      <c r="G60" s="134">
        <f t="shared" si="7"/>
        <v>4</v>
      </c>
      <c r="H60" s="110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 spans="1:27" ht="14.45" hidden="1">
      <c r="A61" s="111"/>
      <c r="B61" s="104"/>
      <c r="C61" s="104" t="s">
        <v>316</v>
      </c>
      <c r="D61" s="104" t="s">
        <v>349</v>
      </c>
      <c r="E61" s="113">
        <v>4</v>
      </c>
      <c r="F61" s="113">
        <v>4</v>
      </c>
      <c r="G61" s="134">
        <f t="shared" si="7"/>
        <v>4</v>
      </c>
      <c r="H61" s="110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spans="1:27" ht="14.45" hidden="1">
      <c r="A62" s="111"/>
      <c r="B62" s="115"/>
      <c r="C62" s="104" t="s">
        <v>318</v>
      </c>
      <c r="D62" s="104" t="s">
        <v>350</v>
      </c>
      <c r="E62" s="113">
        <v>4</v>
      </c>
      <c r="F62" s="113">
        <v>4</v>
      </c>
      <c r="G62" s="134">
        <f t="shared" si="7"/>
        <v>4</v>
      </c>
      <c r="H62" s="110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spans="1:27" ht="15" hidden="1" customHeight="1">
      <c r="A63" s="111"/>
      <c r="B63" s="104"/>
      <c r="C63" s="104"/>
      <c r="D63" s="282" t="s">
        <v>351</v>
      </c>
      <c r="E63" s="282"/>
      <c r="F63" s="282"/>
      <c r="G63" s="113"/>
      <c r="H63" s="110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 spans="1:27" ht="14.45" hidden="1">
      <c r="A64" s="111"/>
      <c r="B64" s="115"/>
      <c r="C64" s="104" t="s">
        <v>320</v>
      </c>
      <c r="D64" s="104" t="s">
        <v>352</v>
      </c>
      <c r="E64" s="113" t="s">
        <v>285</v>
      </c>
      <c r="F64" s="113">
        <v>4</v>
      </c>
      <c r="G64" s="134">
        <f t="shared" ref="G64:G66" si="8">AVERAGE(E64:F64)</f>
        <v>4</v>
      </c>
      <c r="H64" s="110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</row>
    <row r="65" spans="1:27" ht="14.45" hidden="1">
      <c r="A65" s="111"/>
      <c r="B65" s="115"/>
      <c r="C65" s="104" t="s">
        <v>353</v>
      </c>
      <c r="D65" s="104" t="s">
        <v>354</v>
      </c>
      <c r="E65" s="113" t="s">
        <v>285</v>
      </c>
      <c r="F65" s="113">
        <v>4</v>
      </c>
      <c r="G65" s="134">
        <f t="shared" si="8"/>
        <v>4</v>
      </c>
      <c r="H65" s="114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</row>
    <row r="66" spans="1:27" ht="14.45" hidden="1">
      <c r="A66" s="111"/>
      <c r="B66" s="104"/>
      <c r="C66" s="104" t="s">
        <v>355</v>
      </c>
      <c r="D66" s="104" t="s">
        <v>356</v>
      </c>
      <c r="E66" s="113">
        <v>4</v>
      </c>
      <c r="F66" s="113">
        <v>4</v>
      </c>
      <c r="G66" s="134">
        <f t="shared" si="8"/>
        <v>4</v>
      </c>
      <c r="H66" s="110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</row>
    <row r="67" spans="1:27" ht="15.75" hidden="1" customHeight="1">
      <c r="A67" s="82"/>
      <c r="B67" s="192" t="s">
        <v>311</v>
      </c>
      <c r="C67" s="271"/>
      <c r="D67" s="271"/>
      <c r="E67" s="271"/>
      <c r="F67" s="271"/>
      <c r="G67" s="271"/>
      <c r="H67" s="272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spans="1:27" ht="15.75" hidden="1" customHeight="1">
      <c r="A68" s="99"/>
      <c r="B68" s="87" t="s">
        <v>285</v>
      </c>
      <c r="C68" s="271" t="s">
        <v>312</v>
      </c>
      <c r="D68" s="271"/>
      <c r="E68" s="271"/>
      <c r="F68" s="271"/>
      <c r="G68" s="271"/>
      <c r="H68" s="272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spans="1:27" ht="15.75" hidden="1" customHeight="1">
      <c r="A69" s="82"/>
      <c r="B69" s="87" t="s">
        <v>285</v>
      </c>
      <c r="C69" s="271" t="s">
        <v>312</v>
      </c>
      <c r="D69" s="271"/>
      <c r="E69" s="271"/>
      <c r="F69" s="271"/>
      <c r="G69" s="271"/>
      <c r="H69" s="272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spans="1:27" ht="15.6">
      <c r="A70" s="94"/>
      <c r="B70" s="95"/>
      <c r="C70" s="95"/>
      <c r="D70" s="96"/>
      <c r="E70" s="96"/>
      <c r="F70" s="96"/>
      <c r="G70" s="96"/>
      <c r="H70" s="97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 ht="14.45">
      <c r="A71" s="123">
        <v>4</v>
      </c>
      <c r="B71" s="279" t="s">
        <v>360</v>
      </c>
      <c r="C71" s="279"/>
      <c r="D71" s="279"/>
      <c r="E71" s="279"/>
      <c r="F71" s="279"/>
      <c r="G71" s="279"/>
      <c r="H71" s="132">
        <f>AVERAGE(H72:H89)</f>
        <v>4</v>
      </c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 spans="1:27" ht="14.45">
      <c r="A72" s="111"/>
      <c r="B72" s="117">
        <v>4.0999999999999996</v>
      </c>
      <c r="C72" s="104"/>
      <c r="D72" s="104" t="s">
        <v>326</v>
      </c>
      <c r="H72" s="132">
        <f>AVERAGE(G74:G76)</f>
        <v>4</v>
      </c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</row>
    <row r="73" spans="1:27" ht="14.45" hidden="1">
      <c r="A73" s="111"/>
      <c r="B73" s="104"/>
      <c r="C73" s="104"/>
      <c r="D73" s="104"/>
      <c r="E73" s="113" t="s">
        <v>4</v>
      </c>
      <c r="F73" s="113" t="s">
        <v>10</v>
      </c>
      <c r="G73" s="113" t="s">
        <v>306</v>
      </c>
      <c r="H73" s="11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</row>
    <row r="74" spans="1:27" ht="14.45" hidden="1">
      <c r="A74" s="111"/>
      <c r="B74" s="104"/>
      <c r="C74" s="104" t="s">
        <v>307</v>
      </c>
      <c r="D74" s="104" t="s">
        <v>343</v>
      </c>
      <c r="E74" s="113">
        <v>4</v>
      </c>
      <c r="F74" s="113">
        <v>4</v>
      </c>
      <c r="G74" s="134">
        <f t="shared" ref="G74:G76" si="9">AVERAGE(E74:F74)</f>
        <v>4</v>
      </c>
      <c r="H74" s="11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</row>
    <row r="75" spans="1:27" ht="14.45" hidden="1">
      <c r="A75" s="111"/>
      <c r="B75" s="104"/>
      <c r="C75" s="104" t="s">
        <v>309</v>
      </c>
      <c r="D75" s="104" t="s">
        <v>344</v>
      </c>
      <c r="E75" s="113">
        <v>4</v>
      </c>
      <c r="F75" s="113">
        <v>4</v>
      </c>
      <c r="G75" s="134">
        <f t="shared" si="9"/>
        <v>4</v>
      </c>
      <c r="H75" s="110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</row>
    <row r="76" spans="1:27" ht="14.45" hidden="1">
      <c r="A76" s="111"/>
      <c r="B76" s="115"/>
      <c r="C76" s="104" t="s">
        <v>316</v>
      </c>
      <c r="D76" s="104" t="s">
        <v>345</v>
      </c>
      <c r="E76" s="113">
        <v>4</v>
      </c>
      <c r="F76" s="113">
        <v>4</v>
      </c>
      <c r="G76" s="134">
        <f t="shared" si="9"/>
        <v>4</v>
      </c>
      <c r="H76" s="11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</row>
    <row r="77" spans="1:27" ht="15.75" hidden="1" customHeight="1">
      <c r="A77" s="82"/>
      <c r="B77" s="192" t="s">
        <v>311</v>
      </c>
      <c r="C77" s="271"/>
      <c r="D77" s="271"/>
      <c r="E77" s="271"/>
      <c r="F77" s="271"/>
      <c r="G77" s="271"/>
      <c r="H77" s="272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15.75" hidden="1" customHeight="1">
      <c r="A78" s="99"/>
      <c r="B78" s="87" t="s">
        <v>285</v>
      </c>
      <c r="C78" s="271" t="s">
        <v>312</v>
      </c>
      <c r="D78" s="271"/>
      <c r="E78" s="271"/>
      <c r="F78" s="271"/>
      <c r="G78" s="271"/>
      <c r="H78" s="272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75" hidden="1" customHeight="1">
      <c r="A79" s="82"/>
      <c r="B79" s="87" t="s">
        <v>285</v>
      </c>
      <c r="C79" s="271" t="s">
        <v>312</v>
      </c>
      <c r="D79" s="271"/>
      <c r="E79" s="271"/>
      <c r="F79" s="271"/>
      <c r="G79" s="271"/>
      <c r="H79" s="272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4.45" hidden="1">
      <c r="A80" s="111"/>
      <c r="B80" s="115"/>
      <c r="C80" s="104"/>
      <c r="D80" s="104"/>
      <c r="E80" s="113"/>
      <c r="F80" s="113"/>
      <c r="G80" s="113"/>
      <c r="H80" s="11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 spans="1:27" ht="14.45">
      <c r="A81" s="111"/>
      <c r="B81" s="117">
        <v>4.2</v>
      </c>
      <c r="C81" s="104"/>
      <c r="D81" s="104" t="s">
        <v>346</v>
      </c>
      <c r="E81" s="116"/>
      <c r="F81" s="116"/>
      <c r="G81" s="116"/>
      <c r="H81" s="132">
        <f>AVERAGE(G83:G90)</f>
        <v>4</v>
      </c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 spans="1:27" ht="14.45" hidden="1">
      <c r="A82" s="111"/>
      <c r="B82" s="104"/>
      <c r="C82" s="104"/>
      <c r="D82" s="104"/>
      <c r="E82" s="113" t="s">
        <v>31</v>
      </c>
      <c r="F82" s="113" t="s">
        <v>10</v>
      </c>
      <c r="G82" s="113" t="s">
        <v>306</v>
      </c>
      <c r="H82" s="11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 spans="1:27" ht="14.45" hidden="1">
      <c r="A83" s="111"/>
      <c r="B83" s="104"/>
      <c r="C83" s="104" t="s">
        <v>307</v>
      </c>
      <c r="D83" s="104" t="s">
        <v>347</v>
      </c>
      <c r="E83" s="113" t="s">
        <v>285</v>
      </c>
      <c r="F83" s="113">
        <v>4</v>
      </c>
      <c r="G83" s="134">
        <f t="shared" ref="G83:G86" si="10">AVERAGE(E83:F83)</f>
        <v>4</v>
      </c>
      <c r="H83" s="11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 spans="1:27" ht="14.45" hidden="1">
      <c r="A84" s="111"/>
      <c r="B84" s="104"/>
      <c r="C84" s="104" t="s">
        <v>309</v>
      </c>
      <c r="D84" s="104" t="s">
        <v>348</v>
      </c>
      <c r="E84" s="113" t="s">
        <v>285</v>
      </c>
      <c r="F84" s="113">
        <v>4</v>
      </c>
      <c r="G84" s="134">
        <f t="shared" si="10"/>
        <v>4</v>
      </c>
      <c r="H84" s="110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 spans="1:27" ht="14.45" hidden="1">
      <c r="A85" s="111"/>
      <c r="B85" s="104"/>
      <c r="C85" s="104" t="s">
        <v>316</v>
      </c>
      <c r="D85" s="104" t="s">
        <v>349</v>
      </c>
      <c r="E85" s="113">
        <v>4</v>
      </c>
      <c r="F85" s="113">
        <v>4</v>
      </c>
      <c r="G85" s="134">
        <f t="shared" si="10"/>
        <v>4</v>
      </c>
      <c r="H85" s="110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 spans="1:27" ht="14.45" hidden="1">
      <c r="A86" s="111"/>
      <c r="B86" s="115"/>
      <c r="C86" s="104" t="s">
        <v>318</v>
      </c>
      <c r="D86" s="104" t="s">
        <v>350</v>
      </c>
      <c r="E86" s="113" t="s">
        <v>285</v>
      </c>
      <c r="F86" s="113">
        <v>4</v>
      </c>
      <c r="G86" s="134">
        <f t="shared" si="10"/>
        <v>4</v>
      </c>
      <c r="H86" s="110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 spans="1:27" ht="15.75" hidden="1" customHeight="1">
      <c r="A87" s="111"/>
      <c r="B87" s="104"/>
      <c r="C87" s="104"/>
      <c r="D87" s="104" t="s">
        <v>351</v>
      </c>
      <c r="E87" s="113"/>
      <c r="F87" s="113"/>
      <c r="G87" s="113"/>
      <c r="H87" s="110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 spans="1:27" ht="14.45" hidden="1">
      <c r="A88" s="111"/>
      <c r="B88" s="115"/>
      <c r="C88" s="104" t="s">
        <v>320</v>
      </c>
      <c r="D88" s="104" t="s">
        <v>352</v>
      </c>
      <c r="E88" s="113" t="s">
        <v>285</v>
      </c>
      <c r="F88" s="113">
        <v>4</v>
      </c>
      <c r="G88" s="134">
        <f t="shared" ref="G88:G90" si="11">AVERAGE(E88:F88)</f>
        <v>4</v>
      </c>
      <c r="H88" s="110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 spans="1:27" ht="14.45" hidden="1">
      <c r="A89" s="111"/>
      <c r="B89" s="115"/>
      <c r="C89" s="104" t="s">
        <v>353</v>
      </c>
      <c r="D89" s="104" t="s">
        <v>354</v>
      </c>
      <c r="E89" s="113" t="s">
        <v>285</v>
      </c>
      <c r="F89" s="113">
        <v>4</v>
      </c>
      <c r="G89" s="134">
        <f t="shared" si="11"/>
        <v>4</v>
      </c>
      <c r="H89" s="11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 spans="1:27" ht="14.45" hidden="1">
      <c r="A90" s="111"/>
      <c r="B90" s="104"/>
      <c r="C90" s="104" t="s">
        <v>355</v>
      </c>
      <c r="D90" s="104" t="s">
        <v>356</v>
      </c>
      <c r="E90" s="113">
        <v>4</v>
      </c>
      <c r="F90" s="113">
        <v>4</v>
      </c>
      <c r="G90" s="134">
        <f t="shared" si="11"/>
        <v>4</v>
      </c>
      <c r="H90" s="110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 spans="1:27" ht="15.75" hidden="1" customHeight="1">
      <c r="A91" s="82"/>
      <c r="B91" s="192" t="s">
        <v>311</v>
      </c>
      <c r="C91" s="271"/>
      <c r="D91" s="271"/>
      <c r="E91" s="271"/>
      <c r="F91" s="271"/>
      <c r="G91" s="271"/>
      <c r="H91" s="272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spans="1:27" ht="15.75" hidden="1" customHeight="1">
      <c r="A92" s="99"/>
      <c r="B92" s="87" t="s">
        <v>285</v>
      </c>
      <c r="C92" s="271" t="s">
        <v>312</v>
      </c>
      <c r="D92" s="271"/>
      <c r="E92" s="271"/>
      <c r="F92" s="271"/>
      <c r="G92" s="271"/>
      <c r="H92" s="272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spans="1:27" ht="15.75" hidden="1" customHeight="1">
      <c r="A93" s="82"/>
      <c r="B93" s="87" t="s">
        <v>285</v>
      </c>
      <c r="C93" s="271" t="s">
        <v>312</v>
      </c>
      <c r="D93" s="271"/>
      <c r="E93" s="271"/>
      <c r="F93" s="271"/>
      <c r="G93" s="271"/>
      <c r="H93" s="272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spans="1:27" ht="15.6">
      <c r="A94" s="94"/>
      <c r="B94" s="95"/>
      <c r="C94" s="95"/>
      <c r="D94" s="96"/>
      <c r="E94" s="96"/>
      <c r="F94" s="96"/>
      <c r="G94" s="96"/>
      <c r="H94" s="97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spans="1:27" ht="14.45">
      <c r="A95" s="123">
        <v>5</v>
      </c>
      <c r="B95" s="279" t="s">
        <v>361</v>
      </c>
      <c r="C95" s="279"/>
      <c r="D95" s="279"/>
      <c r="E95" s="279"/>
      <c r="F95" s="279"/>
      <c r="G95" s="279"/>
      <c r="H95" s="132">
        <f>AVERAGE(H96:H113)</f>
        <v>4</v>
      </c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 spans="1:27" ht="14.45">
      <c r="A96" s="111"/>
      <c r="B96" s="117">
        <v>5.0999999999999996</v>
      </c>
      <c r="C96" s="104"/>
      <c r="D96" s="104" t="s">
        <v>326</v>
      </c>
      <c r="H96" s="132">
        <f>AVERAGE(G98:G100)</f>
        <v>4</v>
      </c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 spans="1:27" ht="14.45" hidden="1">
      <c r="A97" s="111"/>
      <c r="B97" s="104"/>
      <c r="C97" s="104"/>
      <c r="D97" s="104"/>
      <c r="E97" s="113" t="s">
        <v>4</v>
      </c>
      <c r="F97" s="113" t="s">
        <v>10</v>
      </c>
      <c r="G97" s="113" t="s">
        <v>306</v>
      </c>
      <c r="H97" s="11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 spans="1:27" ht="14.45" hidden="1">
      <c r="A98" s="111"/>
      <c r="B98" s="104"/>
      <c r="C98" s="104" t="s">
        <v>307</v>
      </c>
      <c r="D98" s="104" t="s">
        <v>343</v>
      </c>
      <c r="E98" s="113">
        <v>4</v>
      </c>
      <c r="F98" s="113">
        <v>4</v>
      </c>
      <c r="G98" s="134">
        <f t="shared" ref="G98:G100" si="12">AVERAGE(E98:F98)</f>
        <v>4</v>
      </c>
      <c r="H98" s="11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 spans="1:27" ht="14.45" hidden="1">
      <c r="A99" s="111"/>
      <c r="B99" s="104"/>
      <c r="C99" s="104" t="s">
        <v>309</v>
      </c>
      <c r="D99" s="104" t="s">
        <v>344</v>
      </c>
      <c r="E99" s="113">
        <v>4</v>
      </c>
      <c r="F99" s="113">
        <v>4</v>
      </c>
      <c r="G99" s="134">
        <f t="shared" si="12"/>
        <v>4</v>
      </c>
      <c r="H99" s="110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 spans="1:27" ht="14.45" hidden="1">
      <c r="A100" s="111"/>
      <c r="B100" s="115"/>
      <c r="C100" s="104" t="s">
        <v>316</v>
      </c>
      <c r="D100" s="104" t="s">
        <v>345</v>
      </c>
      <c r="E100" s="113">
        <v>4</v>
      </c>
      <c r="F100" s="113">
        <v>4</v>
      </c>
      <c r="G100" s="134">
        <f t="shared" si="12"/>
        <v>4</v>
      </c>
      <c r="H100" s="11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</row>
    <row r="101" spans="1:27" ht="15.75" hidden="1" customHeight="1">
      <c r="A101" s="82"/>
      <c r="B101" s="192" t="s">
        <v>311</v>
      </c>
      <c r="C101" s="271"/>
      <c r="D101" s="271"/>
      <c r="E101" s="271"/>
      <c r="F101" s="271"/>
      <c r="G101" s="271"/>
      <c r="H101" s="272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spans="1:27" ht="15.75" hidden="1" customHeight="1">
      <c r="A102" s="99"/>
      <c r="B102" s="87" t="s">
        <v>285</v>
      </c>
      <c r="C102" s="271" t="s">
        <v>312</v>
      </c>
      <c r="D102" s="271"/>
      <c r="E102" s="271"/>
      <c r="F102" s="271"/>
      <c r="G102" s="271"/>
      <c r="H102" s="272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spans="1:27" ht="15.75" hidden="1" customHeight="1">
      <c r="A103" s="82"/>
      <c r="B103" s="87" t="s">
        <v>285</v>
      </c>
      <c r="C103" s="271" t="s">
        <v>312</v>
      </c>
      <c r="D103" s="271"/>
      <c r="E103" s="271"/>
      <c r="F103" s="271"/>
      <c r="G103" s="271"/>
      <c r="H103" s="272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spans="1:27" ht="14.45" hidden="1">
      <c r="A104" s="111"/>
      <c r="B104" s="115"/>
      <c r="C104" s="104"/>
      <c r="D104" s="104"/>
      <c r="E104" s="113"/>
      <c r="F104" s="113"/>
      <c r="G104" s="113"/>
      <c r="H104" s="11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  <row r="105" spans="1:27" ht="14.45">
      <c r="A105" s="111"/>
      <c r="B105" s="117">
        <v>5.2</v>
      </c>
      <c r="C105" s="104"/>
      <c r="D105" s="104" t="s">
        <v>346</v>
      </c>
      <c r="E105" s="116"/>
      <c r="F105" s="116"/>
      <c r="G105" s="116"/>
      <c r="H105" s="132">
        <f>AVERAGE(G107:G114)</f>
        <v>4</v>
      </c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</row>
    <row r="106" spans="1:27" ht="14.45" hidden="1">
      <c r="A106" s="111"/>
      <c r="B106" s="104"/>
      <c r="C106" s="104"/>
      <c r="D106" s="104"/>
      <c r="E106" s="113" t="s">
        <v>31</v>
      </c>
      <c r="F106" s="113" t="s">
        <v>10</v>
      </c>
      <c r="G106" s="113" t="s">
        <v>306</v>
      </c>
      <c r="H106" s="11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</row>
    <row r="107" spans="1:27" ht="14.45" hidden="1">
      <c r="A107" s="111"/>
      <c r="B107" s="104"/>
      <c r="C107" s="104" t="s">
        <v>307</v>
      </c>
      <c r="D107" s="104" t="s">
        <v>347</v>
      </c>
      <c r="E107" s="113" t="s">
        <v>285</v>
      </c>
      <c r="F107" s="113">
        <v>4</v>
      </c>
      <c r="G107" s="134">
        <f t="shared" ref="G107:G110" si="13">AVERAGE(E107:F107)</f>
        <v>4</v>
      </c>
      <c r="H107" s="11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</row>
    <row r="108" spans="1:27" ht="14.45" hidden="1">
      <c r="A108" s="111"/>
      <c r="B108" s="104"/>
      <c r="C108" s="104" t="s">
        <v>309</v>
      </c>
      <c r="D108" s="104" t="s">
        <v>348</v>
      </c>
      <c r="E108" s="113" t="s">
        <v>285</v>
      </c>
      <c r="F108" s="113">
        <v>4</v>
      </c>
      <c r="G108" s="134">
        <f t="shared" si="13"/>
        <v>4</v>
      </c>
      <c r="H108" s="110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</row>
    <row r="109" spans="1:27" ht="14.45" hidden="1">
      <c r="A109" s="111"/>
      <c r="B109" s="104"/>
      <c r="C109" s="104" t="s">
        <v>316</v>
      </c>
      <c r="D109" s="104" t="s">
        <v>349</v>
      </c>
      <c r="E109" s="113">
        <v>4</v>
      </c>
      <c r="F109" s="113">
        <v>4</v>
      </c>
      <c r="G109" s="134">
        <f t="shared" si="13"/>
        <v>4</v>
      </c>
      <c r="H109" s="110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</row>
    <row r="110" spans="1:27" ht="14.45" hidden="1">
      <c r="A110" s="111"/>
      <c r="B110" s="115"/>
      <c r="C110" s="104" t="s">
        <v>318</v>
      </c>
      <c r="D110" s="104" t="s">
        <v>350</v>
      </c>
      <c r="E110" s="113">
        <v>4</v>
      </c>
      <c r="F110" s="113">
        <v>4</v>
      </c>
      <c r="G110" s="134">
        <f t="shared" si="13"/>
        <v>4</v>
      </c>
      <c r="H110" s="110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</row>
    <row r="111" spans="1:27" ht="15.75" hidden="1" customHeight="1">
      <c r="A111" s="111"/>
      <c r="B111" s="104"/>
      <c r="C111" s="104"/>
      <c r="D111" s="104" t="s">
        <v>351</v>
      </c>
      <c r="E111" s="113"/>
      <c r="F111" s="113"/>
      <c r="G111" s="113"/>
      <c r="H111" s="110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</row>
    <row r="112" spans="1:27" ht="14.45" hidden="1">
      <c r="A112" s="111"/>
      <c r="B112" s="115"/>
      <c r="C112" s="104" t="s">
        <v>320</v>
      </c>
      <c r="D112" s="104" t="s">
        <v>352</v>
      </c>
      <c r="E112" s="113" t="s">
        <v>285</v>
      </c>
      <c r="F112" s="113">
        <v>4</v>
      </c>
      <c r="G112" s="134">
        <f t="shared" ref="G112:G114" si="14">AVERAGE(E112:F112)</f>
        <v>4</v>
      </c>
      <c r="H112" s="110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</row>
    <row r="113" spans="1:27" ht="14.45" hidden="1">
      <c r="A113" s="111"/>
      <c r="B113" s="115"/>
      <c r="C113" s="104" t="s">
        <v>353</v>
      </c>
      <c r="D113" s="104" t="s">
        <v>354</v>
      </c>
      <c r="E113" s="113" t="s">
        <v>285</v>
      </c>
      <c r="F113" s="113">
        <v>4</v>
      </c>
      <c r="G113" s="134">
        <f t="shared" si="14"/>
        <v>4</v>
      </c>
      <c r="H113" s="11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</row>
    <row r="114" spans="1:27" ht="14.45" hidden="1">
      <c r="A114" s="111"/>
      <c r="B114" s="104"/>
      <c r="C114" s="104" t="s">
        <v>355</v>
      </c>
      <c r="D114" s="104" t="s">
        <v>356</v>
      </c>
      <c r="E114" s="113">
        <v>4</v>
      </c>
      <c r="F114" s="113">
        <v>4</v>
      </c>
      <c r="G114" s="134">
        <f t="shared" si="14"/>
        <v>4</v>
      </c>
      <c r="H114" s="110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</row>
    <row r="115" spans="1:27" ht="15.75" hidden="1" customHeight="1">
      <c r="A115" s="82"/>
      <c r="B115" s="192" t="s">
        <v>311</v>
      </c>
      <c r="C115" s="271"/>
      <c r="D115" s="271"/>
      <c r="E115" s="271"/>
      <c r="F115" s="271"/>
      <c r="G115" s="271"/>
      <c r="H115" s="272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spans="1:27" ht="15.75" hidden="1" customHeight="1">
      <c r="A116" s="99"/>
      <c r="B116" s="87" t="s">
        <v>285</v>
      </c>
      <c r="C116" s="271" t="s">
        <v>312</v>
      </c>
      <c r="D116" s="271"/>
      <c r="E116" s="271"/>
      <c r="F116" s="271"/>
      <c r="G116" s="271"/>
      <c r="H116" s="272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spans="1:27" ht="15.75" hidden="1" customHeight="1">
      <c r="A117" s="82"/>
      <c r="B117" s="87" t="s">
        <v>285</v>
      </c>
      <c r="C117" s="271" t="s">
        <v>312</v>
      </c>
      <c r="D117" s="271"/>
      <c r="E117" s="271"/>
      <c r="F117" s="271"/>
      <c r="G117" s="271"/>
      <c r="H117" s="272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spans="1:27" ht="15.6">
      <c r="A118" s="94"/>
      <c r="B118" s="95"/>
      <c r="C118" s="95"/>
      <c r="D118" s="96"/>
      <c r="E118" s="96"/>
      <c r="F118" s="96"/>
      <c r="G118" s="96"/>
      <c r="H118" s="97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spans="1:27" ht="14.45">
      <c r="A119" s="123">
        <v>6</v>
      </c>
      <c r="B119" s="279" t="s">
        <v>362</v>
      </c>
      <c r="C119" s="280"/>
      <c r="D119" s="280"/>
      <c r="E119" s="280"/>
      <c r="F119" s="280"/>
      <c r="G119" s="280"/>
      <c r="H119" s="132">
        <f>AVERAGE(H120:H137)</f>
        <v>4</v>
      </c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</row>
    <row r="120" spans="1:27" ht="14.45">
      <c r="A120" s="118"/>
      <c r="B120" s="117">
        <v>6.1</v>
      </c>
      <c r="C120" s="105"/>
      <c r="D120" s="104" t="s">
        <v>326</v>
      </c>
      <c r="E120" s="119"/>
      <c r="F120" s="119"/>
      <c r="G120" s="119"/>
      <c r="H120" s="132">
        <f>AVERAGE(G122:G124)</f>
        <v>4</v>
      </c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</row>
    <row r="121" spans="1:27" ht="14.45" hidden="1">
      <c r="A121" s="118"/>
      <c r="B121" s="105"/>
      <c r="C121" s="105"/>
      <c r="D121" s="105"/>
      <c r="E121" s="113" t="s">
        <v>4</v>
      </c>
      <c r="F121" s="113" t="s">
        <v>10</v>
      </c>
      <c r="G121" s="113" t="s">
        <v>306</v>
      </c>
      <c r="H121" s="120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</row>
    <row r="122" spans="1:27" ht="14.45" hidden="1">
      <c r="A122" s="118"/>
      <c r="B122" s="105"/>
      <c r="C122" s="104" t="s">
        <v>307</v>
      </c>
      <c r="D122" s="104" t="s">
        <v>343</v>
      </c>
      <c r="E122" s="113">
        <v>4</v>
      </c>
      <c r="F122" s="113">
        <v>4</v>
      </c>
      <c r="G122" s="134">
        <f t="shared" ref="G122:G124" si="15">AVERAGE(E122:F122)</f>
        <v>4</v>
      </c>
      <c r="H122" s="120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</row>
    <row r="123" spans="1:27" ht="14.45" hidden="1">
      <c r="A123" s="118"/>
      <c r="B123" s="105"/>
      <c r="C123" s="104" t="s">
        <v>309</v>
      </c>
      <c r="D123" s="104" t="s">
        <v>344</v>
      </c>
      <c r="E123" s="113">
        <v>4</v>
      </c>
      <c r="F123" s="113">
        <v>4</v>
      </c>
      <c r="G123" s="134">
        <f t="shared" si="15"/>
        <v>4</v>
      </c>
      <c r="H123" s="120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</row>
    <row r="124" spans="1:27" ht="14.45" hidden="1">
      <c r="A124" s="118"/>
      <c r="B124" s="121"/>
      <c r="C124" s="104" t="s">
        <v>316</v>
      </c>
      <c r="D124" s="104" t="s">
        <v>345</v>
      </c>
      <c r="E124" s="113">
        <v>4</v>
      </c>
      <c r="F124" s="113">
        <v>4</v>
      </c>
      <c r="G124" s="134">
        <f t="shared" si="15"/>
        <v>4</v>
      </c>
      <c r="H124" s="120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</row>
    <row r="125" spans="1:27" ht="15.75" hidden="1" customHeight="1">
      <c r="A125" s="82"/>
      <c r="B125" s="192" t="s">
        <v>311</v>
      </c>
      <c r="C125" s="271"/>
      <c r="D125" s="271"/>
      <c r="E125" s="271"/>
      <c r="F125" s="271"/>
      <c r="G125" s="271"/>
      <c r="H125" s="272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spans="1:27" ht="15.75" hidden="1" customHeight="1">
      <c r="A126" s="99"/>
      <c r="B126" s="87" t="s">
        <v>285</v>
      </c>
      <c r="C126" s="271" t="s">
        <v>312</v>
      </c>
      <c r="D126" s="271"/>
      <c r="E126" s="271"/>
      <c r="F126" s="271"/>
      <c r="G126" s="271"/>
      <c r="H126" s="272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spans="1:27" ht="15.75" hidden="1" customHeight="1">
      <c r="A127" s="82"/>
      <c r="B127" s="87" t="s">
        <v>285</v>
      </c>
      <c r="C127" s="271" t="s">
        <v>312</v>
      </c>
      <c r="D127" s="271"/>
      <c r="E127" s="271"/>
      <c r="F127" s="271"/>
      <c r="G127" s="271"/>
      <c r="H127" s="272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spans="1:27" ht="14.45" hidden="1">
      <c r="A128" s="118"/>
      <c r="B128" s="121"/>
      <c r="C128" s="105"/>
      <c r="D128" s="105"/>
      <c r="E128" s="122"/>
      <c r="F128" s="122"/>
      <c r="G128" s="122"/>
      <c r="H128" s="120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</row>
    <row r="129" spans="1:27" ht="14.45">
      <c r="A129" s="118"/>
      <c r="B129" s="117">
        <v>6.2</v>
      </c>
      <c r="C129" s="105"/>
      <c r="D129" s="104" t="s">
        <v>346</v>
      </c>
      <c r="E129" s="122"/>
      <c r="F129" s="122"/>
      <c r="G129" s="122"/>
      <c r="H129" s="132">
        <f>AVERAGE(G131:G138)</f>
        <v>4</v>
      </c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</row>
    <row r="130" spans="1:27" ht="14.45" hidden="1">
      <c r="A130" s="118"/>
      <c r="B130" s="105"/>
      <c r="C130" s="105"/>
      <c r="D130" s="105"/>
      <c r="E130" s="113" t="s">
        <v>31</v>
      </c>
      <c r="F130" s="113" t="s">
        <v>10</v>
      </c>
      <c r="G130" s="113" t="s">
        <v>306</v>
      </c>
      <c r="H130" s="120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</row>
    <row r="131" spans="1:27" ht="14.45" hidden="1">
      <c r="A131" s="118"/>
      <c r="B131" s="105"/>
      <c r="C131" s="104" t="s">
        <v>307</v>
      </c>
      <c r="D131" s="104" t="s">
        <v>347</v>
      </c>
      <c r="E131" s="113" t="s">
        <v>285</v>
      </c>
      <c r="F131" s="113">
        <v>4</v>
      </c>
      <c r="G131" s="134">
        <f t="shared" ref="G131:G134" si="16">AVERAGE(E131:F131)</f>
        <v>4</v>
      </c>
      <c r="H131" s="120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</row>
    <row r="132" spans="1:27" ht="14.45" hidden="1">
      <c r="A132" s="118"/>
      <c r="B132" s="105"/>
      <c r="C132" s="104" t="s">
        <v>309</v>
      </c>
      <c r="D132" s="104" t="s">
        <v>348</v>
      </c>
      <c r="E132" s="113" t="s">
        <v>285</v>
      </c>
      <c r="F132" s="113">
        <v>4</v>
      </c>
      <c r="G132" s="134">
        <f t="shared" si="16"/>
        <v>4</v>
      </c>
      <c r="H132" s="120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</row>
    <row r="133" spans="1:27" ht="14.45" hidden="1">
      <c r="A133" s="118"/>
      <c r="B133" s="105"/>
      <c r="C133" s="104" t="s">
        <v>316</v>
      </c>
      <c r="D133" s="104" t="s">
        <v>349</v>
      </c>
      <c r="E133" s="113">
        <v>4</v>
      </c>
      <c r="F133" s="113">
        <v>4</v>
      </c>
      <c r="G133" s="134">
        <f t="shared" si="16"/>
        <v>4</v>
      </c>
      <c r="H133" s="120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</row>
    <row r="134" spans="1:27" ht="14.45" hidden="1">
      <c r="A134" s="118"/>
      <c r="B134" s="121"/>
      <c r="C134" s="104" t="s">
        <v>318</v>
      </c>
      <c r="D134" s="104" t="s">
        <v>350</v>
      </c>
      <c r="E134" s="113">
        <v>4</v>
      </c>
      <c r="F134" s="113">
        <v>4</v>
      </c>
      <c r="G134" s="134">
        <f t="shared" si="16"/>
        <v>4</v>
      </c>
      <c r="H134" s="120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</row>
    <row r="135" spans="1:27" ht="15" hidden="1" customHeight="1">
      <c r="A135" s="111"/>
      <c r="B135" s="104"/>
      <c r="C135" s="104"/>
      <c r="D135" s="104" t="s">
        <v>351</v>
      </c>
      <c r="E135" s="113"/>
      <c r="F135" s="113"/>
      <c r="G135" s="113"/>
      <c r="H135" s="110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</row>
    <row r="136" spans="1:27" ht="14.45" hidden="1">
      <c r="A136" s="118"/>
      <c r="B136" s="121"/>
      <c r="C136" s="104" t="s">
        <v>320</v>
      </c>
      <c r="D136" s="104" t="s">
        <v>352</v>
      </c>
      <c r="E136" s="113" t="s">
        <v>285</v>
      </c>
      <c r="F136" s="113">
        <v>4</v>
      </c>
      <c r="G136" s="134">
        <f t="shared" ref="G136:G138" si="17">AVERAGE(E136:F136)</f>
        <v>4</v>
      </c>
      <c r="H136" s="120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</row>
    <row r="137" spans="1:27" ht="14.45" hidden="1">
      <c r="A137" s="118"/>
      <c r="B137" s="121"/>
      <c r="C137" s="104" t="s">
        <v>353</v>
      </c>
      <c r="D137" s="104" t="s">
        <v>354</v>
      </c>
      <c r="E137" s="113" t="s">
        <v>285</v>
      </c>
      <c r="F137" s="113">
        <v>4</v>
      </c>
      <c r="G137" s="134">
        <f t="shared" si="17"/>
        <v>4</v>
      </c>
      <c r="H137" s="120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</row>
    <row r="138" spans="1:27" ht="14.45" hidden="1">
      <c r="A138" s="118"/>
      <c r="B138" s="105"/>
      <c r="C138" s="104" t="s">
        <v>355</v>
      </c>
      <c r="D138" s="104" t="s">
        <v>356</v>
      </c>
      <c r="E138" s="113">
        <v>4</v>
      </c>
      <c r="F138" s="113">
        <v>4</v>
      </c>
      <c r="G138" s="134">
        <f t="shared" si="17"/>
        <v>4</v>
      </c>
      <c r="H138" s="120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</row>
    <row r="139" spans="1:27" ht="15.75" hidden="1" customHeight="1">
      <c r="A139" s="82"/>
      <c r="B139" s="192" t="s">
        <v>311</v>
      </c>
      <c r="C139" s="271"/>
      <c r="D139" s="271"/>
      <c r="E139" s="271"/>
      <c r="F139" s="271"/>
      <c r="G139" s="271"/>
      <c r="H139" s="272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spans="1:27" ht="15.75" hidden="1" customHeight="1">
      <c r="A140" s="99"/>
      <c r="B140" s="87" t="s">
        <v>285</v>
      </c>
      <c r="C140" s="271" t="s">
        <v>312</v>
      </c>
      <c r="D140" s="271"/>
      <c r="E140" s="271"/>
      <c r="F140" s="271"/>
      <c r="G140" s="271"/>
      <c r="H140" s="272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spans="1:27" ht="15.75" hidden="1" customHeight="1">
      <c r="A141" s="88"/>
      <c r="B141" s="89" t="s">
        <v>285</v>
      </c>
      <c r="C141" s="273" t="s">
        <v>312</v>
      </c>
      <c r="D141" s="273"/>
      <c r="E141" s="273"/>
      <c r="F141" s="273"/>
      <c r="G141" s="273"/>
      <c r="H141" s="274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spans="1:27" ht="14.45">
      <c r="A142" s="104"/>
      <c r="B142" s="104"/>
      <c r="C142" s="104"/>
      <c r="D142" s="104"/>
      <c r="E142" s="107"/>
      <c r="F142" s="107"/>
      <c r="G142" s="107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</row>
    <row r="143" spans="1:27" ht="14.45">
      <c r="A143" s="104"/>
      <c r="B143" s="104"/>
      <c r="C143" s="104"/>
      <c r="D143" s="104"/>
      <c r="E143" s="107"/>
      <c r="F143" s="107"/>
      <c r="G143" s="107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</row>
    <row r="144" spans="1:27" ht="14.45">
      <c r="A144" s="104"/>
      <c r="B144" s="104"/>
      <c r="C144" s="104"/>
      <c r="D144" s="104"/>
      <c r="E144" s="107"/>
      <c r="F144" s="107"/>
      <c r="G144" s="107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</row>
    <row r="145" spans="1:27" ht="14.45">
      <c r="A145" s="104"/>
      <c r="B145" s="104"/>
      <c r="C145" s="104"/>
      <c r="D145" s="104"/>
      <c r="E145" s="107"/>
      <c r="F145" s="107"/>
      <c r="G145" s="107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</row>
    <row r="146" spans="1:27" ht="14.45">
      <c r="A146" s="104"/>
      <c r="B146" s="104"/>
      <c r="C146" s="104"/>
      <c r="D146" s="104"/>
      <c r="E146" s="107"/>
      <c r="F146" s="107"/>
      <c r="G146" s="107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</row>
    <row r="147" spans="1:27" ht="14.45">
      <c r="A147" s="104"/>
      <c r="B147" s="104"/>
      <c r="C147" s="104"/>
      <c r="D147" s="104"/>
      <c r="E147" s="107"/>
      <c r="F147" s="107"/>
      <c r="G147" s="107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</row>
    <row r="148" spans="1:27" ht="14.45">
      <c r="A148" s="104"/>
      <c r="B148" s="104"/>
      <c r="C148" s="104"/>
      <c r="D148" s="104"/>
      <c r="E148" s="107"/>
      <c r="F148" s="107"/>
      <c r="G148" s="107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</row>
    <row r="149" spans="1:27" ht="14.45">
      <c r="A149" s="104"/>
      <c r="B149" s="104"/>
      <c r="C149" s="104"/>
      <c r="D149" s="104"/>
      <c r="E149" s="107"/>
      <c r="F149" s="107"/>
      <c r="G149" s="107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</row>
    <row r="150" spans="1:27" ht="14.45">
      <c r="A150" s="104"/>
      <c r="B150" s="104"/>
      <c r="C150" s="104"/>
      <c r="D150" s="104"/>
      <c r="E150" s="107"/>
      <c r="F150" s="107"/>
      <c r="G150" s="107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</row>
    <row r="151" spans="1:27" ht="14.45">
      <c r="A151" s="104"/>
      <c r="B151" s="104"/>
      <c r="C151" s="104"/>
      <c r="D151" s="104"/>
      <c r="E151" s="107"/>
      <c r="F151" s="107"/>
      <c r="G151" s="107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</row>
    <row r="152" spans="1:27" ht="14.45">
      <c r="A152" s="104"/>
      <c r="B152" s="104"/>
      <c r="C152" s="104"/>
      <c r="D152" s="104"/>
      <c r="E152" s="107"/>
      <c r="F152" s="107"/>
      <c r="G152" s="107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</row>
    <row r="153" spans="1:27" ht="14.45">
      <c r="A153" s="104"/>
      <c r="B153" s="104"/>
      <c r="C153" s="104"/>
      <c r="D153" s="104"/>
      <c r="E153" s="107"/>
      <c r="F153" s="107"/>
      <c r="G153" s="107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</row>
    <row r="154" spans="1:27" ht="14.45">
      <c r="A154" s="104"/>
      <c r="B154" s="104"/>
      <c r="C154" s="104"/>
      <c r="D154" s="104"/>
      <c r="E154" s="107"/>
      <c r="F154" s="107"/>
      <c r="G154" s="107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</row>
    <row r="155" spans="1:27" ht="14.45">
      <c r="A155" s="104"/>
      <c r="B155" s="104"/>
      <c r="C155" s="104"/>
      <c r="D155" s="104"/>
      <c r="E155" s="107"/>
      <c r="F155" s="107"/>
      <c r="G155" s="107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</row>
    <row r="156" spans="1:27" ht="14.45">
      <c r="A156" s="104"/>
      <c r="B156" s="104"/>
      <c r="C156" s="104"/>
      <c r="D156" s="104"/>
      <c r="E156" s="107"/>
      <c r="F156" s="107"/>
      <c r="G156" s="107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</row>
    <row r="157" spans="1:27" ht="14.45">
      <c r="A157" s="104"/>
      <c r="B157" s="104"/>
      <c r="C157" s="104"/>
      <c r="D157" s="104"/>
      <c r="E157" s="107"/>
      <c r="F157" s="107"/>
      <c r="G157" s="107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</row>
    <row r="158" spans="1:27" ht="14.45">
      <c r="A158" s="104"/>
      <c r="B158" s="104"/>
      <c r="C158" s="104"/>
      <c r="D158" s="104"/>
      <c r="E158" s="107"/>
      <c r="F158" s="107"/>
      <c r="G158" s="107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</row>
    <row r="159" spans="1:27" ht="14.45">
      <c r="A159" s="104"/>
      <c r="B159" s="104"/>
      <c r="C159" s="104"/>
      <c r="D159" s="104"/>
      <c r="E159" s="107"/>
      <c r="F159" s="107"/>
      <c r="G159" s="107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</row>
    <row r="160" spans="1:27" ht="14.45">
      <c r="A160" s="104"/>
      <c r="B160" s="104"/>
      <c r="C160" s="104"/>
      <c r="D160" s="104"/>
      <c r="E160" s="107"/>
      <c r="F160" s="107"/>
      <c r="G160" s="107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</row>
    <row r="161" spans="1:27" ht="14.45">
      <c r="A161" s="104"/>
      <c r="B161" s="104"/>
      <c r="C161" s="104"/>
      <c r="D161" s="104"/>
      <c r="E161" s="107"/>
      <c r="F161" s="107"/>
      <c r="G161" s="107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</row>
    <row r="162" spans="1:27" ht="14.45">
      <c r="A162" s="104"/>
      <c r="B162" s="104"/>
      <c r="C162" s="104"/>
      <c r="D162" s="104"/>
      <c r="E162" s="107"/>
      <c r="F162" s="107"/>
      <c r="G162" s="107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</row>
    <row r="163" spans="1:27" ht="14.45">
      <c r="A163" s="104"/>
      <c r="B163" s="104"/>
      <c r="C163" s="104"/>
      <c r="D163" s="104"/>
      <c r="E163" s="107"/>
      <c r="F163" s="107"/>
      <c r="G163" s="107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</row>
    <row r="164" spans="1:27" ht="14.45">
      <c r="A164" s="104"/>
      <c r="B164" s="104"/>
      <c r="C164" s="104"/>
      <c r="D164" s="104"/>
      <c r="E164" s="107"/>
      <c r="F164" s="107"/>
      <c r="G164" s="107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</row>
    <row r="165" spans="1:27" ht="14.45">
      <c r="A165" s="104"/>
      <c r="B165" s="104"/>
      <c r="C165" s="104"/>
      <c r="D165" s="104"/>
      <c r="E165" s="107"/>
      <c r="F165" s="107"/>
      <c r="G165" s="107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</row>
    <row r="166" spans="1:27" ht="14.45">
      <c r="A166" s="104"/>
      <c r="B166" s="104"/>
      <c r="C166" s="104"/>
      <c r="D166" s="104"/>
      <c r="E166" s="107"/>
      <c r="F166" s="107"/>
      <c r="G166" s="107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</row>
    <row r="167" spans="1:27" ht="14.45">
      <c r="A167" s="104"/>
      <c r="B167" s="104"/>
      <c r="C167" s="104"/>
      <c r="D167" s="104"/>
      <c r="E167" s="107"/>
      <c r="F167" s="107"/>
      <c r="G167" s="107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</row>
    <row r="168" spans="1:27" ht="14.45">
      <c r="A168" s="104"/>
      <c r="B168" s="104"/>
      <c r="C168" s="104"/>
      <c r="D168" s="104"/>
      <c r="E168" s="107"/>
      <c r="F168" s="107"/>
      <c r="G168" s="107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</row>
    <row r="169" spans="1:27" ht="14.45">
      <c r="A169" s="104"/>
      <c r="B169" s="104"/>
      <c r="C169" s="104"/>
      <c r="D169" s="104"/>
      <c r="E169" s="107"/>
      <c r="F169" s="107"/>
      <c r="G169" s="107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</row>
    <row r="170" spans="1:27" ht="14.45">
      <c r="A170" s="104"/>
      <c r="B170" s="104"/>
      <c r="C170" s="104"/>
      <c r="D170" s="104"/>
      <c r="E170" s="107"/>
      <c r="F170" s="107"/>
      <c r="G170" s="107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</row>
    <row r="171" spans="1:27" ht="14.45">
      <c r="A171" s="104"/>
      <c r="B171" s="104"/>
      <c r="C171" s="104"/>
      <c r="D171" s="104"/>
      <c r="E171" s="107"/>
      <c r="F171" s="107"/>
      <c r="G171" s="107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</row>
    <row r="172" spans="1:27" ht="14.45">
      <c r="A172" s="104"/>
      <c r="B172" s="104"/>
      <c r="C172" s="104"/>
      <c r="D172" s="104"/>
      <c r="E172" s="107"/>
      <c r="F172" s="107"/>
      <c r="G172" s="107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</row>
    <row r="173" spans="1:27" ht="14.45">
      <c r="A173" s="104"/>
      <c r="B173" s="104"/>
      <c r="C173" s="104"/>
      <c r="D173" s="104"/>
      <c r="E173" s="107"/>
      <c r="F173" s="107"/>
      <c r="G173" s="107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</row>
    <row r="174" spans="1:27" ht="14.45">
      <c r="A174" s="104"/>
      <c r="B174" s="104"/>
      <c r="C174" s="104"/>
      <c r="D174" s="104"/>
      <c r="E174" s="107"/>
      <c r="F174" s="107"/>
      <c r="G174" s="107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</row>
    <row r="175" spans="1:27" ht="14.45">
      <c r="A175" s="104"/>
      <c r="B175" s="104"/>
      <c r="C175" s="104"/>
      <c r="D175" s="104"/>
      <c r="E175" s="107"/>
      <c r="F175" s="107"/>
      <c r="G175" s="107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</row>
    <row r="176" spans="1:27" ht="14.45">
      <c r="A176" s="104"/>
      <c r="B176" s="104"/>
      <c r="C176" s="104"/>
      <c r="D176" s="104"/>
      <c r="E176" s="107"/>
      <c r="F176" s="107"/>
      <c r="G176" s="107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</row>
    <row r="177" spans="1:27" ht="14.45">
      <c r="A177" s="104"/>
      <c r="B177" s="104"/>
      <c r="C177" s="104"/>
      <c r="D177" s="104"/>
      <c r="E177" s="107"/>
      <c r="F177" s="107"/>
      <c r="G177" s="107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</row>
    <row r="178" spans="1:27" ht="14.45">
      <c r="A178" s="104"/>
      <c r="B178" s="104"/>
      <c r="C178" s="104"/>
      <c r="D178" s="104"/>
      <c r="E178" s="107"/>
      <c r="F178" s="107"/>
      <c r="G178" s="107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</row>
    <row r="179" spans="1:27" ht="14.45">
      <c r="A179" s="104"/>
      <c r="B179" s="104"/>
      <c r="C179" s="104"/>
      <c r="D179" s="104"/>
      <c r="E179" s="107"/>
      <c r="F179" s="107"/>
      <c r="G179" s="107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</row>
    <row r="180" spans="1:27" ht="14.45">
      <c r="A180" s="104"/>
      <c r="B180" s="104"/>
      <c r="C180" s="104"/>
      <c r="D180" s="104"/>
      <c r="E180" s="107"/>
      <c r="F180" s="107"/>
      <c r="G180" s="107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</row>
    <row r="181" spans="1:27" ht="14.45">
      <c r="A181" s="104"/>
      <c r="B181" s="104"/>
      <c r="C181" s="104"/>
      <c r="D181" s="104"/>
      <c r="E181" s="107"/>
      <c r="F181" s="107"/>
      <c r="G181" s="107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</row>
    <row r="182" spans="1:27" ht="14.45">
      <c r="A182" s="104"/>
      <c r="B182" s="104"/>
      <c r="C182" s="104"/>
      <c r="D182" s="104"/>
      <c r="E182" s="107"/>
      <c r="F182" s="107"/>
      <c r="G182" s="107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</row>
    <row r="183" spans="1:27" ht="14.45">
      <c r="A183" s="104"/>
      <c r="B183" s="104"/>
      <c r="C183" s="104"/>
      <c r="D183" s="104"/>
      <c r="E183" s="107"/>
      <c r="F183" s="107"/>
      <c r="G183" s="107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</row>
    <row r="184" spans="1:27" ht="14.45">
      <c r="A184" s="104"/>
      <c r="B184" s="104"/>
      <c r="C184" s="104"/>
      <c r="D184" s="104"/>
      <c r="E184" s="107"/>
      <c r="F184" s="107"/>
      <c r="G184" s="107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</row>
    <row r="185" spans="1:27" ht="14.45">
      <c r="A185" s="104"/>
      <c r="B185" s="104"/>
      <c r="C185" s="104"/>
      <c r="D185" s="104"/>
      <c r="E185" s="107"/>
      <c r="F185" s="107"/>
      <c r="G185" s="107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</row>
    <row r="186" spans="1:27" ht="14.45">
      <c r="A186" s="104"/>
      <c r="B186" s="104"/>
      <c r="C186" s="104"/>
      <c r="D186" s="104"/>
      <c r="E186" s="107"/>
      <c r="F186" s="107"/>
      <c r="G186" s="107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</row>
    <row r="187" spans="1:27" ht="14.45">
      <c r="A187" s="104"/>
      <c r="B187" s="104"/>
      <c r="C187" s="104"/>
      <c r="D187" s="104"/>
      <c r="E187" s="107"/>
      <c r="F187" s="107"/>
      <c r="G187" s="107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</row>
    <row r="188" spans="1:27" ht="14.45">
      <c r="A188" s="104"/>
      <c r="B188" s="104"/>
      <c r="C188" s="104"/>
      <c r="D188" s="104"/>
      <c r="E188" s="107"/>
      <c r="F188" s="107"/>
      <c r="G188" s="107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</row>
    <row r="189" spans="1:27" ht="14.45">
      <c r="A189" s="104"/>
      <c r="B189" s="104"/>
      <c r="C189" s="104"/>
      <c r="D189" s="104"/>
      <c r="E189" s="107"/>
      <c r="F189" s="107"/>
      <c r="G189" s="107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</row>
    <row r="190" spans="1:27" ht="14.45">
      <c r="A190" s="104"/>
      <c r="B190" s="104"/>
      <c r="C190" s="104"/>
      <c r="D190" s="104"/>
      <c r="E190" s="107"/>
      <c r="F190" s="107"/>
      <c r="G190" s="107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</row>
    <row r="191" spans="1:27" ht="14.45">
      <c r="A191" s="104"/>
      <c r="B191" s="104"/>
      <c r="C191" s="104"/>
      <c r="D191" s="104"/>
      <c r="E191" s="107"/>
      <c r="F191" s="107"/>
      <c r="G191" s="107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</row>
    <row r="192" spans="1:27" ht="14.45">
      <c r="A192" s="104"/>
      <c r="B192" s="104"/>
      <c r="C192" s="104"/>
      <c r="D192" s="104"/>
      <c r="E192" s="107"/>
      <c r="F192" s="107"/>
      <c r="G192" s="107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</row>
    <row r="193" spans="1:27" ht="14.45">
      <c r="A193" s="104"/>
      <c r="B193" s="104"/>
      <c r="C193" s="104"/>
      <c r="D193" s="104"/>
      <c r="E193" s="107"/>
      <c r="F193" s="107"/>
      <c r="G193" s="107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</row>
    <row r="194" spans="1:27" ht="14.45">
      <c r="A194" s="104"/>
      <c r="B194" s="104"/>
      <c r="C194" s="104"/>
      <c r="D194" s="104"/>
      <c r="E194" s="107"/>
      <c r="F194" s="107"/>
      <c r="G194" s="107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</row>
    <row r="195" spans="1:27" ht="14.45">
      <c r="A195" s="104"/>
      <c r="B195" s="104"/>
      <c r="C195" s="104"/>
      <c r="D195" s="104"/>
      <c r="E195" s="107"/>
      <c r="F195" s="107"/>
      <c r="G195" s="107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</row>
    <row r="196" spans="1:27" ht="14.45">
      <c r="A196" s="104"/>
      <c r="B196" s="104"/>
      <c r="C196" s="104"/>
      <c r="D196" s="104"/>
      <c r="E196" s="107"/>
      <c r="F196" s="107"/>
      <c r="G196" s="107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</row>
    <row r="197" spans="1:27" ht="14.45">
      <c r="A197" s="104"/>
      <c r="B197" s="104"/>
      <c r="C197" s="104"/>
      <c r="D197" s="104"/>
      <c r="E197" s="107"/>
      <c r="F197" s="107"/>
      <c r="G197" s="107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</row>
    <row r="198" spans="1:27" ht="14.45">
      <c r="A198" s="104"/>
      <c r="B198" s="104"/>
      <c r="C198" s="104"/>
      <c r="D198" s="104"/>
      <c r="E198" s="107"/>
      <c r="F198" s="107"/>
      <c r="G198" s="107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</row>
    <row r="199" spans="1:27" ht="14.45">
      <c r="A199" s="104"/>
      <c r="B199" s="104"/>
      <c r="C199" s="104"/>
      <c r="D199" s="104"/>
      <c r="E199" s="107"/>
      <c r="F199" s="107"/>
      <c r="G199" s="107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</row>
    <row r="200" spans="1:27" ht="14.45">
      <c r="A200" s="104"/>
      <c r="B200" s="104"/>
      <c r="C200" s="104"/>
      <c r="D200" s="104"/>
      <c r="E200" s="107"/>
      <c r="F200" s="107"/>
      <c r="G200" s="107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</row>
    <row r="201" spans="1:27" ht="14.45">
      <c r="A201" s="104"/>
      <c r="B201" s="104"/>
      <c r="C201" s="104"/>
      <c r="D201" s="104"/>
      <c r="E201" s="107"/>
      <c r="F201" s="107"/>
      <c r="G201" s="107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</row>
    <row r="202" spans="1:27" ht="14.45">
      <c r="A202" s="104"/>
      <c r="B202" s="104"/>
      <c r="C202" s="104"/>
      <c r="D202" s="104"/>
      <c r="E202" s="107"/>
      <c r="F202" s="107"/>
      <c r="G202" s="107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</row>
    <row r="203" spans="1:27" ht="14.45">
      <c r="A203" s="104"/>
      <c r="B203" s="104"/>
      <c r="C203" s="104"/>
      <c r="D203" s="104"/>
      <c r="E203" s="107"/>
      <c r="F203" s="107"/>
      <c r="G203" s="107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</row>
    <row r="204" spans="1:27" ht="14.45">
      <c r="A204" s="104"/>
      <c r="B204" s="104"/>
      <c r="C204" s="104"/>
      <c r="D204" s="104"/>
      <c r="E204" s="107"/>
      <c r="F204" s="107"/>
      <c r="G204" s="107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</row>
    <row r="205" spans="1:27" ht="14.45">
      <c r="A205" s="104"/>
      <c r="B205" s="104"/>
      <c r="C205" s="104"/>
      <c r="D205" s="104"/>
      <c r="E205" s="107"/>
      <c r="F205" s="107"/>
      <c r="G205" s="107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</row>
    <row r="206" spans="1:27" ht="14.45">
      <c r="A206" s="104"/>
      <c r="B206" s="104"/>
      <c r="C206" s="104"/>
      <c r="D206" s="104"/>
      <c r="E206" s="107"/>
      <c r="F206" s="107"/>
      <c r="G206" s="107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</row>
    <row r="207" spans="1:27" ht="14.45">
      <c r="A207" s="104"/>
      <c r="B207" s="104"/>
      <c r="C207" s="104"/>
      <c r="D207" s="104"/>
      <c r="E207" s="107"/>
      <c r="F207" s="107"/>
      <c r="G207" s="107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</row>
    <row r="208" spans="1:27" ht="14.45">
      <c r="A208" s="104"/>
      <c r="B208" s="104"/>
      <c r="C208" s="104"/>
      <c r="D208" s="104"/>
      <c r="E208" s="107"/>
      <c r="F208" s="107"/>
      <c r="G208" s="107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</row>
    <row r="209" spans="1:27" ht="14.45">
      <c r="A209" s="104"/>
      <c r="B209" s="104"/>
      <c r="C209" s="104"/>
      <c r="D209" s="104"/>
      <c r="E209" s="107"/>
      <c r="F209" s="107"/>
      <c r="G209" s="107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</row>
    <row r="210" spans="1:27" ht="14.45">
      <c r="A210" s="104"/>
      <c r="B210" s="104"/>
      <c r="C210" s="104"/>
      <c r="D210" s="104"/>
      <c r="E210" s="107"/>
      <c r="F210" s="107"/>
      <c r="G210" s="107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</row>
    <row r="211" spans="1:27" ht="14.45">
      <c r="A211" s="104"/>
      <c r="B211" s="104"/>
      <c r="C211" s="104"/>
      <c r="D211" s="104"/>
      <c r="E211" s="107"/>
      <c r="F211" s="107"/>
      <c r="G211" s="107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</row>
    <row r="212" spans="1:27" ht="14.45">
      <c r="A212" s="104"/>
      <c r="B212" s="104"/>
      <c r="C212" s="104"/>
      <c r="D212" s="104"/>
      <c r="E212" s="107"/>
      <c r="F212" s="107"/>
      <c r="G212" s="107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</row>
    <row r="213" spans="1:27" ht="14.45">
      <c r="A213" s="104"/>
      <c r="B213" s="104"/>
      <c r="C213" s="104"/>
      <c r="D213" s="104"/>
      <c r="E213" s="107"/>
      <c r="F213" s="107"/>
      <c r="G213" s="107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</row>
    <row r="214" spans="1:27" ht="14.45">
      <c r="A214" s="104"/>
      <c r="B214" s="104"/>
      <c r="C214" s="104"/>
      <c r="D214" s="104"/>
      <c r="E214" s="107"/>
      <c r="F214" s="107"/>
      <c r="G214" s="107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</row>
    <row r="215" spans="1:27" ht="14.45">
      <c r="A215" s="104"/>
      <c r="B215" s="104"/>
      <c r="C215" s="104"/>
      <c r="D215" s="104"/>
      <c r="E215" s="107"/>
      <c r="F215" s="107"/>
      <c r="G215" s="107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</row>
    <row r="216" spans="1:27" ht="14.45">
      <c r="A216" s="104"/>
      <c r="B216" s="104"/>
      <c r="C216" s="104"/>
      <c r="D216" s="104"/>
      <c r="E216" s="107"/>
      <c r="F216" s="107"/>
      <c r="G216" s="107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</row>
    <row r="217" spans="1:27" ht="14.45">
      <c r="A217" s="104"/>
      <c r="B217" s="104"/>
      <c r="C217" s="104"/>
      <c r="D217" s="104"/>
      <c r="E217" s="107"/>
      <c r="F217" s="107"/>
      <c r="G217" s="107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</row>
    <row r="218" spans="1:27" ht="14.45">
      <c r="A218" s="104"/>
      <c r="B218" s="104"/>
      <c r="C218" s="104"/>
      <c r="D218" s="104"/>
      <c r="E218" s="107"/>
      <c r="F218" s="107"/>
      <c r="G218" s="107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</row>
    <row r="219" spans="1:27" ht="14.45">
      <c r="A219" s="104"/>
      <c r="B219" s="104"/>
      <c r="C219" s="104"/>
      <c r="D219" s="104"/>
      <c r="E219" s="107"/>
      <c r="F219" s="107"/>
      <c r="G219" s="107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</row>
    <row r="220" spans="1:27" ht="14.45">
      <c r="A220" s="104"/>
      <c r="B220" s="104"/>
      <c r="C220" s="104"/>
      <c r="D220" s="104"/>
      <c r="E220" s="107"/>
      <c r="F220" s="107"/>
      <c r="G220" s="107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</row>
    <row r="221" spans="1:27" ht="14.45">
      <c r="A221" s="104"/>
      <c r="B221" s="104"/>
      <c r="C221" s="104"/>
      <c r="D221" s="104"/>
      <c r="E221" s="107"/>
      <c r="F221" s="107"/>
      <c r="G221" s="107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</row>
    <row r="222" spans="1:27" ht="14.45">
      <c r="A222" s="104"/>
      <c r="B222" s="104"/>
      <c r="C222" s="104"/>
      <c r="D222" s="104"/>
      <c r="E222" s="107"/>
      <c r="F222" s="107"/>
      <c r="G222" s="107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</row>
    <row r="223" spans="1:27" ht="14.45">
      <c r="A223" s="104"/>
      <c r="B223" s="104"/>
      <c r="C223" s="104"/>
      <c r="D223" s="104"/>
      <c r="E223" s="107"/>
      <c r="F223" s="107"/>
      <c r="G223" s="107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</row>
    <row r="224" spans="1:27" ht="14.45">
      <c r="A224" s="104"/>
      <c r="B224" s="104"/>
      <c r="C224" s="104"/>
      <c r="D224" s="104"/>
      <c r="E224" s="107"/>
      <c r="F224" s="107"/>
      <c r="G224" s="107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</row>
    <row r="225" spans="1:27" ht="14.45">
      <c r="A225" s="104"/>
      <c r="B225" s="104"/>
      <c r="C225" s="104"/>
      <c r="D225" s="104"/>
      <c r="E225" s="107"/>
      <c r="F225" s="107"/>
      <c r="G225" s="107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</row>
    <row r="226" spans="1:27" ht="14.45">
      <c r="A226" s="104"/>
      <c r="B226" s="104"/>
      <c r="C226" s="104"/>
      <c r="D226" s="104"/>
      <c r="E226" s="107"/>
      <c r="F226" s="107"/>
      <c r="G226" s="107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</row>
    <row r="227" spans="1:27" ht="14.45">
      <c r="A227" s="104"/>
      <c r="B227" s="104"/>
      <c r="C227" s="104"/>
      <c r="D227" s="104"/>
      <c r="E227" s="107"/>
      <c r="F227" s="107"/>
      <c r="G227" s="107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</row>
    <row r="228" spans="1:27" ht="14.45">
      <c r="A228" s="104"/>
      <c r="B228" s="104"/>
      <c r="C228" s="104"/>
      <c r="D228" s="104"/>
      <c r="E228" s="107"/>
      <c r="F228" s="107"/>
      <c r="G228" s="107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</row>
    <row r="229" spans="1:27" ht="14.45">
      <c r="A229" s="104"/>
      <c r="B229" s="104"/>
      <c r="C229" s="104"/>
      <c r="D229" s="104"/>
      <c r="E229" s="107"/>
      <c r="F229" s="107"/>
      <c r="G229" s="107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</row>
    <row r="230" spans="1:27" ht="14.45">
      <c r="A230" s="104"/>
      <c r="B230" s="104"/>
      <c r="C230" s="104"/>
      <c r="D230" s="104"/>
      <c r="E230" s="107"/>
      <c r="F230" s="107"/>
      <c r="G230" s="107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</row>
    <row r="231" spans="1:27" ht="14.45">
      <c r="A231" s="104"/>
      <c r="B231" s="104"/>
      <c r="C231" s="104"/>
      <c r="D231" s="104"/>
      <c r="E231" s="107"/>
      <c r="F231" s="107"/>
      <c r="G231" s="107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</row>
    <row r="232" spans="1:27" ht="14.45">
      <c r="A232" s="104"/>
      <c r="B232" s="104"/>
      <c r="C232" s="104"/>
      <c r="D232" s="104"/>
      <c r="E232" s="107"/>
      <c r="F232" s="107"/>
      <c r="G232" s="107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</row>
    <row r="233" spans="1:27" ht="14.45">
      <c r="A233" s="104"/>
      <c r="B233" s="104"/>
      <c r="C233" s="104"/>
      <c r="D233" s="104"/>
      <c r="E233" s="107"/>
      <c r="F233" s="107"/>
      <c r="G233" s="107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</row>
    <row r="234" spans="1:27" ht="14.45">
      <c r="A234" s="104"/>
      <c r="B234" s="104"/>
      <c r="C234" s="104"/>
      <c r="D234" s="104"/>
      <c r="E234" s="107"/>
      <c r="F234" s="107"/>
      <c r="G234" s="107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</row>
    <row r="235" spans="1:27" ht="14.45">
      <c r="A235" s="104"/>
      <c r="B235" s="104"/>
      <c r="C235" s="104"/>
      <c r="D235" s="104"/>
      <c r="E235" s="107"/>
      <c r="F235" s="107"/>
      <c r="G235" s="107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</row>
    <row r="236" spans="1:27" ht="14.45">
      <c r="A236" s="104"/>
      <c r="B236" s="104"/>
      <c r="C236" s="104"/>
      <c r="D236" s="104"/>
      <c r="E236" s="107"/>
      <c r="F236" s="107"/>
      <c r="G236" s="107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</row>
    <row r="237" spans="1:27" ht="14.45">
      <c r="A237" s="104"/>
      <c r="B237" s="104"/>
      <c r="C237" s="104"/>
      <c r="D237" s="104"/>
      <c r="E237" s="107"/>
      <c r="F237" s="107"/>
      <c r="G237" s="107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</row>
    <row r="238" spans="1:27" ht="14.45">
      <c r="A238" s="104"/>
      <c r="B238" s="104"/>
      <c r="C238" s="104"/>
      <c r="D238" s="104"/>
      <c r="E238" s="107"/>
      <c r="F238" s="107"/>
      <c r="G238" s="107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</row>
    <row r="239" spans="1:27" ht="14.45">
      <c r="A239" s="104"/>
      <c r="B239" s="104"/>
      <c r="C239" s="104"/>
      <c r="D239" s="104"/>
      <c r="E239" s="107"/>
      <c r="F239" s="107"/>
      <c r="G239" s="107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</row>
    <row r="240" spans="1:27" ht="14.45">
      <c r="A240" s="104"/>
      <c r="B240" s="104"/>
      <c r="C240" s="104"/>
      <c r="D240" s="104"/>
      <c r="E240" s="107"/>
      <c r="F240" s="107"/>
      <c r="G240" s="107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</row>
    <row r="241" spans="1:27" ht="14.45">
      <c r="A241" s="104"/>
      <c r="B241" s="104"/>
      <c r="C241" s="104"/>
      <c r="D241" s="104"/>
      <c r="E241" s="107"/>
      <c r="F241" s="107"/>
      <c r="G241" s="107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</row>
    <row r="242" spans="1:27" ht="14.45">
      <c r="A242" s="104"/>
      <c r="B242" s="104"/>
      <c r="C242" s="104"/>
      <c r="D242" s="104"/>
      <c r="E242" s="107"/>
      <c r="F242" s="107"/>
      <c r="G242" s="107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</row>
    <row r="243" spans="1:27" ht="14.45">
      <c r="A243" s="104"/>
      <c r="B243" s="104"/>
      <c r="C243" s="104"/>
      <c r="D243" s="104"/>
      <c r="E243" s="107"/>
      <c r="F243" s="107"/>
      <c r="G243" s="107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</row>
    <row r="244" spans="1:27" ht="14.45">
      <c r="A244" s="104"/>
      <c r="B244" s="104"/>
      <c r="C244" s="104"/>
      <c r="D244" s="104"/>
      <c r="E244" s="107"/>
      <c r="F244" s="107"/>
      <c r="G244" s="107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</row>
    <row r="245" spans="1:27" ht="14.45">
      <c r="A245" s="104"/>
      <c r="B245" s="104"/>
      <c r="C245" s="104"/>
      <c r="D245" s="104"/>
      <c r="E245" s="107"/>
      <c r="F245" s="107"/>
      <c r="G245" s="107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</row>
    <row r="246" spans="1:27" ht="14.45">
      <c r="A246" s="104"/>
      <c r="B246" s="104"/>
      <c r="C246" s="104"/>
      <c r="D246" s="104"/>
      <c r="E246" s="107"/>
      <c r="F246" s="107"/>
      <c r="G246" s="107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</row>
    <row r="247" spans="1:27" ht="14.45">
      <c r="A247" s="104"/>
      <c r="B247" s="104"/>
      <c r="C247" s="104"/>
      <c r="D247" s="104"/>
      <c r="E247" s="107"/>
      <c r="F247" s="107"/>
      <c r="G247" s="107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</row>
    <row r="248" spans="1:27" ht="14.45">
      <c r="A248" s="104"/>
      <c r="B248" s="104"/>
      <c r="C248" s="104"/>
      <c r="D248" s="104"/>
      <c r="E248" s="107"/>
      <c r="F248" s="107"/>
      <c r="G248" s="107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</row>
    <row r="249" spans="1:27" ht="14.45">
      <c r="A249" s="104"/>
      <c r="B249" s="104"/>
      <c r="C249" s="104"/>
      <c r="D249" s="104"/>
      <c r="E249" s="107"/>
      <c r="F249" s="107"/>
      <c r="G249" s="107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</row>
    <row r="250" spans="1:27" ht="14.45">
      <c r="A250" s="104"/>
      <c r="B250" s="104"/>
      <c r="C250" s="104"/>
      <c r="D250" s="104"/>
      <c r="E250" s="107"/>
      <c r="F250" s="107"/>
      <c r="G250" s="107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</row>
    <row r="251" spans="1:27" ht="14.45">
      <c r="A251" s="104"/>
      <c r="B251" s="104"/>
      <c r="C251" s="104"/>
      <c r="D251" s="104"/>
      <c r="E251" s="107"/>
      <c r="F251" s="107"/>
      <c r="G251" s="107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</row>
    <row r="252" spans="1:27" ht="14.45">
      <c r="A252" s="104"/>
      <c r="B252" s="104"/>
      <c r="C252" s="104"/>
      <c r="D252" s="104"/>
      <c r="E252" s="107"/>
      <c r="F252" s="107"/>
      <c r="G252" s="107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</row>
    <row r="253" spans="1:27" ht="14.45">
      <c r="A253" s="104"/>
      <c r="B253" s="104"/>
      <c r="C253" s="104"/>
      <c r="D253" s="104"/>
      <c r="E253" s="107"/>
      <c r="F253" s="107"/>
      <c r="G253" s="107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</row>
    <row r="254" spans="1:27" ht="14.45">
      <c r="A254" s="104"/>
      <c r="B254" s="104"/>
      <c r="C254" s="104"/>
      <c r="D254" s="104"/>
      <c r="E254" s="107"/>
      <c r="F254" s="107"/>
      <c r="G254" s="107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</row>
    <row r="255" spans="1:27" ht="14.45">
      <c r="A255" s="104"/>
      <c r="B255" s="104"/>
      <c r="C255" s="104"/>
      <c r="D255" s="104"/>
      <c r="E255" s="107"/>
      <c r="F255" s="107"/>
      <c r="G255" s="107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</row>
    <row r="256" spans="1:27" ht="14.45">
      <c r="A256" s="104"/>
      <c r="B256" s="104"/>
      <c r="C256" s="104"/>
      <c r="D256" s="104"/>
      <c r="E256" s="107"/>
      <c r="F256" s="107"/>
      <c r="G256" s="107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</row>
    <row r="257" spans="1:27" ht="14.45">
      <c r="A257" s="104"/>
      <c r="B257" s="104"/>
      <c r="C257" s="104"/>
      <c r="D257" s="104"/>
      <c r="E257" s="107"/>
      <c r="F257" s="107"/>
      <c r="G257" s="107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</row>
    <row r="258" spans="1:27" ht="14.45">
      <c r="A258" s="104"/>
      <c r="B258" s="104"/>
      <c r="C258" s="104"/>
      <c r="D258" s="104"/>
      <c r="E258" s="107"/>
      <c r="F258" s="107"/>
      <c r="G258" s="107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</row>
    <row r="259" spans="1:27" ht="14.45">
      <c r="A259" s="104"/>
      <c r="B259" s="104"/>
      <c r="C259" s="104"/>
      <c r="D259" s="104"/>
      <c r="E259" s="107"/>
      <c r="F259" s="107"/>
      <c r="G259" s="107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</row>
    <row r="260" spans="1:27" ht="14.45">
      <c r="A260" s="104"/>
      <c r="B260" s="104"/>
      <c r="C260" s="104"/>
      <c r="D260" s="104"/>
      <c r="E260" s="107"/>
      <c r="F260" s="107"/>
      <c r="G260" s="107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</row>
    <row r="261" spans="1:27" ht="14.45">
      <c r="A261" s="104"/>
      <c r="B261" s="104"/>
      <c r="C261" s="104"/>
      <c r="D261" s="104"/>
      <c r="E261" s="107"/>
      <c r="F261" s="107"/>
      <c r="G261" s="107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</row>
    <row r="262" spans="1:27" ht="14.45">
      <c r="A262" s="104"/>
      <c r="B262" s="104"/>
      <c r="C262" s="104"/>
      <c r="D262" s="104"/>
      <c r="E262" s="107"/>
      <c r="F262" s="107"/>
      <c r="G262" s="107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</row>
    <row r="263" spans="1:27" ht="14.45">
      <c r="A263" s="104"/>
      <c r="B263" s="104"/>
      <c r="C263" s="104"/>
      <c r="D263" s="104"/>
      <c r="E263" s="107"/>
      <c r="F263" s="107"/>
      <c r="G263" s="107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</row>
    <row r="264" spans="1:27" ht="14.45">
      <c r="A264" s="104"/>
      <c r="B264" s="104"/>
      <c r="C264" s="104"/>
      <c r="D264" s="104"/>
      <c r="E264" s="107"/>
      <c r="F264" s="107"/>
      <c r="G264" s="107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</row>
    <row r="265" spans="1:27" ht="14.45">
      <c r="A265" s="104"/>
      <c r="B265" s="104"/>
      <c r="C265" s="104"/>
      <c r="D265" s="104"/>
      <c r="E265" s="107"/>
      <c r="F265" s="107"/>
      <c r="G265" s="107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</row>
    <row r="266" spans="1:27" ht="14.45">
      <c r="A266" s="104"/>
      <c r="B266" s="104"/>
      <c r="C266" s="104"/>
      <c r="D266" s="104"/>
      <c r="E266" s="107"/>
      <c r="F266" s="107"/>
      <c r="G266" s="107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</row>
    <row r="267" spans="1:27" ht="14.45">
      <c r="A267" s="104"/>
      <c r="B267" s="104"/>
      <c r="C267" s="104"/>
      <c r="D267" s="104"/>
      <c r="E267" s="107"/>
      <c r="F267" s="107"/>
      <c r="G267" s="107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</row>
    <row r="268" spans="1:27" ht="14.45">
      <c r="A268" s="104"/>
      <c r="B268" s="104"/>
      <c r="C268" s="104"/>
      <c r="D268" s="104"/>
      <c r="E268" s="107"/>
      <c r="F268" s="107"/>
      <c r="G268" s="107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</row>
    <row r="269" spans="1:27" ht="14.45">
      <c r="A269" s="104"/>
      <c r="B269" s="104"/>
      <c r="C269" s="104"/>
      <c r="D269" s="104"/>
      <c r="E269" s="107"/>
      <c r="F269" s="107"/>
      <c r="G269" s="107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</row>
    <row r="270" spans="1:27" ht="14.45">
      <c r="A270" s="104"/>
      <c r="B270" s="104"/>
      <c r="C270" s="104"/>
      <c r="D270" s="104"/>
      <c r="E270" s="107"/>
      <c r="F270" s="107"/>
      <c r="G270" s="107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</row>
    <row r="271" spans="1:27" ht="14.45">
      <c r="A271" s="104"/>
      <c r="B271" s="104"/>
      <c r="C271" s="104"/>
      <c r="D271" s="104"/>
      <c r="E271" s="107"/>
      <c r="F271" s="107"/>
      <c r="G271" s="107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</row>
    <row r="272" spans="1:27" ht="14.45">
      <c r="A272" s="104"/>
      <c r="B272" s="104"/>
      <c r="C272" s="104"/>
      <c r="D272" s="104"/>
      <c r="E272" s="107"/>
      <c r="F272" s="107"/>
      <c r="G272" s="107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</row>
    <row r="273" spans="1:27" ht="14.45">
      <c r="A273" s="104"/>
      <c r="B273" s="104"/>
      <c r="C273" s="104"/>
      <c r="D273" s="104"/>
      <c r="E273" s="107"/>
      <c r="F273" s="107"/>
      <c r="G273" s="107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</row>
    <row r="274" spans="1:27" ht="14.45">
      <c r="A274" s="104"/>
      <c r="B274" s="104"/>
      <c r="C274" s="104"/>
      <c r="D274" s="104"/>
      <c r="E274" s="107"/>
      <c r="F274" s="107"/>
      <c r="G274" s="107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</row>
    <row r="275" spans="1:27" ht="14.45">
      <c r="A275" s="104"/>
      <c r="B275" s="104"/>
      <c r="C275" s="104"/>
      <c r="D275" s="104"/>
      <c r="E275" s="107"/>
      <c r="F275" s="107"/>
      <c r="G275" s="107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</row>
    <row r="276" spans="1:27" ht="14.45">
      <c r="A276" s="104"/>
      <c r="B276" s="104"/>
      <c r="C276" s="104"/>
      <c r="D276" s="104"/>
      <c r="E276" s="107"/>
      <c r="F276" s="107"/>
      <c r="G276" s="107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</row>
    <row r="277" spans="1:27" ht="14.45">
      <c r="A277" s="104"/>
      <c r="B277" s="104"/>
      <c r="C277" s="104"/>
      <c r="D277" s="104"/>
      <c r="E277" s="107"/>
      <c r="F277" s="107"/>
      <c r="G277" s="107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</row>
    <row r="278" spans="1:27" ht="14.45">
      <c r="A278" s="104"/>
      <c r="B278" s="104"/>
      <c r="C278" s="104"/>
      <c r="D278" s="104"/>
      <c r="E278" s="107"/>
      <c r="F278" s="107"/>
      <c r="G278" s="107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</row>
    <row r="279" spans="1:27" ht="14.45">
      <c r="A279" s="104"/>
      <c r="B279" s="104"/>
      <c r="C279" s="104"/>
      <c r="D279" s="104"/>
      <c r="E279" s="107"/>
      <c r="F279" s="107"/>
      <c r="G279" s="107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</row>
    <row r="280" spans="1:27" ht="14.45">
      <c r="A280" s="104"/>
      <c r="B280" s="104"/>
      <c r="C280" s="104"/>
      <c r="D280" s="104"/>
      <c r="E280" s="107"/>
      <c r="F280" s="107"/>
      <c r="G280" s="107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</row>
    <row r="281" spans="1:27" ht="14.45">
      <c r="A281" s="104"/>
      <c r="B281" s="104"/>
      <c r="C281" s="104"/>
      <c r="D281" s="104"/>
      <c r="E281" s="107"/>
      <c r="F281" s="107"/>
      <c r="G281" s="107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</row>
    <row r="282" spans="1:27" ht="14.45">
      <c r="A282" s="104"/>
      <c r="B282" s="104"/>
      <c r="C282" s="104"/>
      <c r="D282" s="104"/>
      <c r="E282" s="107"/>
      <c r="F282" s="107"/>
      <c r="G282" s="107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</row>
    <row r="283" spans="1:27" ht="14.45">
      <c r="A283" s="104"/>
      <c r="B283" s="104"/>
      <c r="C283" s="104"/>
      <c r="D283" s="104"/>
      <c r="E283" s="107"/>
      <c r="F283" s="107"/>
      <c r="G283" s="107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</row>
    <row r="284" spans="1:27" ht="14.45">
      <c r="A284" s="104"/>
      <c r="B284" s="104"/>
      <c r="C284" s="104"/>
      <c r="D284" s="104"/>
      <c r="E284" s="107"/>
      <c r="F284" s="107"/>
      <c r="G284" s="107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</row>
    <row r="285" spans="1:27" ht="14.45">
      <c r="A285" s="104"/>
      <c r="B285" s="104"/>
      <c r="C285" s="104"/>
      <c r="D285" s="104"/>
      <c r="E285" s="107"/>
      <c r="F285" s="107"/>
      <c r="G285" s="107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</row>
    <row r="286" spans="1:27" ht="14.45">
      <c r="A286" s="104"/>
      <c r="B286" s="104"/>
      <c r="C286" s="104"/>
      <c r="D286" s="104"/>
      <c r="E286" s="107"/>
      <c r="F286" s="107"/>
      <c r="G286" s="107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</row>
    <row r="287" spans="1:27" ht="14.45">
      <c r="A287" s="104"/>
      <c r="B287" s="104"/>
      <c r="C287" s="104"/>
      <c r="D287" s="104"/>
      <c r="E287" s="107"/>
      <c r="F287" s="107"/>
      <c r="G287" s="107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</row>
    <row r="288" spans="1:27" ht="14.45">
      <c r="A288" s="104"/>
      <c r="B288" s="104"/>
      <c r="C288" s="104"/>
      <c r="D288" s="104"/>
      <c r="E288" s="107"/>
      <c r="F288" s="107"/>
      <c r="G288" s="107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</row>
    <row r="289" spans="1:27" ht="14.45">
      <c r="A289" s="104"/>
      <c r="B289" s="104"/>
      <c r="C289" s="104"/>
      <c r="D289" s="104"/>
      <c r="E289" s="107"/>
      <c r="F289" s="107"/>
      <c r="G289" s="107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</row>
    <row r="290" spans="1:27" ht="14.45">
      <c r="A290" s="104"/>
      <c r="B290" s="104"/>
      <c r="C290" s="104"/>
      <c r="D290" s="104"/>
      <c r="E290" s="107"/>
      <c r="F290" s="107"/>
      <c r="G290" s="107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</row>
    <row r="291" spans="1:27" ht="14.45">
      <c r="A291" s="104"/>
      <c r="B291" s="104"/>
      <c r="C291" s="104"/>
      <c r="D291" s="104"/>
      <c r="E291" s="107"/>
      <c r="F291" s="107"/>
      <c r="G291" s="107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</row>
    <row r="292" spans="1:27" ht="14.45">
      <c r="A292" s="104"/>
      <c r="B292" s="104"/>
      <c r="C292" s="104"/>
      <c r="D292" s="104"/>
      <c r="E292" s="107"/>
      <c r="F292" s="107"/>
      <c r="G292" s="107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</row>
    <row r="293" spans="1:27" ht="14.45">
      <c r="A293" s="104"/>
      <c r="B293" s="104"/>
      <c r="C293" s="104"/>
      <c r="D293" s="104"/>
      <c r="E293" s="107"/>
      <c r="F293" s="107"/>
      <c r="G293" s="107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</row>
    <row r="294" spans="1:27" ht="14.45">
      <c r="A294" s="104"/>
      <c r="B294" s="104"/>
      <c r="C294" s="104"/>
      <c r="D294" s="104"/>
      <c r="E294" s="107"/>
      <c r="F294" s="107"/>
      <c r="G294" s="107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</row>
    <row r="295" spans="1:27" ht="14.45">
      <c r="A295" s="104"/>
      <c r="B295" s="104"/>
      <c r="C295" s="104"/>
      <c r="D295" s="104"/>
      <c r="E295" s="107"/>
      <c r="F295" s="107"/>
      <c r="G295" s="107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</row>
    <row r="296" spans="1:27" ht="14.45">
      <c r="A296" s="104"/>
      <c r="B296" s="104"/>
      <c r="C296" s="104"/>
      <c r="D296" s="104"/>
      <c r="E296" s="107"/>
      <c r="F296" s="107"/>
      <c r="G296" s="107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</row>
    <row r="297" spans="1:27" ht="14.45">
      <c r="A297" s="104"/>
      <c r="B297" s="104"/>
      <c r="C297" s="104"/>
      <c r="D297" s="104"/>
      <c r="E297" s="107"/>
      <c r="F297" s="107"/>
      <c r="G297" s="107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</row>
    <row r="298" spans="1:27" ht="14.45">
      <c r="A298" s="104"/>
      <c r="B298" s="104"/>
      <c r="C298" s="104"/>
      <c r="D298" s="104"/>
      <c r="E298" s="107"/>
      <c r="F298" s="107"/>
      <c r="G298" s="107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</row>
    <row r="299" spans="1:27" ht="14.45">
      <c r="A299" s="104"/>
      <c r="B299" s="104"/>
      <c r="C299" s="104"/>
      <c r="D299" s="104"/>
      <c r="E299" s="107"/>
      <c r="F299" s="107"/>
      <c r="G299" s="107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</row>
    <row r="300" spans="1:27" ht="14.45">
      <c r="A300" s="104"/>
      <c r="B300" s="104"/>
      <c r="C300" s="104"/>
      <c r="D300" s="104"/>
      <c r="E300" s="107"/>
      <c r="F300" s="107"/>
      <c r="G300" s="107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</row>
    <row r="301" spans="1:27" ht="14.45">
      <c r="A301" s="104"/>
      <c r="B301" s="104"/>
      <c r="C301" s="104"/>
      <c r="D301" s="104"/>
      <c r="E301" s="107"/>
      <c r="F301" s="107"/>
      <c r="G301" s="107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</row>
    <row r="302" spans="1:27" ht="14.45">
      <c r="A302" s="104"/>
      <c r="B302" s="104"/>
      <c r="C302" s="104"/>
      <c r="D302" s="104"/>
      <c r="E302" s="107"/>
      <c r="F302" s="107"/>
      <c r="G302" s="107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</row>
    <row r="303" spans="1:27" ht="14.45">
      <c r="A303" s="104"/>
      <c r="B303" s="104"/>
      <c r="C303" s="104"/>
      <c r="D303" s="104"/>
      <c r="E303" s="107"/>
      <c r="F303" s="107"/>
      <c r="G303" s="107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</row>
    <row r="304" spans="1:27" ht="14.45">
      <c r="A304" s="104"/>
      <c r="B304" s="104"/>
      <c r="C304" s="104"/>
      <c r="D304" s="104"/>
      <c r="E304" s="107"/>
      <c r="F304" s="107"/>
      <c r="G304" s="107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</row>
    <row r="305" spans="1:27" ht="14.45">
      <c r="A305" s="104"/>
      <c r="B305" s="104"/>
      <c r="C305" s="104"/>
      <c r="D305" s="104"/>
      <c r="E305" s="107"/>
      <c r="F305" s="107"/>
      <c r="G305" s="107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</row>
    <row r="306" spans="1:27" ht="14.45">
      <c r="A306" s="104"/>
      <c r="B306" s="104"/>
      <c r="C306" s="104"/>
      <c r="D306" s="104"/>
      <c r="E306" s="107"/>
      <c r="F306" s="107"/>
      <c r="G306" s="107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</row>
    <row r="307" spans="1:27" ht="14.45">
      <c r="A307" s="104"/>
      <c r="B307" s="104"/>
      <c r="C307" s="104"/>
      <c r="D307" s="104"/>
      <c r="E307" s="107"/>
      <c r="F307" s="107"/>
      <c r="G307" s="107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</row>
    <row r="308" spans="1:27" ht="14.45">
      <c r="A308" s="104"/>
      <c r="B308" s="104"/>
      <c r="C308" s="104"/>
      <c r="D308" s="104"/>
      <c r="E308" s="107"/>
      <c r="F308" s="107"/>
      <c r="G308" s="107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</row>
    <row r="309" spans="1:27" ht="14.45">
      <c r="A309" s="104"/>
      <c r="B309" s="104"/>
      <c r="C309" s="104"/>
      <c r="D309" s="104"/>
      <c r="E309" s="107"/>
      <c r="F309" s="107"/>
      <c r="G309" s="107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</row>
    <row r="310" spans="1:27" ht="14.45">
      <c r="A310" s="104"/>
      <c r="B310" s="104"/>
      <c r="C310" s="104"/>
      <c r="D310" s="104"/>
      <c r="E310" s="107"/>
      <c r="F310" s="107"/>
      <c r="G310" s="107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</row>
    <row r="311" spans="1:27" ht="14.45">
      <c r="A311" s="104"/>
      <c r="B311" s="104"/>
      <c r="C311" s="104"/>
      <c r="D311" s="104"/>
      <c r="E311" s="107"/>
      <c r="F311" s="107"/>
      <c r="G311" s="107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</row>
    <row r="312" spans="1:27" ht="14.45">
      <c r="A312" s="104"/>
      <c r="B312" s="104"/>
      <c r="C312" s="104"/>
      <c r="D312" s="104"/>
      <c r="E312" s="107"/>
      <c r="F312" s="107"/>
      <c r="G312" s="107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</row>
    <row r="313" spans="1:27" ht="14.45">
      <c r="A313" s="104"/>
      <c r="B313" s="104"/>
      <c r="C313" s="104"/>
      <c r="D313" s="104"/>
      <c r="E313" s="107"/>
      <c r="F313" s="107"/>
      <c r="G313" s="107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</row>
    <row r="314" spans="1:27" ht="14.45">
      <c r="A314" s="104"/>
      <c r="B314" s="104"/>
      <c r="C314" s="104"/>
      <c r="D314" s="104"/>
      <c r="E314" s="107"/>
      <c r="F314" s="107"/>
      <c r="G314" s="107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</row>
    <row r="315" spans="1:27" ht="14.45">
      <c r="A315" s="104"/>
      <c r="B315" s="104"/>
      <c r="C315" s="104"/>
      <c r="D315" s="104"/>
      <c r="E315" s="107"/>
      <c r="F315" s="107"/>
      <c r="G315" s="107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</row>
    <row r="316" spans="1:27" ht="14.45">
      <c r="A316" s="104"/>
      <c r="B316" s="104"/>
      <c r="C316" s="104"/>
      <c r="D316" s="104"/>
      <c r="E316" s="107"/>
      <c r="F316" s="107"/>
      <c r="G316" s="107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</row>
    <row r="317" spans="1:27" ht="14.45">
      <c r="A317" s="104"/>
      <c r="B317" s="104"/>
      <c r="C317" s="104"/>
      <c r="D317" s="104"/>
      <c r="E317" s="107"/>
      <c r="F317" s="107"/>
      <c r="G317" s="107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</row>
    <row r="318" spans="1:27" ht="14.45">
      <c r="A318" s="104"/>
      <c r="B318" s="104"/>
      <c r="C318" s="104"/>
      <c r="D318" s="104"/>
      <c r="E318" s="107"/>
      <c r="F318" s="107"/>
      <c r="G318" s="107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</row>
    <row r="319" spans="1:27" ht="14.45">
      <c r="A319" s="104"/>
      <c r="B319" s="104"/>
      <c r="C319" s="104"/>
      <c r="D319" s="104"/>
      <c r="E319" s="107"/>
      <c r="F319" s="107"/>
      <c r="G319" s="107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</row>
    <row r="320" spans="1:27" ht="14.45">
      <c r="A320" s="104"/>
      <c r="B320" s="104"/>
      <c r="C320" s="104"/>
      <c r="D320" s="104"/>
      <c r="E320" s="107"/>
      <c r="F320" s="107"/>
      <c r="G320" s="107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</row>
    <row r="321" spans="1:27" ht="14.45">
      <c r="A321" s="104"/>
      <c r="B321" s="104"/>
      <c r="C321" s="104"/>
      <c r="D321" s="104"/>
      <c r="E321" s="107"/>
      <c r="F321" s="107"/>
      <c r="G321" s="107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</row>
    <row r="322" spans="1:27" ht="14.45">
      <c r="A322" s="104"/>
      <c r="B322" s="104"/>
      <c r="C322" s="104"/>
      <c r="D322" s="104"/>
      <c r="E322" s="107"/>
      <c r="F322" s="107"/>
      <c r="G322" s="107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</row>
    <row r="323" spans="1:27" ht="14.45">
      <c r="A323" s="104"/>
      <c r="B323" s="104"/>
      <c r="C323" s="104"/>
      <c r="D323" s="104"/>
      <c r="E323" s="107"/>
      <c r="F323" s="107"/>
      <c r="G323" s="107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</row>
    <row r="324" spans="1:27" ht="14.45">
      <c r="A324" s="104"/>
      <c r="B324" s="104"/>
      <c r="C324" s="104"/>
      <c r="D324" s="104"/>
      <c r="E324" s="107"/>
      <c r="F324" s="107"/>
      <c r="G324" s="107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</row>
    <row r="325" spans="1:27" ht="14.45">
      <c r="A325" s="104"/>
      <c r="B325" s="104"/>
      <c r="C325" s="104"/>
      <c r="D325" s="104"/>
      <c r="E325" s="107"/>
      <c r="F325" s="107"/>
      <c r="G325" s="107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</row>
    <row r="326" spans="1:27" ht="14.45">
      <c r="A326" s="104"/>
      <c r="B326" s="104"/>
      <c r="C326" s="104"/>
      <c r="D326" s="104"/>
      <c r="E326" s="107"/>
      <c r="F326" s="107"/>
      <c r="G326" s="107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</row>
    <row r="327" spans="1:27" ht="14.45">
      <c r="A327" s="104"/>
      <c r="B327" s="104"/>
      <c r="C327" s="104"/>
      <c r="D327" s="104"/>
      <c r="E327" s="107"/>
      <c r="F327" s="107"/>
      <c r="G327" s="107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</row>
    <row r="328" spans="1:27" ht="14.45">
      <c r="A328" s="104"/>
      <c r="B328" s="104"/>
      <c r="C328" s="104"/>
      <c r="D328" s="104"/>
      <c r="E328" s="107"/>
      <c r="F328" s="107"/>
      <c r="G328" s="107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</row>
    <row r="329" spans="1:27" ht="14.45">
      <c r="A329" s="104"/>
      <c r="B329" s="104"/>
      <c r="C329" s="104"/>
      <c r="D329" s="104"/>
      <c r="E329" s="107"/>
      <c r="F329" s="107"/>
      <c r="G329" s="107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</row>
    <row r="330" spans="1:27" ht="14.45">
      <c r="A330" s="104"/>
      <c r="B330" s="104"/>
      <c r="C330" s="104"/>
      <c r="D330" s="104"/>
      <c r="E330" s="107"/>
      <c r="F330" s="107"/>
      <c r="G330" s="107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</row>
    <row r="331" spans="1:27" ht="14.45">
      <c r="A331" s="104"/>
      <c r="B331" s="104"/>
      <c r="C331" s="104"/>
      <c r="D331" s="104"/>
      <c r="E331" s="107"/>
      <c r="F331" s="107"/>
      <c r="G331" s="107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</row>
    <row r="332" spans="1:27" ht="14.45">
      <c r="A332" s="104"/>
      <c r="B332" s="104"/>
      <c r="C332" s="104"/>
      <c r="D332" s="104"/>
      <c r="E332" s="107"/>
      <c r="F332" s="107"/>
      <c r="G332" s="107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</row>
    <row r="333" spans="1:27" ht="14.45">
      <c r="A333" s="104"/>
      <c r="B333" s="104"/>
      <c r="C333" s="104"/>
      <c r="D333" s="104"/>
      <c r="E333" s="107"/>
      <c r="F333" s="107"/>
      <c r="G333" s="107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</row>
    <row r="334" spans="1:27" ht="14.45">
      <c r="A334" s="104"/>
      <c r="B334" s="104"/>
      <c r="C334" s="104"/>
      <c r="D334" s="104"/>
      <c r="E334" s="107"/>
      <c r="F334" s="107"/>
      <c r="G334" s="107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</row>
    <row r="335" spans="1:27" ht="14.45">
      <c r="A335" s="104"/>
      <c r="B335" s="104"/>
      <c r="C335" s="104"/>
      <c r="D335" s="104"/>
      <c r="E335" s="107"/>
      <c r="F335" s="107"/>
      <c r="G335" s="107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</row>
    <row r="336" spans="1:27" ht="14.45">
      <c r="A336" s="104"/>
      <c r="B336" s="104"/>
      <c r="C336" s="104"/>
      <c r="D336" s="104"/>
      <c r="E336" s="107"/>
      <c r="F336" s="107"/>
      <c r="G336" s="107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</row>
    <row r="337" spans="1:27" ht="14.45">
      <c r="A337" s="104"/>
      <c r="B337" s="104"/>
      <c r="C337" s="104"/>
      <c r="D337" s="104"/>
      <c r="E337" s="107"/>
      <c r="F337" s="107"/>
      <c r="G337" s="107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</row>
    <row r="338" spans="1:27" ht="14.45">
      <c r="A338" s="104"/>
      <c r="B338" s="104"/>
      <c r="C338" s="104"/>
      <c r="D338" s="104"/>
      <c r="E338" s="107"/>
      <c r="F338" s="107"/>
      <c r="G338" s="107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</row>
    <row r="339" spans="1:27" ht="14.45">
      <c r="A339" s="104"/>
      <c r="B339" s="104"/>
      <c r="C339" s="104"/>
      <c r="D339" s="104"/>
      <c r="E339" s="107"/>
      <c r="F339" s="107"/>
      <c r="G339" s="107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</row>
    <row r="340" spans="1:27" ht="14.45">
      <c r="A340" s="104"/>
      <c r="B340" s="104"/>
      <c r="C340" s="104"/>
      <c r="D340" s="104"/>
      <c r="E340" s="107"/>
      <c r="F340" s="107"/>
      <c r="G340" s="107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</row>
    <row r="341" spans="1:27" ht="14.45">
      <c r="A341" s="104"/>
      <c r="B341" s="104"/>
      <c r="C341" s="104"/>
      <c r="D341" s="104"/>
      <c r="E341" s="107"/>
      <c r="F341" s="107"/>
      <c r="G341" s="107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</row>
    <row r="342" spans="1:27" ht="14.45">
      <c r="A342" s="104"/>
      <c r="B342" s="104"/>
      <c r="C342" s="104"/>
      <c r="D342" s="104"/>
      <c r="E342" s="107"/>
      <c r="F342" s="107"/>
      <c r="G342" s="107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</row>
    <row r="343" spans="1:27" ht="14.45">
      <c r="A343" s="104"/>
      <c r="B343" s="104"/>
      <c r="C343" s="104"/>
      <c r="D343" s="104"/>
      <c r="E343" s="107"/>
      <c r="F343" s="107"/>
      <c r="G343" s="107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</row>
    <row r="344" spans="1:27" ht="14.45">
      <c r="A344" s="104"/>
      <c r="B344" s="104"/>
      <c r="C344" s="104"/>
      <c r="D344" s="104"/>
      <c r="E344" s="107"/>
      <c r="F344" s="107"/>
      <c r="G344" s="107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</row>
    <row r="345" spans="1:27" ht="14.45">
      <c r="A345" s="104"/>
      <c r="B345" s="104"/>
      <c r="C345" s="104"/>
      <c r="D345" s="104"/>
      <c r="E345" s="107"/>
      <c r="F345" s="107"/>
      <c r="G345" s="107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</row>
    <row r="346" spans="1:27" ht="14.45">
      <c r="A346" s="104"/>
      <c r="B346" s="104"/>
      <c r="C346" s="104"/>
      <c r="D346" s="104"/>
      <c r="E346" s="107"/>
      <c r="F346" s="107"/>
      <c r="G346" s="107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</row>
    <row r="347" spans="1:27" ht="14.45">
      <c r="A347" s="104"/>
      <c r="B347" s="104"/>
      <c r="C347" s="104"/>
      <c r="D347" s="104"/>
      <c r="E347" s="107"/>
      <c r="F347" s="107"/>
      <c r="G347" s="107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</row>
    <row r="348" spans="1:27" ht="14.45">
      <c r="A348" s="104"/>
      <c r="B348" s="104"/>
      <c r="C348" s="104"/>
      <c r="D348" s="104"/>
      <c r="E348" s="107"/>
      <c r="F348" s="107"/>
      <c r="G348" s="107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</row>
    <row r="349" spans="1:27" ht="14.45">
      <c r="A349" s="104"/>
      <c r="B349" s="104"/>
      <c r="C349" s="104"/>
      <c r="D349" s="104"/>
      <c r="E349" s="107"/>
      <c r="F349" s="107"/>
      <c r="G349" s="107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</row>
    <row r="350" spans="1:27" ht="14.45">
      <c r="A350" s="104"/>
      <c r="B350" s="104"/>
      <c r="C350" s="104"/>
      <c r="D350" s="104"/>
      <c r="E350" s="107"/>
      <c r="F350" s="107"/>
      <c r="G350" s="107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</row>
    <row r="351" spans="1:27" ht="14.45">
      <c r="A351" s="104"/>
      <c r="B351" s="104"/>
      <c r="C351" s="104"/>
      <c r="D351" s="104"/>
      <c r="E351" s="107"/>
      <c r="F351" s="107"/>
      <c r="G351" s="107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</row>
    <row r="352" spans="1:27" ht="14.45">
      <c r="A352" s="104"/>
      <c r="B352" s="104"/>
      <c r="C352" s="104"/>
      <c r="D352" s="104"/>
      <c r="E352" s="107"/>
      <c r="F352" s="107"/>
      <c r="G352" s="107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</row>
    <row r="353" spans="1:27" ht="14.45">
      <c r="A353" s="104"/>
      <c r="B353" s="104"/>
      <c r="C353" s="104"/>
      <c r="D353" s="104"/>
      <c r="E353" s="107"/>
      <c r="F353" s="107"/>
      <c r="G353" s="107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</row>
    <row r="354" spans="1:27" ht="14.45">
      <c r="A354" s="104"/>
      <c r="B354" s="104"/>
      <c r="C354" s="104"/>
      <c r="D354" s="104"/>
      <c r="E354" s="107"/>
      <c r="F354" s="107"/>
      <c r="G354" s="107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</row>
    <row r="355" spans="1:27" ht="14.45">
      <c r="A355" s="104"/>
      <c r="B355" s="104"/>
      <c r="C355" s="104"/>
      <c r="D355" s="104"/>
      <c r="E355" s="107"/>
      <c r="F355" s="107"/>
      <c r="G355" s="107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</row>
    <row r="356" spans="1:27" ht="14.45">
      <c r="A356" s="104"/>
      <c r="B356" s="104"/>
      <c r="C356" s="104"/>
      <c r="D356" s="104"/>
      <c r="E356" s="107"/>
      <c r="F356" s="107"/>
      <c r="G356" s="107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</row>
    <row r="357" spans="1:27" ht="14.45">
      <c r="A357" s="104"/>
      <c r="B357" s="104"/>
      <c r="C357" s="104"/>
      <c r="D357" s="104"/>
      <c r="E357" s="107"/>
      <c r="F357" s="107"/>
      <c r="G357" s="107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</row>
    <row r="358" spans="1:27" ht="14.45">
      <c r="A358" s="104"/>
      <c r="B358" s="104"/>
      <c r="C358" s="104"/>
      <c r="D358" s="104"/>
      <c r="E358" s="107"/>
      <c r="F358" s="107"/>
      <c r="G358" s="107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</row>
    <row r="359" spans="1:27" ht="14.45">
      <c r="A359" s="104"/>
      <c r="B359" s="104"/>
      <c r="C359" s="104"/>
      <c r="D359" s="104"/>
      <c r="E359" s="107"/>
      <c r="F359" s="107"/>
      <c r="G359" s="107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</row>
    <row r="360" spans="1:27" ht="14.45">
      <c r="A360" s="104"/>
      <c r="B360" s="104"/>
      <c r="C360" s="104"/>
      <c r="D360" s="104"/>
      <c r="E360" s="107"/>
      <c r="F360" s="107"/>
      <c r="G360" s="107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</row>
    <row r="361" spans="1:27" ht="14.45">
      <c r="A361" s="104"/>
      <c r="B361" s="104"/>
      <c r="C361" s="104"/>
      <c r="D361" s="104"/>
      <c r="E361" s="107"/>
      <c r="F361" s="107"/>
      <c r="G361" s="107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</row>
    <row r="362" spans="1:27" ht="14.45">
      <c r="A362" s="104"/>
      <c r="B362" s="104"/>
      <c r="C362" s="104"/>
      <c r="D362" s="104"/>
      <c r="E362" s="107"/>
      <c r="F362" s="107"/>
      <c r="G362" s="107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</row>
    <row r="363" spans="1:27" ht="14.45">
      <c r="A363" s="104"/>
      <c r="B363" s="104"/>
      <c r="C363" s="104"/>
      <c r="D363" s="104"/>
      <c r="E363" s="107"/>
      <c r="F363" s="107"/>
      <c r="G363" s="107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</row>
    <row r="364" spans="1:27" ht="14.45">
      <c r="A364" s="104"/>
      <c r="B364" s="104"/>
      <c r="C364" s="104"/>
      <c r="D364" s="104"/>
      <c r="E364" s="107"/>
      <c r="F364" s="107"/>
      <c r="G364" s="107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</row>
    <row r="365" spans="1:27" ht="14.45">
      <c r="A365" s="104"/>
      <c r="B365" s="104"/>
      <c r="C365" s="104"/>
      <c r="D365" s="104"/>
      <c r="E365" s="107"/>
      <c r="F365" s="107"/>
      <c r="G365" s="107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</row>
    <row r="366" spans="1:27" ht="14.45">
      <c r="A366" s="104"/>
      <c r="B366" s="104"/>
      <c r="C366" s="104"/>
      <c r="D366" s="104"/>
      <c r="E366" s="107"/>
      <c r="F366" s="107"/>
      <c r="G366" s="107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</row>
    <row r="367" spans="1:27" ht="14.45">
      <c r="A367" s="104"/>
      <c r="B367" s="104"/>
      <c r="C367" s="104"/>
      <c r="D367" s="104"/>
      <c r="E367" s="107"/>
      <c r="F367" s="107"/>
      <c r="G367" s="107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</row>
    <row r="368" spans="1:27" ht="14.45">
      <c r="A368" s="104"/>
      <c r="B368" s="104"/>
      <c r="C368" s="104"/>
      <c r="D368" s="104"/>
      <c r="E368" s="107"/>
      <c r="F368" s="107"/>
      <c r="G368" s="107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</row>
    <row r="369" spans="1:27" ht="14.45">
      <c r="A369" s="104"/>
      <c r="B369" s="104"/>
      <c r="C369" s="104"/>
      <c r="D369" s="104"/>
      <c r="E369" s="107"/>
      <c r="F369" s="107"/>
      <c r="G369" s="107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</row>
    <row r="370" spans="1:27" ht="14.45">
      <c r="A370" s="104"/>
      <c r="B370" s="104"/>
      <c r="C370" s="104"/>
      <c r="D370" s="104"/>
      <c r="E370" s="107"/>
      <c r="F370" s="107"/>
      <c r="G370" s="107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</row>
    <row r="371" spans="1:27" ht="14.45">
      <c r="A371" s="104"/>
      <c r="B371" s="104"/>
      <c r="C371" s="104"/>
      <c r="D371" s="104"/>
      <c r="E371" s="107"/>
      <c r="F371" s="107"/>
      <c r="G371" s="107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</row>
    <row r="372" spans="1:27" ht="14.45">
      <c r="A372" s="104"/>
      <c r="B372" s="104"/>
      <c r="C372" s="104"/>
      <c r="D372" s="104"/>
      <c r="E372" s="107"/>
      <c r="F372" s="107"/>
      <c r="G372" s="107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</row>
    <row r="373" spans="1:27" ht="14.45">
      <c r="A373" s="104"/>
      <c r="B373" s="104"/>
      <c r="C373" s="104"/>
      <c r="D373" s="104"/>
      <c r="E373" s="107"/>
      <c r="F373" s="107"/>
      <c r="G373" s="107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</row>
    <row r="374" spans="1:27" ht="14.45">
      <c r="A374" s="104"/>
      <c r="B374" s="104"/>
      <c r="C374" s="104"/>
      <c r="D374" s="104"/>
      <c r="E374" s="107"/>
      <c r="F374" s="107"/>
      <c r="G374" s="107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</row>
    <row r="375" spans="1:27" ht="14.45">
      <c r="A375" s="104"/>
      <c r="B375" s="104"/>
      <c r="C375" s="104"/>
      <c r="D375" s="104"/>
      <c r="E375" s="107"/>
      <c r="F375" s="107"/>
      <c r="G375" s="107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</row>
    <row r="376" spans="1:27" ht="14.45">
      <c r="A376" s="104"/>
      <c r="B376" s="104"/>
      <c r="C376" s="104"/>
      <c r="D376" s="104"/>
      <c r="E376" s="107"/>
      <c r="F376" s="107"/>
      <c r="G376" s="107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</row>
    <row r="377" spans="1:27" ht="14.45">
      <c r="A377" s="104"/>
      <c r="B377" s="104"/>
      <c r="C377" s="104"/>
      <c r="D377" s="104"/>
      <c r="E377" s="107"/>
      <c r="F377" s="107"/>
      <c r="G377" s="107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</row>
    <row r="378" spans="1:27" ht="14.45">
      <c r="A378" s="104"/>
      <c r="B378" s="104"/>
      <c r="C378" s="104"/>
      <c r="D378" s="104"/>
      <c r="E378" s="107"/>
      <c r="F378" s="107"/>
      <c r="G378" s="107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</row>
    <row r="379" spans="1:27" ht="14.45">
      <c r="A379" s="104"/>
      <c r="B379" s="104"/>
      <c r="C379" s="104"/>
      <c r="D379" s="104"/>
      <c r="E379" s="107"/>
      <c r="F379" s="107"/>
      <c r="G379" s="107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</row>
    <row r="380" spans="1:27" ht="14.45">
      <c r="A380" s="104"/>
      <c r="B380" s="104"/>
      <c r="C380" s="104"/>
      <c r="D380" s="104"/>
      <c r="E380" s="107"/>
      <c r="F380" s="107"/>
      <c r="G380" s="107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</row>
    <row r="381" spans="1:27" ht="14.45">
      <c r="A381" s="104"/>
      <c r="B381" s="104"/>
      <c r="C381" s="104"/>
      <c r="D381" s="104"/>
      <c r="E381" s="107"/>
      <c r="F381" s="107"/>
      <c r="G381" s="107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</row>
    <row r="382" spans="1:27" ht="14.45">
      <c r="A382" s="104"/>
      <c r="B382" s="104"/>
      <c r="C382" s="104"/>
      <c r="D382" s="104"/>
      <c r="E382" s="107"/>
      <c r="F382" s="107"/>
      <c r="G382" s="107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</row>
    <row r="383" spans="1:27" ht="14.45">
      <c r="A383" s="104"/>
      <c r="B383" s="104"/>
      <c r="C383" s="104"/>
      <c r="D383" s="104"/>
      <c r="E383" s="107"/>
      <c r="F383" s="107"/>
      <c r="G383" s="107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</row>
    <row r="384" spans="1:27" ht="14.45">
      <c r="A384" s="104"/>
      <c r="B384" s="104"/>
      <c r="C384" s="104"/>
      <c r="D384" s="104"/>
      <c r="E384" s="107"/>
      <c r="F384" s="107"/>
      <c r="G384" s="107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</row>
    <row r="385" spans="1:27" ht="14.45">
      <c r="A385" s="104"/>
      <c r="B385" s="104"/>
      <c r="C385" s="104"/>
      <c r="D385" s="104"/>
      <c r="E385" s="107"/>
      <c r="F385" s="107"/>
      <c r="G385" s="107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</row>
    <row r="386" spans="1:27" ht="14.45">
      <c r="A386" s="104"/>
      <c r="B386" s="104"/>
      <c r="C386" s="104"/>
      <c r="D386" s="104"/>
      <c r="E386" s="107"/>
      <c r="F386" s="107"/>
      <c r="G386" s="107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</row>
    <row r="387" spans="1:27" ht="14.45">
      <c r="A387" s="104"/>
      <c r="B387" s="104"/>
      <c r="C387" s="104"/>
      <c r="D387" s="104"/>
      <c r="E387" s="107"/>
      <c r="F387" s="107"/>
      <c r="G387" s="107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</row>
    <row r="388" spans="1:27" ht="14.45">
      <c r="A388" s="104"/>
      <c r="B388" s="104"/>
      <c r="C388" s="104"/>
      <c r="D388" s="104"/>
      <c r="E388" s="107"/>
      <c r="F388" s="107"/>
      <c r="G388" s="107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</row>
    <row r="389" spans="1:27" ht="14.45">
      <c r="A389" s="104"/>
      <c r="B389" s="104"/>
      <c r="C389" s="104"/>
      <c r="D389" s="104"/>
      <c r="E389" s="107"/>
      <c r="F389" s="107"/>
      <c r="G389" s="107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</row>
    <row r="390" spans="1:27" ht="14.45">
      <c r="A390" s="104"/>
      <c r="B390" s="104"/>
      <c r="C390" s="104"/>
      <c r="D390" s="104"/>
      <c r="E390" s="107"/>
      <c r="F390" s="107"/>
      <c r="G390" s="107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</row>
    <row r="391" spans="1:27" ht="14.45">
      <c r="A391" s="104"/>
      <c r="B391" s="104"/>
      <c r="C391" s="104"/>
      <c r="D391" s="104"/>
      <c r="E391" s="107"/>
      <c r="F391" s="107"/>
      <c r="G391" s="107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</row>
    <row r="392" spans="1:27" ht="14.45">
      <c r="A392" s="104"/>
      <c r="B392" s="104"/>
      <c r="C392" s="104"/>
      <c r="D392" s="104"/>
      <c r="E392" s="107"/>
      <c r="F392" s="107"/>
      <c r="G392" s="107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</row>
    <row r="393" spans="1:27" ht="14.45">
      <c r="A393" s="104"/>
      <c r="B393" s="104"/>
      <c r="C393" s="104"/>
      <c r="D393" s="104"/>
      <c r="E393" s="107"/>
      <c r="F393" s="107"/>
      <c r="G393" s="107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</row>
    <row r="394" spans="1:27" ht="14.45">
      <c r="A394" s="104"/>
      <c r="B394" s="104"/>
      <c r="C394" s="104"/>
      <c r="D394" s="104"/>
      <c r="E394" s="107"/>
      <c r="F394" s="107"/>
      <c r="G394" s="107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</row>
    <row r="395" spans="1:27" ht="14.45">
      <c r="A395" s="104"/>
      <c r="B395" s="104"/>
      <c r="C395" s="104"/>
      <c r="D395" s="104"/>
      <c r="E395" s="107"/>
      <c r="F395" s="107"/>
      <c r="G395" s="107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</row>
    <row r="396" spans="1:27" ht="14.45">
      <c r="A396" s="104"/>
      <c r="B396" s="104"/>
      <c r="C396" s="104"/>
      <c r="D396" s="104"/>
      <c r="E396" s="107"/>
      <c r="F396" s="107"/>
      <c r="G396" s="107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</row>
    <row r="397" spans="1:27" ht="14.45">
      <c r="A397" s="104"/>
      <c r="B397" s="104"/>
      <c r="C397" s="104"/>
      <c r="D397" s="104"/>
      <c r="E397" s="107"/>
      <c r="F397" s="107"/>
      <c r="G397" s="107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</row>
    <row r="398" spans="1:27" ht="14.45">
      <c r="A398" s="104"/>
      <c r="B398" s="104"/>
      <c r="C398" s="104"/>
      <c r="D398" s="104"/>
      <c r="E398" s="107"/>
      <c r="F398" s="107"/>
      <c r="G398" s="107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</row>
    <row r="399" spans="1:27" ht="14.45">
      <c r="A399" s="104"/>
      <c r="B399" s="104"/>
      <c r="C399" s="104"/>
      <c r="D399" s="104"/>
      <c r="E399" s="107"/>
      <c r="F399" s="107"/>
      <c r="G399" s="107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</row>
    <row r="400" spans="1:27" ht="14.45">
      <c r="A400" s="104"/>
      <c r="B400" s="104"/>
      <c r="C400" s="104"/>
      <c r="D400" s="104"/>
      <c r="E400" s="107"/>
      <c r="F400" s="107"/>
      <c r="G400" s="107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</row>
    <row r="401" spans="1:27" ht="14.45">
      <c r="A401" s="104"/>
      <c r="B401" s="104"/>
      <c r="C401" s="104"/>
      <c r="D401" s="104"/>
      <c r="E401" s="107"/>
      <c r="F401" s="107"/>
      <c r="G401" s="107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</row>
    <row r="402" spans="1:27" ht="14.45">
      <c r="A402" s="104"/>
      <c r="B402" s="104"/>
      <c r="C402" s="104"/>
      <c r="D402" s="104"/>
      <c r="E402" s="107"/>
      <c r="F402" s="107"/>
      <c r="G402" s="107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</row>
    <row r="403" spans="1:27" ht="14.45">
      <c r="A403" s="104"/>
      <c r="B403" s="104"/>
      <c r="C403" s="104"/>
      <c r="D403" s="104"/>
      <c r="E403" s="107"/>
      <c r="F403" s="107"/>
      <c r="G403" s="107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</row>
    <row r="404" spans="1:27" ht="14.45">
      <c r="A404" s="104"/>
      <c r="B404" s="104"/>
      <c r="C404" s="104"/>
      <c r="D404" s="104"/>
      <c r="E404" s="107"/>
      <c r="F404" s="107"/>
      <c r="G404" s="107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</row>
    <row r="405" spans="1:27" ht="14.45">
      <c r="A405" s="104"/>
      <c r="B405" s="104"/>
      <c r="C405" s="104"/>
      <c r="D405" s="104"/>
      <c r="E405" s="107"/>
      <c r="F405" s="107"/>
      <c r="G405" s="107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</row>
    <row r="406" spans="1:27" ht="14.45">
      <c r="A406" s="104"/>
      <c r="B406" s="104"/>
      <c r="C406" s="104"/>
      <c r="D406" s="104"/>
      <c r="E406" s="107"/>
      <c r="F406" s="107"/>
      <c r="G406" s="107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</row>
    <row r="407" spans="1:27" ht="14.45">
      <c r="A407" s="104"/>
      <c r="B407" s="104"/>
      <c r="C407" s="104"/>
      <c r="D407" s="104"/>
      <c r="E407" s="107"/>
      <c r="F407" s="107"/>
      <c r="G407" s="107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</row>
    <row r="408" spans="1:27" ht="14.45">
      <c r="A408" s="104"/>
      <c r="B408" s="104"/>
      <c r="C408" s="104"/>
      <c r="D408" s="104"/>
      <c r="E408" s="107"/>
      <c r="F408" s="107"/>
      <c r="G408" s="107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</row>
    <row r="409" spans="1:27" ht="14.45">
      <c r="A409" s="104"/>
      <c r="B409" s="104"/>
      <c r="C409" s="104"/>
      <c r="D409" s="104"/>
      <c r="E409" s="107"/>
      <c r="F409" s="107"/>
      <c r="G409" s="107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</row>
    <row r="410" spans="1:27" ht="14.45">
      <c r="A410" s="104"/>
      <c r="B410" s="104"/>
      <c r="C410" s="104"/>
      <c r="D410" s="104"/>
      <c r="E410" s="107"/>
      <c r="F410" s="107"/>
      <c r="G410" s="107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</row>
    <row r="411" spans="1:27" ht="14.45">
      <c r="A411" s="104"/>
      <c r="B411" s="104"/>
      <c r="C411" s="104"/>
      <c r="D411" s="104"/>
      <c r="E411" s="107"/>
      <c r="F411" s="107"/>
      <c r="G411" s="107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</row>
    <row r="412" spans="1:27" ht="14.45">
      <c r="A412" s="104"/>
      <c r="B412" s="104"/>
      <c r="C412" s="104"/>
      <c r="D412" s="104"/>
      <c r="E412" s="107"/>
      <c r="F412" s="107"/>
      <c r="G412" s="107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</row>
    <row r="413" spans="1:27" ht="14.45">
      <c r="A413" s="104"/>
      <c r="B413" s="104"/>
      <c r="C413" s="104"/>
      <c r="D413" s="104"/>
      <c r="E413" s="107"/>
      <c r="F413" s="107"/>
      <c r="G413" s="107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</row>
    <row r="414" spans="1:27" ht="14.45">
      <c r="A414" s="104"/>
      <c r="B414" s="104"/>
      <c r="C414" s="104"/>
      <c r="D414" s="104"/>
      <c r="E414" s="107"/>
      <c r="F414" s="107"/>
      <c r="G414" s="107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</row>
    <row r="415" spans="1:27" ht="14.45">
      <c r="A415" s="104"/>
      <c r="B415" s="104"/>
      <c r="C415" s="104"/>
      <c r="D415" s="104"/>
      <c r="E415" s="107"/>
      <c r="F415" s="107"/>
      <c r="G415" s="107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</row>
    <row r="416" spans="1:27" ht="14.45">
      <c r="A416" s="104"/>
      <c r="B416" s="104"/>
      <c r="C416" s="104"/>
      <c r="D416" s="104"/>
      <c r="E416" s="107"/>
      <c r="F416" s="107"/>
      <c r="G416" s="107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</row>
    <row r="417" spans="1:27" ht="14.45">
      <c r="A417" s="104"/>
      <c r="B417" s="104"/>
      <c r="C417" s="104"/>
      <c r="D417" s="104"/>
      <c r="E417" s="107"/>
      <c r="F417" s="107"/>
      <c r="G417" s="107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</row>
    <row r="418" spans="1:27" ht="14.45">
      <c r="A418" s="104"/>
      <c r="B418" s="104"/>
      <c r="C418" s="104"/>
      <c r="D418" s="104"/>
      <c r="E418" s="107"/>
      <c r="F418" s="107"/>
      <c r="G418" s="107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</row>
    <row r="419" spans="1:27" ht="14.45">
      <c r="A419" s="104"/>
      <c r="B419" s="104"/>
      <c r="C419" s="104"/>
      <c r="D419" s="104"/>
      <c r="E419" s="107"/>
      <c r="F419" s="107"/>
      <c r="G419" s="107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</row>
    <row r="420" spans="1:27" ht="14.45">
      <c r="A420" s="104"/>
      <c r="B420" s="104"/>
      <c r="C420" s="104"/>
      <c r="D420" s="104"/>
      <c r="E420" s="107"/>
      <c r="F420" s="107"/>
      <c r="G420" s="107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</row>
    <row r="421" spans="1:27" ht="14.45">
      <c r="A421" s="104"/>
      <c r="B421" s="104"/>
      <c r="C421" s="104"/>
      <c r="D421" s="104"/>
      <c r="E421" s="107"/>
      <c r="F421" s="107"/>
      <c r="G421" s="107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</row>
    <row r="422" spans="1:27" ht="14.45">
      <c r="A422" s="104"/>
      <c r="B422" s="104"/>
      <c r="C422" s="104"/>
      <c r="D422" s="104"/>
      <c r="E422" s="107"/>
      <c r="F422" s="107"/>
      <c r="G422" s="107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</row>
    <row r="423" spans="1:27" ht="14.45">
      <c r="A423" s="104"/>
      <c r="B423" s="104"/>
      <c r="C423" s="104"/>
      <c r="D423" s="104"/>
      <c r="E423" s="107"/>
      <c r="F423" s="107"/>
      <c r="G423" s="107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</row>
    <row r="424" spans="1:27" ht="14.45">
      <c r="A424" s="104"/>
      <c r="B424" s="104"/>
      <c r="C424" s="104"/>
      <c r="D424" s="104"/>
      <c r="E424" s="107"/>
      <c r="F424" s="107"/>
      <c r="G424" s="107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</row>
    <row r="425" spans="1:27" ht="14.45">
      <c r="A425" s="104"/>
      <c r="B425" s="104"/>
      <c r="C425" s="104"/>
      <c r="D425" s="104"/>
      <c r="E425" s="107"/>
      <c r="F425" s="107"/>
      <c r="G425" s="107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</row>
    <row r="426" spans="1:27" ht="14.45">
      <c r="A426" s="104"/>
      <c r="B426" s="104"/>
      <c r="C426" s="104"/>
      <c r="D426" s="104"/>
      <c r="E426" s="107"/>
      <c r="F426" s="107"/>
      <c r="G426" s="107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</row>
    <row r="427" spans="1:27" ht="14.45">
      <c r="A427" s="104"/>
      <c r="B427" s="104"/>
      <c r="C427" s="104"/>
      <c r="D427" s="104"/>
      <c r="E427" s="107"/>
      <c r="F427" s="107"/>
      <c r="G427" s="107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</row>
    <row r="428" spans="1:27" ht="14.45">
      <c r="A428" s="104"/>
      <c r="B428" s="104"/>
      <c r="C428" s="104"/>
      <c r="D428" s="104"/>
      <c r="E428" s="107"/>
      <c r="F428" s="107"/>
      <c r="G428" s="107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</row>
    <row r="429" spans="1:27" ht="14.45">
      <c r="A429" s="104"/>
      <c r="B429" s="104"/>
      <c r="C429" s="104"/>
      <c r="D429" s="104"/>
      <c r="E429" s="107"/>
      <c r="F429" s="107"/>
      <c r="G429" s="107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</row>
    <row r="430" spans="1:27" ht="14.45">
      <c r="A430" s="104"/>
      <c r="B430" s="104"/>
      <c r="C430" s="104"/>
      <c r="D430" s="104"/>
      <c r="E430" s="107"/>
      <c r="F430" s="107"/>
      <c r="G430" s="107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</row>
    <row r="431" spans="1:27" ht="14.45">
      <c r="A431" s="104"/>
      <c r="B431" s="104"/>
      <c r="C431" s="104"/>
      <c r="D431" s="104"/>
      <c r="E431" s="107"/>
      <c r="F431" s="107"/>
      <c r="G431" s="107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</row>
    <row r="432" spans="1:27" ht="14.45">
      <c r="A432" s="104"/>
      <c r="B432" s="104"/>
      <c r="C432" s="104"/>
      <c r="D432" s="104"/>
      <c r="E432" s="107"/>
      <c r="F432" s="107"/>
      <c r="G432" s="107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</row>
    <row r="433" spans="1:27" ht="14.45">
      <c r="A433" s="104"/>
      <c r="B433" s="104"/>
      <c r="C433" s="104"/>
      <c r="D433" s="104"/>
      <c r="E433" s="107"/>
      <c r="F433" s="107"/>
      <c r="G433" s="107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</row>
    <row r="434" spans="1:27" ht="14.45">
      <c r="A434" s="104"/>
      <c r="B434" s="104"/>
      <c r="C434" s="104"/>
      <c r="D434" s="104"/>
      <c r="E434" s="107"/>
      <c r="F434" s="107"/>
      <c r="G434" s="107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</row>
    <row r="435" spans="1:27" ht="14.45">
      <c r="A435" s="104"/>
      <c r="B435" s="104"/>
      <c r="C435" s="104"/>
      <c r="D435" s="104"/>
      <c r="E435" s="107"/>
      <c r="F435" s="107"/>
      <c r="G435" s="107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</row>
    <row r="436" spans="1:27" ht="14.45">
      <c r="A436" s="104"/>
      <c r="B436" s="104"/>
      <c r="C436" s="104"/>
      <c r="D436" s="104"/>
      <c r="E436" s="107"/>
      <c r="F436" s="107"/>
      <c r="G436" s="107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</row>
    <row r="437" spans="1:27" ht="14.45">
      <c r="A437" s="104"/>
      <c r="B437" s="104"/>
      <c r="C437" s="104"/>
      <c r="D437" s="104"/>
      <c r="E437" s="107"/>
      <c r="F437" s="107"/>
      <c r="G437" s="107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</row>
    <row r="438" spans="1:27" ht="14.45">
      <c r="A438" s="104"/>
      <c r="B438" s="104"/>
      <c r="C438" s="104"/>
      <c r="D438" s="104"/>
      <c r="E438" s="107"/>
      <c r="F438" s="107"/>
      <c r="G438" s="107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</row>
    <row r="439" spans="1:27" ht="14.45">
      <c r="A439" s="104"/>
      <c r="B439" s="104"/>
      <c r="C439" s="104"/>
      <c r="D439" s="104"/>
      <c r="E439" s="107"/>
      <c r="F439" s="107"/>
      <c r="G439" s="107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</row>
    <row r="440" spans="1:27" ht="14.45">
      <c r="A440" s="104"/>
      <c r="B440" s="104"/>
      <c r="C440" s="104"/>
      <c r="D440" s="104"/>
      <c r="E440" s="107"/>
      <c r="F440" s="107"/>
      <c r="G440" s="107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</row>
    <row r="441" spans="1:27" ht="14.45">
      <c r="A441" s="104"/>
      <c r="B441" s="104"/>
      <c r="C441" s="104"/>
      <c r="D441" s="104"/>
      <c r="E441" s="107"/>
      <c r="F441" s="107"/>
      <c r="G441" s="107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</row>
    <row r="442" spans="1:27" ht="14.45">
      <c r="A442" s="104"/>
      <c r="B442" s="104"/>
      <c r="C442" s="104"/>
      <c r="D442" s="104"/>
      <c r="E442" s="107"/>
      <c r="F442" s="107"/>
      <c r="G442" s="107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</row>
    <row r="443" spans="1:27" ht="14.45">
      <c r="A443" s="104"/>
      <c r="B443" s="104"/>
      <c r="C443" s="104"/>
      <c r="D443" s="104"/>
      <c r="E443" s="107"/>
      <c r="F443" s="107"/>
      <c r="G443" s="107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</row>
    <row r="444" spans="1:27" ht="14.45">
      <c r="A444" s="104"/>
      <c r="B444" s="104"/>
      <c r="C444" s="104"/>
      <c r="D444" s="104"/>
      <c r="E444" s="107"/>
      <c r="F444" s="107"/>
      <c r="G444" s="107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</row>
    <row r="445" spans="1:27" ht="14.45">
      <c r="A445" s="104"/>
      <c r="B445" s="104"/>
      <c r="C445" s="104"/>
      <c r="D445" s="104"/>
      <c r="E445" s="107"/>
      <c r="F445" s="107"/>
      <c r="G445" s="107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</row>
    <row r="446" spans="1:27" ht="14.45">
      <c r="A446" s="104"/>
      <c r="B446" s="104"/>
      <c r="C446" s="104"/>
      <c r="D446" s="104"/>
      <c r="E446" s="107"/>
      <c r="F446" s="107"/>
      <c r="G446" s="107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</row>
    <row r="447" spans="1:27" ht="14.45">
      <c r="A447" s="104"/>
      <c r="B447" s="104"/>
      <c r="C447" s="104"/>
      <c r="D447" s="104"/>
      <c r="E447" s="107"/>
      <c r="F447" s="107"/>
      <c r="G447" s="107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</row>
    <row r="448" spans="1:27" ht="14.45">
      <c r="A448" s="104"/>
      <c r="B448" s="104"/>
      <c r="C448" s="104"/>
      <c r="D448" s="104"/>
      <c r="E448" s="107"/>
      <c r="F448" s="107"/>
      <c r="G448" s="107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</row>
    <row r="449" spans="1:27" ht="14.45">
      <c r="A449" s="104"/>
      <c r="B449" s="104"/>
      <c r="C449" s="104"/>
      <c r="D449" s="104"/>
      <c r="E449" s="107"/>
      <c r="F449" s="107"/>
      <c r="G449" s="107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</row>
    <row r="450" spans="1:27" ht="14.45">
      <c r="A450" s="104"/>
      <c r="B450" s="104"/>
      <c r="C450" s="104"/>
      <c r="D450" s="104"/>
      <c r="E450" s="107"/>
      <c r="F450" s="107"/>
      <c r="G450" s="107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</row>
    <row r="451" spans="1:27" ht="14.45">
      <c r="A451" s="104"/>
      <c r="B451" s="104"/>
      <c r="C451" s="104"/>
      <c r="D451" s="104"/>
      <c r="E451" s="107"/>
      <c r="F451" s="107"/>
      <c r="G451" s="107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</row>
    <row r="452" spans="1:27" ht="14.45">
      <c r="A452" s="104"/>
      <c r="B452" s="104"/>
      <c r="C452" s="104"/>
      <c r="D452" s="104"/>
      <c r="E452" s="107"/>
      <c r="F452" s="107"/>
      <c r="G452" s="107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</row>
    <row r="453" spans="1:27" ht="14.45">
      <c r="A453" s="104"/>
      <c r="B453" s="104"/>
      <c r="C453" s="104"/>
      <c r="D453" s="104"/>
      <c r="E453" s="107"/>
      <c r="F453" s="107"/>
      <c r="G453" s="107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</row>
    <row r="454" spans="1:27" ht="14.45">
      <c r="A454" s="104"/>
      <c r="B454" s="104"/>
      <c r="C454" s="104"/>
      <c r="D454" s="104"/>
      <c r="E454" s="107"/>
      <c r="F454" s="107"/>
      <c r="G454" s="107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</row>
    <row r="455" spans="1:27" ht="14.45">
      <c r="A455" s="104"/>
      <c r="B455" s="104"/>
      <c r="C455" s="104"/>
      <c r="D455" s="104"/>
      <c r="E455" s="107"/>
      <c r="F455" s="107"/>
      <c r="G455" s="107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</row>
    <row r="456" spans="1:27" ht="14.45">
      <c r="A456" s="104"/>
      <c r="B456" s="104"/>
      <c r="C456" s="104"/>
      <c r="D456" s="104"/>
      <c r="E456" s="107"/>
      <c r="F456" s="107"/>
      <c r="G456" s="107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</row>
    <row r="457" spans="1:27" ht="14.45">
      <c r="A457" s="104"/>
      <c r="B457" s="104"/>
      <c r="C457" s="104"/>
      <c r="D457" s="104"/>
      <c r="E457" s="107"/>
      <c r="F457" s="107"/>
      <c r="G457" s="107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</row>
    <row r="458" spans="1:27" ht="14.45">
      <c r="A458" s="104"/>
      <c r="B458" s="104"/>
      <c r="C458" s="104"/>
      <c r="D458" s="104"/>
      <c r="E458" s="107"/>
      <c r="F458" s="107"/>
      <c r="G458" s="107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</row>
    <row r="459" spans="1:27" ht="14.45">
      <c r="A459" s="104"/>
      <c r="B459" s="104"/>
      <c r="C459" s="104"/>
      <c r="D459" s="104"/>
      <c r="E459" s="107"/>
      <c r="F459" s="107"/>
      <c r="G459" s="107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</row>
    <row r="460" spans="1:27" ht="14.45">
      <c r="A460" s="104"/>
      <c r="B460" s="104"/>
      <c r="C460" s="104"/>
      <c r="D460" s="104"/>
      <c r="E460" s="107"/>
      <c r="F460" s="107"/>
      <c r="G460" s="107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</row>
    <row r="461" spans="1:27" ht="14.45">
      <c r="A461" s="104"/>
      <c r="B461" s="104"/>
      <c r="C461" s="104"/>
      <c r="D461" s="104"/>
      <c r="E461" s="107"/>
      <c r="F461" s="107"/>
      <c r="G461" s="107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</row>
    <row r="462" spans="1:27" ht="14.45">
      <c r="A462" s="104"/>
      <c r="B462" s="104"/>
      <c r="C462" s="104"/>
      <c r="D462" s="104"/>
      <c r="E462" s="107"/>
      <c r="F462" s="107"/>
      <c r="G462" s="107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</row>
    <row r="463" spans="1:27" ht="14.45">
      <c r="A463" s="104"/>
      <c r="B463" s="104"/>
      <c r="C463" s="104"/>
      <c r="D463" s="104"/>
      <c r="E463" s="107"/>
      <c r="F463" s="107"/>
      <c r="G463" s="107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</row>
    <row r="464" spans="1:27" ht="14.45">
      <c r="A464" s="104"/>
      <c r="B464" s="104"/>
      <c r="C464" s="104"/>
      <c r="D464" s="104"/>
      <c r="E464" s="107"/>
      <c r="F464" s="107"/>
      <c r="G464" s="107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</row>
    <row r="465" spans="1:27" ht="14.45">
      <c r="A465" s="104"/>
      <c r="B465" s="104"/>
      <c r="C465" s="104"/>
      <c r="D465" s="104"/>
      <c r="E465" s="107"/>
      <c r="F465" s="107"/>
      <c r="G465" s="107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</row>
    <row r="466" spans="1:27" ht="14.45">
      <c r="A466" s="104"/>
      <c r="B466" s="104"/>
      <c r="C466" s="104"/>
      <c r="D466" s="104"/>
      <c r="E466" s="107"/>
      <c r="F466" s="107"/>
      <c r="G466" s="107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</row>
    <row r="467" spans="1:27" ht="14.45">
      <c r="A467" s="104"/>
      <c r="B467" s="104"/>
      <c r="C467" s="104"/>
      <c r="D467" s="104"/>
      <c r="E467" s="107"/>
      <c r="F467" s="107"/>
      <c r="G467" s="107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</row>
    <row r="468" spans="1:27" ht="14.45">
      <c r="A468" s="104"/>
      <c r="B468" s="104"/>
      <c r="C468" s="104"/>
      <c r="D468" s="104"/>
      <c r="E468" s="107"/>
      <c r="F468" s="107"/>
      <c r="G468" s="107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</row>
    <row r="469" spans="1:27" ht="14.45">
      <c r="A469" s="104"/>
      <c r="B469" s="104"/>
      <c r="C469" s="104"/>
      <c r="D469" s="104"/>
      <c r="E469" s="107"/>
      <c r="F469" s="107"/>
      <c r="G469" s="107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</row>
    <row r="470" spans="1:27" ht="14.45">
      <c r="A470" s="104"/>
      <c r="B470" s="104"/>
      <c r="C470" s="104"/>
      <c r="D470" s="104"/>
      <c r="E470" s="107"/>
      <c r="F470" s="107"/>
      <c r="G470" s="107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</row>
    <row r="471" spans="1:27" ht="14.45">
      <c r="A471" s="104"/>
      <c r="B471" s="104"/>
      <c r="C471" s="104"/>
      <c r="D471" s="104"/>
      <c r="E471" s="107"/>
      <c r="F471" s="107"/>
      <c r="G471" s="107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</row>
    <row r="472" spans="1:27" ht="14.45">
      <c r="A472" s="104"/>
      <c r="B472" s="104"/>
      <c r="C472" s="104"/>
      <c r="D472" s="104"/>
      <c r="E472" s="107"/>
      <c r="F472" s="107"/>
      <c r="G472" s="107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</row>
    <row r="473" spans="1:27" ht="14.45">
      <c r="A473" s="104"/>
      <c r="B473" s="104"/>
      <c r="C473" s="104"/>
      <c r="D473" s="104"/>
      <c r="E473" s="107"/>
      <c r="F473" s="107"/>
      <c r="G473" s="107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</row>
    <row r="474" spans="1:27" ht="14.45">
      <c r="A474" s="104"/>
      <c r="B474" s="104"/>
      <c r="C474" s="104"/>
      <c r="D474" s="104"/>
      <c r="E474" s="107"/>
      <c r="F474" s="107"/>
      <c r="G474" s="107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</row>
    <row r="475" spans="1:27" ht="14.45">
      <c r="A475" s="104"/>
      <c r="B475" s="104"/>
      <c r="C475" s="104"/>
      <c r="D475" s="104"/>
      <c r="E475" s="107"/>
      <c r="F475" s="107"/>
      <c r="G475" s="107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</row>
    <row r="476" spans="1:27" ht="14.45">
      <c r="A476" s="104"/>
      <c r="B476" s="104"/>
      <c r="C476" s="104"/>
      <c r="D476" s="104"/>
      <c r="E476" s="107"/>
      <c r="F476" s="107"/>
      <c r="G476" s="107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</row>
    <row r="477" spans="1:27" ht="14.45">
      <c r="A477" s="104"/>
      <c r="B477" s="104"/>
      <c r="C477" s="104"/>
      <c r="D477" s="104"/>
      <c r="E477" s="107"/>
      <c r="F477" s="107"/>
      <c r="G477" s="107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</row>
    <row r="478" spans="1:27" ht="14.45">
      <c r="A478" s="104"/>
      <c r="B478" s="104"/>
      <c r="C478" s="104"/>
      <c r="D478" s="104"/>
      <c r="E478" s="107"/>
      <c r="F478" s="107"/>
      <c r="G478" s="107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</row>
    <row r="479" spans="1:27" ht="14.45">
      <c r="A479" s="104"/>
      <c r="B479" s="104"/>
      <c r="C479" s="104"/>
      <c r="D479" s="104"/>
      <c r="E479" s="107"/>
      <c r="F479" s="107"/>
      <c r="G479" s="107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</row>
    <row r="480" spans="1:27" ht="14.45">
      <c r="A480" s="104"/>
      <c r="B480" s="104"/>
      <c r="C480" s="104"/>
      <c r="D480" s="104"/>
      <c r="E480" s="107"/>
      <c r="F480" s="107"/>
      <c r="G480" s="107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</row>
    <row r="481" spans="1:27" ht="14.45">
      <c r="A481" s="104"/>
      <c r="B481" s="104"/>
      <c r="C481" s="104"/>
      <c r="D481" s="104"/>
      <c r="E481" s="107"/>
      <c r="F481" s="107"/>
      <c r="G481" s="107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</row>
    <row r="482" spans="1:27" ht="14.45">
      <c r="A482" s="104"/>
      <c r="B482" s="104"/>
      <c r="C482" s="104"/>
      <c r="D482" s="104"/>
      <c r="E482" s="107"/>
      <c r="F482" s="107"/>
      <c r="G482" s="107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</row>
    <row r="483" spans="1:27" ht="14.45">
      <c r="A483" s="104"/>
      <c r="B483" s="104"/>
      <c r="C483" s="104"/>
      <c r="D483" s="104"/>
      <c r="E483" s="107"/>
      <c r="F483" s="107"/>
      <c r="G483" s="107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</row>
    <row r="484" spans="1:27" ht="14.45">
      <c r="A484" s="104"/>
      <c r="B484" s="104"/>
      <c r="C484" s="104"/>
      <c r="D484" s="104"/>
      <c r="E484" s="107"/>
      <c r="F484" s="107"/>
      <c r="G484" s="107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</row>
    <row r="485" spans="1:27" ht="14.45">
      <c r="A485" s="104"/>
      <c r="B485" s="104"/>
      <c r="C485" s="104"/>
      <c r="D485" s="104"/>
      <c r="E485" s="107"/>
      <c r="F485" s="107"/>
      <c r="G485" s="107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</row>
    <row r="486" spans="1:27" ht="14.45">
      <c r="A486" s="104"/>
      <c r="B486" s="104"/>
      <c r="C486" s="104"/>
      <c r="D486" s="104"/>
      <c r="E486" s="107"/>
      <c r="F486" s="107"/>
      <c r="G486" s="107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</row>
    <row r="487" spans="1:27" ht="14.45">
      <c r="A487" s="104"/>
      <c r="B487" s="104"/>
      <c r="C487" s="104"/>
      <c r="D487" s="104"/>
      <c r="E487" s="107"/>
      <c r="F487" s="107"/>
      <c r="G487" s="107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</row>
    <row r="488" spans="1:27" ht="14.45">
      <c r="A488" s="104"/>
      <c r="B488" s="104"/>
      <c r="C488" s="104"/>
      <c r="D488" s="104"/>
      <c r="E488" s="107"/>
      <c r="F488" s="107"/>
      <c r="G488" s="107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</row>
    <row r="489" spans="1:27" ht="14.45">
      <c r="A489" s="104"/>
      <c r="B489" s="104"/>
      <c r="C489" s="104"/>
      <c r="D489" s="104"/>
      <c r="E489" s="107"/>
      <c r="F489" s="107"/>
      <c r="G489" s="107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</row>
    <row r="490" spans="1:27" ht="14.45">
      <c r="A490" s="104"/>
      <c r="B490" s="104"/>
      <c r="C490" s="104"/>
      <c r="D490" s="104"/>
      <c r="E490" s="107"/>
      <c r="F490" s="107"/>
      <c r="G490" s="107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</row>
    <row r="491" spans="1:27" ht="14.45">
      <c r="A491" s="104"/>
      <c r="B491" s="104"/>
      <c r="C491" s="104"/>
      <c r="D491" s="104"/>
      <c r="E491" s="107"/>
      <c r="F491" s="107"/>
      <c r="G491" s="107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</row>
    <row r="492" spans="1:27" ht="14.45">
      <c r="A492" s="104"/>
      <c r="B492" s="104"/>
      <c r="C492" s="104"/>
      <c r="D492" s="104"/>
      <c r="E492" s="107"/>
      <c r="F492" s="107"/>
      <c r="G492" s="107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</row>
    <row r="493" spans="1:27" ht="14.45">
      <c r="A493" s="104"/>
      <c r="B493" s="104"/>
      <c r="C493" s="104"/>
      <c r="D493" s="104"/>
      <c r="E493" s="107"/>
      <c r="F493" s="107"/>
      <c r="G493" s="107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</row>
    <row r="494" spans="1:27" ht="14.45">
      <c r="A494" s="104"/>
      <c r="B494" s="104"/>
      <c r="C494" s="104"/>
      <c r="D494" s="104"/>
      <c r="E494" s="107"/>
      <c r="F494" s="107"/>
      <c r="G494" s="107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</row>
    <row r="495" spans="1:27" ht="14.45">
      <c r="A495" s="104"/>
      <c r="B495" s="104"/>
      <c r="C495" s="104"/>
      <c r="D495" s="104"/>
      <c r="E495" s="107"/>
      <c r="F495" s="107"/>
      <c r="G495" s="107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</row>
    <row r="496" spans="1:27" ht="14.45">
      <c r="A496" s="104"/>
      <c r="B496" s="104"/>
      <c r="C496" s="104"/>
      <c r="D496" s="104"/>
      <c r="E496" s="107"/>
      <c r="F496" s="107"/>
      <c r="G496" s="107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</row>
    <row r="497" spans="1:27" ht="14.45">
      <c r="A497" s="104"/>
      <c r="B497" s="104"/>
      <c r="C497" s="104"/>
      <c r="D497" s="104"/>
      <c r="E497" s="107"/>
      <c r="F497" s="107"/>
      <c r="G497" s="107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</row>
    <row r="498" spans="1:27" ht="14.45">
      <c r="A498" s="104"/>
      <c r="B498" s="104"/>
      <c r="C498" s="104"/>
      <c r="D498" s="104"/>
      <c r="E498" s="107"/>
      <c r="F498" s="107"/>
      <c r="G498" s="107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</row>
    <row r="499" spans="1:27" ht="14.45">
      <c r="A499" s="104"/>
      <c r="B499" s="104"/>
      <c r="C499" s="104"/>
      <c r="D499" s="104"/>
      <c r="E499" s="107"/>
      <c r="F499" s="107"/>
      <c r="G499" s="107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</row>
    <row r="500" spans="1:27" ht="14.45">
      <c r="A500" s="104"/>
      <c r="B500" s="104"/>
      <c r="C500" s="104"/>
      <c r="D500" s="104"/>
      <c r="E500" s="107"/>
      <c r="F500" s="107"/>
      <c r="G500" s="107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</row>
    <row r="501" spans="1:27" ht="14.45">
      <c r="A501" s="104"/>
      <c r="B501" s="104"/>
      <c r="C501" s="104"/>
      <c r="D501" s="104"/>
      <c r="E501" s="107"/>
      <c r="F501" s="107"/>
      <c r="G501" s="107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</row>
    <row r="502" spans="1:27" ht="14.45">
      <c r="A502" s="104"/>
      <c r="B502" s="104"/>
      <c r="C502" s="104"/>
      <c r="D502" s="104"/>
      <c r="E502" s="107"/>
      <c r="F502" s="107"/>
      <c r="G502" s="107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</row>
    <row r="503" spans="1:27" ht="14.45">
      <c r="A503" s="104"/>
      <c r="B503" s="104"/>
      <c r="C503" s="104"/>
      <c r="D503" s="104"/>
      <c r="E503" s="107"/>
      <c r="F503" s="107"/>
      <c r="G503" s="107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</row>
    <row r="504" spans="1:27" ht="14.45">
      <c r="A504" s="104"/>
      <c r="B504" s="104"/>
      <c r="C504" s="104"/>
      <c r="D504" s="104"/>
      <c r="E504" s="107"/>
      <c r="F504" s="107"/>
      <c r="G504" s="107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</row>
    <row r="505" spans="1:27" ht="14.45">
      <c r="A505" s="104"/>
      <c r="B505" s="104"/>
      <c r="C505" s="104"/>
      <c r="D505" s="104"/>
      <c r="E505" s="107"/>
      <c r="F505" s="107"/>
      <c r="G505" s="107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</row>
    <row r="506" spans="1:27" ht="14.45">
      <c r="A506" s="104"/>
      <c r="B506" s="104"/>
      <c r="C506" s="104"/>
      <c r="D506" s="104"/>
      <c r="E506" s="107"/>
      <c r="F506" s="107"/>
      <c r="G506" s="107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</row>
    <row r="507" spans="1:27" ht="14.45">
      <c r="A507" s="104"/>
      <c r="B507" s="104"/>
      <c r="C507" s="104"/>
      <c r="D507" s="104"/>
      <c r="E507" s="107"/>
      <c r="F507" s="107"/>
      <c r="G507" s="107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</row>
    <row r="508" spans="1:27" ht="14.45">
      <c r="A508" s="104"/>
      <c r="B508" s="104"/>
      <c r="C508" s="104"/>
      <c r="D508" s="104"/>
      <c r="E508" s="107"/>
      <c r="F508" s="107"/>
      <c r="G508" s="107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</row>
    <row r="509" spans="1:27" ht="14.45">
      <c r="A509" s="104"/>
      <c r="B509" s="104"/>
      <c r="C509" s="104"/>
      <c r="D509" s="104"/>
      <c r="E509" s="107"/>
      <c r="F509" s="107"/>
      <c r="G509" s="107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</row>
    <row r="510" spans="1:27" ht="14.45">
      <c r="A510" s="104"/>
      <c r="B510" s="104"/>
      <c r="C510" s="104"/>
      <c r="D510" s="104"/>
      <c r="E510" s="107"/>
      <c r="F510" s="107"/>
      <c r="G510" s="107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</row>
    <row r="511" spans="1:27" ht="14.45">
      <c r="A511" s="104"/>
      <c r="B511" s="104"/>
      <c r="C511" s="104"/>
      <c r="D511" s="104"/>
      <c r="E511" s="107"/>
      <c r="F511" s="107"/>
      <c r="G511" s="107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</row>
    <row r="512" spans="1:27" ht="14.45">
      <c r="A512" s="104"/>
      <c r="B512" s="104"/>
      <c r="C512" s="104"/>
      <c r="D512" s="104"/>
      <c r="E512" s="107"/>
      <c r="F512" s="107"/>
      <c r="G512" s="107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</row>
    <row r="513" spans="1:27" ht="14.45">
      <c r="A513" s="104"/>
      <c r="B513" s="104"/>
      <c r="C513" s="104"/>
      <c r="D513" s="104"/>
      <c r="E513" s="107"/>
      <c r="F513" s="107"/>
      <c r="G513" s="107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</row>
    <row r="514" spans="1:27" ht="14.45">
      <c r="A514" s="104"/>
      <c r="B514" s="104"/>
      <c r="C514" s="104"/>
      <c r="D514" s="104"/>
      <c r="E514" s="107"/>
      <c r="F514" s="107"/>
      <c r="G514" s="107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</row>
    <row r="515" spans="1:27" ht="14.45">
      <c r="A515" s="104"/>
      <c r="B515" s="104"/>
      <c r="C515" s="104"/>
      <c r="D515" s="104"/>
      <c r="E515" s="107"/>
      <c r="F515" s="107"/>
      <c r="G515" s="107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</row>
    <row r="516" spans="1:27" ht="14.45">
      <c r="A516" s="104"/>
      <c r="B516" s="104"/>
      <c r="C516" s="104"/>
      <c r="D516" s="104"/>
      <c r="E516" s="107"/>
      <c r="F516" s="107"/>
      <c r="G516" s="107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</row>
    <row r="517" spans="1:27" ht="14.45">
      <c r="A517" s="104"/>
      <c r="B517" s="104"/>
      <c r="C517" s="104"/>
      <c r="D517" s="104"/>
      <c r="E517" s="107"/>
      <c r="F517" s="107"/>
      <c r="G517" s="107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</row>
    <row r="518" spans="1:27" ht="14.45">
      <c r="A518" s="104"/>
      <c r="B518" s="104"/>
      <c r="C518" s="104"/>
      <c r="D518" s="104"/>
      <c r="E518" s="107"/>
      <c r="F518" s="107"/>
      <c r="G518" s="107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</row>
    <row r="519" spans="1:27" ht="14.45">
      <c r="A519" s="104"/>
      <c r="B519" s="104"/>
      <c r="C519" s="104"/>
      <c r="D519" s="104"/>
      <c r="E519" s="107"/>
      <c r="F519" s="107"/>
      <c r="G519" s="107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</row>
    <row r="520" spans="1:27" ht="14.45">
      <c r="A520" s="104"/>
      <c r="B520" s="104"/>
      <c r="C520" s="104"/>
      <c r="D520" s="104"/>
      <c r="E520" s="107"/>
      <c r="F520" s="107"/>
      <c r="G520" s="107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</row>
    <row r="521" spans="1:27" ht="14.45">
      <c r="A521" s="104"/>
      <c r="B521" s="104"/>
      <c r="C521" s="104"/>
      <c r="D521" s="104"/>
      <c r="E521" s="107"/>
      <c r="F521" s="107"/>
      <c r="G521" s="107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</row>
    <row r="522" spans="1:27" ht="14.45">
      <c r="A522" s="104"/>
      <c r="B522" s="104"/>
      <c r="C522" s="104"/>
      <c r="D522" s="104"/>
      <c r="E522" s="107"/>
      <c r="F522" s="107"/>
      <c r="G522" s="107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</row>
    <row r="523" spans="1:27" ht="14.45">
      <c r="A523" s="104"/>
      <c r="B523" s="104"/>
      <c r="C523" s="104"/>
      <c r="D523" s="104"/>
      <c r="E523" s="107"/>
      <c r="F523" s="107"/>
      <c r="G523" s="107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</row>
    <row r="524" spans="1:27" ht="14.45">
      <c r="A524" s="104"/>
      <c r="B524" s="104"/>
      <c r="C524" s="104"/>
      <c r="D524" s="104"/>
      <c r="E524" s="107"/>
      <c r="F524" s="107"/>
      <c r="G524" s="107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</row>
    <row r="525" spans="1:27" ht="14.45">
      <c r="A525" s="104"/>
      <c r="B525" s="104"/>
      <c r="C525" s="104"/>
      <c r="D525" s="104"/>
      <c r="E525" s="107"/>
      <c r="F525" s="107"/>
      <c r="G525" s="107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</row>
    <row r="526" spans="1:27" ht="14.45">
      <c r="A526" s="104"/>
      <c r="B526" s="104"/>
      <c r="C526" s="104"/>
      <c r="D526" s="104"/>
      <c r="E526" s="107"/>
      <c r="F526" s="107"/>
      <c r="G526" s="107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</row>
    <row r="527" spans="1:27" ht="14.45">
      <c r="A527" s="104"/>
      <c r="B527" s="104"/>
      <c r="C527" s="104"/>
      <c r="D527" s="104"/>
      <c r="E527" s="107"/>
      <c r="F527" s="107"/>
      <c r="G527" s="107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</row>
    <row r="528" spans="1:27" ht="14.45">
      <c r="A528" s="104"/>
      <c r="B528" s="104"/>
      <c r="C528" s="104"/>
      <c r="D528" s="104"/>
      <c r="E528" s="107"/>
      <c r="F528" s="107"/>
      <c r="G528" s="107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</row>
    <row r="529" spans="1:27" ht="14.45">
      <c r="A529" s="104"/>
      <c r="B529" s="104"/>
      <c r="C529" s="104"/>
      <c r="D529" s="104"/>
      <c r="E529" s="107"/>
      <c r="F529" s="107"/>
      <c r="G529" s="107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</row>
    <row r="530" spans="1:27" ht="14.45">
      <c r="A530" s="104"/>
      <c r="B530" s="104"/>
      <c r="C530" s="104"/>
      <c r="D530" s="104"/>
      <c r="E530" s="107"/>
      <c r="F530" s="107"/>
      <c r="G530" s="107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</row>
    <row r="531" spans="1:27" ht="14.45">
      <c r="A531" s="104"/>
      <c r="B531" s="104"/>
      <c r="C531" s="104"/>
      <c r="D531" s="104"/>
      <c r="E531" s="107"/>
      <c r="F531" s="107"/>
      <c r="G531" s="107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</row>
    <row r="532" spans="1:27" ht="14.45">
      <c r="A532" s="104"/>
      <c r="B532" s="104"/>
      <c r="C532" s="104"/>
      <c r="D532" s="104"/>
      <c r="E532" s="107"/>
      <c r="F532" s="107"/>
      <c r="G532" s="107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</row>
    <row r="533" spans="1:27" ht="14.45">
      <c r="A533" s="104"/>
      <c r="B533" s="104"/>
      <c r="C533" s="104"/>
      <c r="D533" s="104"/>
      <c r="E533" s="107"/>
      <c r="F533" s="107"/>
      <c r="G533" s="107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</row>
    <row r="534" spans="1:27" ht="14.45">
      <c r="A534" s="104"/>
      <c r="B534" s="104"/>
      <c r="C534" s="104"/>
      <c r="D534" s="104"/>
      <c r="E534" s="107"/>
      <c r="F534" s="107"/>
      <c r="G534" s="107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</row>
    <row r="535" spans="1:27" ht="14.45">
      <c r="A535" s="104"/>
      <c r="B535" s="104"/>
      <c r="C535" s="104"/>
      <c r="D535" s="104"/>
      <c r="E535" s="107"/>
      <c r="F535" s="107"/>
      <c r="G535" s="107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</row>
    <row r="536" spans="1:27" ht="14.45">
      <c r="A536" s="104"/>
      <c r="B536" s="104"/>
      <c r="C536" s="104"/>
      <c r="D536" s="104"/>
      <c r="E536" s="107"/>
      <c r="F536" s="107"/>
      <c r="G536" s="107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</row>
    <row r="537" spans="1:27" ht="14.45">
      <c r="A537" s="104"/>
      <c r="B537" s="104"/>
      <c r="C537" s="104"/>
      <c r="D537" s="104"/>
      <c r="E537" s="107"/>
      <c r="F537" s="107"/>
      <c r="G537" s="107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</row>
    <row r="538" spans="1:27" ht="14.45">
      <c r="A538" s="104"/>
      <c r="B538" s="104"/>
      <c r="C538" s="104"/>
      <c r="D538" s="104"/>
      <c r="E538" s="107"/>
      <c r="F538" s="107"/>
      <c r="G538" s="107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</row>
    <row r="539" spans="1:27" ht="14.45">
      <c r="A539" s="104"/>
      <c r="B539" s="104"/>
      <c r="C539" s="104"/>
      <c r="D539" s="104"/>
      <c r="E539" s="107"/>
      <c r="F539" s="107"/>
      <c r="G539" s="107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</row>
    <row r="540" spans="1:27" ht="14.45">
      <c r="A540" s="104"/>
      <c r="B540" s="104"/>
      <c r="C540" s="104"/>
      <c r="D540" s="104"/>
      <c r="E540" s="107"/>
      <c r="F540" s="107"/>
      <c r="G540" s="107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</row>
    <row r="541" spans="1:27" ht="14.45">
      <c r="A541" s="104"/>
      <c r="B541" s="104"/>
      <c r="C541" s="104"/>
      <c r="D541" s="104"/>
      <c r="E541" s="107"/>
      <c r="F541" s="107"/>
      <c r="G541" s="107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</row>
    <row r="542" spans="1:27" ht="14.45">
      <c r="A542" s="104"/>
      <c r="B542" s="104"/>
      <c r="C542" s="104"/>
      <c r="D542" s="104"/>
      <c r="E542" s="107"/>
      <c r="F542" s="107"/>
      <c r="G542" s="107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</row>
    <row r="543" spans="1:27" ht="14.45">
      <c r="A543" s="104"/>
      <c r="B543" s="104"/>
      <c r="C543" s="104"/>
      <c r="D543" s="104"/>
      <c r="E543" s="107"/>
      <c r="F543" s="107"/>
      <c r="G543" s="107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</row>
    <row r="544" spans="1:27" ht="14.45">
      <c r="A544" s="104"/>
      <c r="B544" s="104"/>
      <c r="C544" s="104"/>
      <c r="D544" s="104"/>
      <c r="E544" s="107"/>
      <c r="F544" s="107"/>
      <c r="G544" s="107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</row>
    <row r="545" spans="1:27" ht="14.45">
      <c r="A545" s="104"/>
      <c r="B545" s="104"/>
      <c r="C545" s="104"/>
      <c r="D545" s="104"/>
      <c r="E545" s="107"/>
      <c r="F545" s="107"/>
      <c r="G545" s="107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</row>
    <row r="546" spans="1:27" ht="14.45">
      <c r="A546" s="104"/>
      <c r="B546" s="104"/>
      <c r="C546" s="104"/>
      <c r="D546" s="104"/>
      <c r="E546" s="107"/>
      <c r="F546" s="107"/>
      <c r="G546" s="107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</row>
    <row r="547" spans="1:27" ht="14.45">
      <c r="A547" s="104"/>
      <c r="B547" s="104"/>
      <c r="C547" s="104"/>
      <c r="D547" s="104"/>
      <c r="E547" s="107"/>
      <c r="F547" s="107"/>
      <c r="G547" s="107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</row>
    <row r="548" spans="1:27" ht="14.45">
      <c r="A548" s="104"/>
      <c r="B548" s="104"/>
      <c r="C548" s="104"/>
      <c r="D548" s="104"/>
      <c r="E548" s="107"/>
      <c r="F548" s="107"/>
      <c r="G548" s="107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</row>
    <row r="549" spans="1:27" ht="14.45">
      <c r="A549" s="104"/>
      <c r="B549" s="104"/>
      <c r="C549" s="104"/>
      <c r="D549" s="104"/>
      <c r="E549" s="107"/>
      <c r="F549" s="107"/>
      <c r="G549" s="107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</row>
    <row r="550" spans="1:27" ht="14.45">
      <c r="A550" s="104"/>
      <c r="B550" s="104"/>
      <c r="C550" s="104"/>
      <c r="D550" s="104"/>
      <c r="E550" s="107"/>
      <c r="F550" s="107"/>
      <c r="G550" s="107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</row>
    <row r="551" spans="1:27" ht="14.45">
      <c r="A551" s="104"/>
      <c r="B551" s="104"/>
      <c r="C551" s="104"/>
      <c r="D551" s="104"/>
      <c r="E551" s="107"/>
      <c r="F551" s="107"/>
      <c r="G551" s="107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</row>
    <row r="552" spans="1:27" ht="14.45">
      <c r="A552" s="104"/>
      <c r="B552" s="104"/>
      <c r="C552" s="104"/>
      <c r="D552" s="104"/>
      <c r="E552" s="107"/>
      <c r="F552" s="107"/>
      <c r="G552" s="107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</row>
    <row r="553" spans="1:27" ht="14.45">
      <c r="A553" s="104"/>
      <c r="B553" s="104"/>
      <c r="C553" s="104"/>
      <c r="D553" s="104"/>
      <c r="E553" s="107"/>
      <c r="F553" s="107"/>
      <c r="G553" s="107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</row>
    <row r="554" spans="1:27" ht="14.45">
      <c r="A554" s="104"/>
      <c r="B554" s="104"/>
      <c r="C554" s="104"/>
      <c r="D554" s="104"/>
      <c r="E554" s="107"/>
      <c r="F554" s="107"/>
      <c r="G554" s="107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</row>
    <row r="555" spans="1:27" ht="14.45">
      <c r="A555" s="104"/>
      <c r="B555" s="104"/>
      <c r="C555" s="104"/>
      <c r="D555" s="104"/>
      <c r="E555" s="107"/>
      <c r="F555" s="107"/>
      <c r="G555" s="107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</row>
    <row r="556" spans="1:27" ht="14.45">
      <c r="A556" s="104"/>
      <c r="B556" s="104"/>
      <c r="C556" s="104"/>
      <c r="D556" s="104"/>
      <c r="E556" s="107"/>
      <c r="F556" s="107"/>
      <c r="G556" s="107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</row>
    <row r="557" spans="1:27" ht="14.45">
      <c r="A557" s="104"/>
      <c r="B557" s="104"/>
      <c r="C557" s="104"/>
      <c r="D557" s="104"/>
      <c r="E557" s="107"/>
      <c r="F557" s="107"/>
      <c r="G557" s="107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</row>
    <row r="558" spans="1:27" ht="14.45">
      <c r="A558" s="104"/>
      <c r="B558" s="104"/>
      <c r="C558" s="104"/>
      <c r="D558" s="104"/>
      <c r="E558" s="107"/>
      <c r="F558" s="107"/>
      <c r="G558" s="107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</row>
    <row r="559" spans="1:27" ht="14.45">
      <c r="A559" s="104"/>
      <c r="B559" s="104"/>
      <c r="C559" s="104"/>
      <c r="D559" s="104"/>
      <c r="E559" s="107"/>
      <c r="F559" s="107"/>
      <c r="G559" s="107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</row>
    <row r="560" spans="1:27" ht="14.45">
      <c r="A560" s="104"/>
      <c r="B560" s="104"/>
      <c r="C560" s="104"/>
      <c r="D560" s="104"/>
      <c r="E560" s="107"/>
      <c r="F560" s="107"/>
      <c r="G560" s="107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</row>
    <row r="561" spans="1:27" ht="14.45">
      <c r="A561" s="104"/>
      <c r="B561" s="104"/>
      <c r="C561" s="104"/>
      <c r="D561" s="104"/>
      <c r="E561" s="107"/>
      <c r="F561" s="107"/>
      <c r="G561" s="107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</row>
    <row r="562" spans="1:27" ht="14.45">
      <c r="A562" s="104"/>
      <c r="B562" s="104"/>
      <c r="C562" s="104"/>
      <c r="D562" s="104"/>
      <c r="E562" s="107"/>
      <c r="F562" s="107"/>
      <c r="G562" s="107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</row>
    <row r="563" spans="1:27" ht="14.45">
      <c r="A563" s="104"/>
      <c r="B563" s="104"/>
      <c r="C563" s="104"/>
      <c r="D563" s="104"/>
      <c r="E563" s="107"/>
      <c r="F563" s="107"/>
      <c r="G563" s="107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</row>
    <row r="564" spans="1:27" ht="14.45">
      <c r="A564" s="104"/>
      <c r="B564" s="104"/>
      <c r="C564" s="104"/>
      <c r="D564" s="104"/>
      <c r="E564" s="107"/>
      <c r="F564" s="107"/>
      <c r="G564" s="107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</row>
    <row r="565" spans="1:27" ht="14.45">
      <c r="A565" s="104"/>
      <c r="B565" s="104"/>
      <c r="C565" s="104"/>
      <c r="D565" s="104"/>
      <c r="E565" s="107"/>
      <c r="F565" s="107"/>
      <c r="G565" s="107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</row>
    <row r="566" spans="1:27" ht="14.45">
      <c r="A566" s="104"/>
      <c r="B566" s="104"/>
      <c r="C566" s="104"/>
      <c r="D566" s="104"/>
      <c r="E566" s="107"/>
      <c r="F566" s="107"/>
      <c r="G566" s="107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</row>
    <row r="567" spans="1:27" ht="14.45">
      <c r="A567" s="104"/>
      <c r="B567" s="104"/>
      <c r="C567" s="104"/>
      <c r="D567" s="104"/>
      <c r="E567" s="107"/>
      <c r="F567" s="107"/>
      <c r="G567" s="107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</row>
    <row r="568" spans="1:27" ht="14.45">
      <c r="A568" s="104"/>
      <c r="B568" s="104"/>
      <c r="C568" s="104"/>
      <c r="D568" s="104"/>
      <c r="E568" s="107"/>
      <c r="F568" s="107"/>
      <c r="G568" s="107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</row>
    <row r="569" spans="1:27" ht="14.45">
      <c r="A569" s="104"/>
      <c r="B569" s="104"/>
      <c r="C569" s="104"/>
      <c r="D569" s="104"/>
      <c r="E569" s="107"/>
      <c r="F569" s="107"/>
      <c r="G569" s="107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</row>
    <row r="570" spans="1:27" ht="14.45">
      <c r="A570" s="104"/>
      <c r="B570" s="104"/>
      <c r="C570" s="104"/>
      <c r="D570" s="104"/>
      <c r="E570" s="107"/>
      <c r="F570" s="107"/>
      <c r="G570" s="107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</row>
    <row r="571" spans="1:27" ht="14.45">
      <c r="A571" s="104"/>
      <c r="B571" s="104"/>
      <c r="C571" s="104"/>
      <c r="D571" s="104"/>
      <c r="E571" s="107"/>
      <c r="F571" s="107"/>
      <c r="G571" s="107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</row>
    <row r="572" spans="1:27" ht="14.45">
      <c r="A572" s="104"/>
      <c r="B572" s="104"/>
      <c r="C572" s="104"/>
      <c r="D572" s="104"/>
      <c r="E572" s="107"/>
      <c r="F572" s="107"/>
      <c r="G572" s="107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</row>
    <row r="573" spans="1:27" ht="14.45">
      <c r="A573" s="104"/>
      <c r="B573" s="104"/>
      <c r="C573" s="104"/>
      <c r="D573" s="104"/>
      <c r="E573" s="107"/>
      <c r="F573" s="107"/>
      <c r="G573" s="107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</row>
    <row r="574" spans="1:27" ht="14.45">
      <c r="A574" s="104"/>
      <c r="B574" s="104"/>
      <c r="C574" s="104"/>
      <c r="D574" s="104"/>
      <c r="E574" s="107"/>
      <c r="F574" s="107"/>
      <c r="G574" s="107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</row>
    <row r="575" spans="1:27" ht="14.45">
      <c r="A575" s="104"/>
      <c r="B575" s="104"/>
      <c r="C575" s="104"/>
      <c r="D575" s="104"/>
      <c r="E575" s="107"/>
      <c r="F575" s="107"/>
      <c r="G575" s="107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</row>
    <row r="576" spans="1:27" ht="14.45">
      <c r="A576" s="104"/>
      <c r="B576" s="104"/>
      <c r="C576" s="104"/>
      <c r="D576" s="104"/>
      <c r="E576" s="107"/>
      <c r="F576" s="107"/>
      <c r="G576" s="107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</row>
    <row r="577" spans="1:27" ht="14.45">
      <c r="A577" s="104"/>
      <c r="B577" s="104"/>
      <c r="C577" s="104"/>
      <c r="D577" s="104"/>
      <c r="E577" s="107"/>
      <c r="F577" s="107"/>
      <c r="G577" s="107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</row>
    <row r="578" spans="1:27" ht="14.45">
      <c r="A578" s="104"/>
      <c r="B578" s="104"/>
      <c r="C578" s="104"/>
      <c r="D578" s="104"/>
      <c r="E578" s="107"/>
      <c r="F578" s="107"/>
      <c r="G578" s="107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</row>
    <row r="579" spans="1:27" ht="14.45">
      <c r="A579" s="104"/>
      <c r="B579" s="104"/>
      <c r="C579" s="104"/>
      <c r="D579" s="104"/>
      <c r="E579" s="107"/>
      <c r="F579" s="107"/>
      <c r="G579" s="107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</row>
    <row r="580" spans="1:27" ht="14.45">
      <c r="A580" s="104"/>
      <c r="B580" s="104"/>
      <c r="C580" s="104"/>
      <c r="D580" s="104"/>
      <c r="E580" s="107"/>
      <c r="F580" s="107"/>
      <c r="G580" s="107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</row>
    <row r="581" spans="1:27" ht="14.45">
      <c r="A581" s="104"/>
      <c r="B581" s="104"/>
      <c r="C581" s="104"/>
      <c r="D581" s="104"/>
      <c r="E581" s="107"/>
      <c r="F581" s="107"/>
      <c r="G581" s="107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</row>
    <row r="582" spans="1:27" ht="14.45">
      <c r="A582" s="104"/>
      <c r="B582" s="104"/>
      <c r="C582" s="104"/>
      <c r="D582" s="104"/>
      <c r="E582" s="107"/>
      <c r="F582" s="107"/>
      <c r="G582" s="107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</row>
    <row r="583" spans="1:27" ht="14.45">
      <c r="A583" s="104"/>
      <c r="B583" s="104"/>
      <c r="C583" s="104"/>
      <c r="D583" s="104"/>
      <c r="E583" s="107"/>
      <c r="F583" s="107"/>
      <c r="G583" s="107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</row>
    <row r="584" spans="1:27" ht="14.45">
      <c r="A584" s="104"/>
      <c r="B584" s="104"/>
      <c r="C584" s="104"/>
      <c r="D584" s="104"/>
      <c r="E584" s="107"/>
      <c r="F584" s="107"/>
      <c r="G584" s="107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</row>
    <row r="585" spans="1:27" ht="14.45">
      <c r="A585" s="104"/>
      <c r="B585" s="104"/>
      <c r="C585" s="104"/>
      <c r="D585" s="104"/>
      <c r="E585" s="107"/>
      <c r="F585" s="107"/>
      <c r="G585" s="107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</row>
    <row r="586" spans="1:27" ht="14.45">
      <c r="A586" s="104"/>
      <c r="B586" s="104"/>
      <c r="C586" s="104"/>
      <c r="D586" s="104"/>
      <c r="E586" s="107"/>
      <c r="F586" s="107"/>
      <c r="G586" s="107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</row>
    <row r="587" spans="1:27" ht="14.45">
      <c r="A587" s="104"/>
      <c r="B587" s="104"/>
      <c r="C587" s="104"/>
      <c r="D587" s="104"/>
      <c r="E587" s="107"/>
      <c r="F587" s="107"/>
      <c r="G587" s="107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</row>
    <row r="588" spans="1:27" ht="14.45">
      <c r="A588" s="104"/>
      <c r="B588" s="104"/>
      <c r="C588" s="104"/>
      <c r="D588" s="104"/>
      <c r="E588" s="107"/>
      <c r="F588" s="107"/>
      <c r="G588" s="107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</row>
    <row r="589" spans="1:27" ht="14.45">
      <c r="A589" s="104"/>
      <c r="B589" s="104"/>
      <c r="C589" s="104"/>
      <c r="D589" s="104"/>
      <c r="E589" s="107"/>
      <c r="F589" s="107"/>
      <c r="G589" s="107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</row>
    <row r="590" spans="1:27" ht="14.45">
      <c r="A590" s="104"/>
      <c r="B590" s="104"/>
      <c r="C590" s="104"/>
      <c r="D590" s="104"/>
      <c r="E590" s="107"/>
      <c r="F590" s="107"/>
      <c r="G590" s="107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</row>
    <row r="591" spans="1:27" ht="14.45">
      <c r="A591" s="104"/>
      <c r="B591" s="104"/>
      <c r="C591" s="104"/>
      <c r="D591" s="104"/>
      <c r="E591" s="107"/>
      <c r="F591" s="107"/>
      <c r="G591" s="107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</row>
    <row r="592" spans="1:27" ht="14.45">
      <c r="A592" s="104"/>
      <c r="B592" s="104"/>
      <c r="C592" s="104"/>
      <c r="D592" s="104"/>
      <c r="E592" s="107"/>
      <c r="F592" s="107"/>
      <c r="G592" s="107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</row>
    <row r="593" spans="1:27" ht="14.45">
      <c r="A593" s="104"/>
      <c r="B593" s="104"/>
      <c r="C593" s="104"/>
      <c r="D593" s="104"/>
      <c r="E593" s="107"/>
      <c r="F593" s="107"/>
      <c r="G593" s="107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</row>
    <row r="594" spans="1:27" ht="14.45">
      <c r="A594" s="104"/>
      <c r="B594" s="104"/>
      <c r="C594" s="104"/>
      <c r="D594" s="104"/>
      <c r="E594" s="107"/>
      <c r="F594" s="107"/>
      <c r="G594" s="107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</row>
    <row r="595" spans="1:27" ht="14.45">
      <c r="A595" s="104"/>
      <c r="B595" s="104"/>
      <c r="C595" s="104"/>
      <c r="D595" s="104"/>
      <c r="E595" s="107"/>
      <c r="F595" s="107"/>
      <c r="G595" s="107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</row>
    <row r="596" spans="1:27" ht="14.45">
      <c r="A596" s="104"/>
      <c r="B596" s="104"/>
      <c r="C596" s="104"/>
      <c r="D596" s="104"/>
      <c r="E596" s="107"/>
      <c r="F596" s="107"/>
      <c r="G596" s="107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</row>
    <row r="597" spans="1:27" ht="14.45">
      <c r="A597" s="104"/>
      <c r="B597" s="104"/>
      <c r="C597" s="104"/>
      <c r="D597" s="104"/>
      <c r="E597" s="107"/>
      <c r="F597" s="107"/>
      <c r="G597" s="107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</row>
    <row r="598" spans="1:27" ht="14.45">
      <c r="A598" s="104"/>
      <c r="B598" s="104"/>
      <c r="C598" s="104"/>
      <c r="D598" s="104"/>
      <c r="E598" s="107"/>
      <c r="F598" s="107"/>
      <c r="G598" s="107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</row>
    <row r="599" spans="1:27" ht="14.45">
      <c r="A599" s="104"/>
      <c r="B599" s="104"/>
      <c r="C599" s="104"/>
      <c r="D599" s="104"/>
      <c r="E599" s="107"/>
      <c r="F599" s="107"/>
      <c r="G599" s="107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</row>
    <row r="600" spans="1:27" ht="14.45">
      <c r="A600" s="104"/>
      <c r="B600" s="104"/>
      <c r="C600" s="104"/>
      <c r="D600" s="104"/>
      <c r="E600" s="107"/>
      <c r="F600" s="107"/>
      <c r="G600" s="107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</row>
    <row r="601" spans="1:27" ht="14.45">
      <c r="A601" s="104"/>
      <c r="B601" s="104"/>
      <c r="C601" s="104"/>
      <c r="D601" s="104"/>
      <c r="E601" s="107"/>
      <c r="F601" s="107"/>
      <c r="G601" s="107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</row>
    <row r="602" spans="1:27" ht="14.45">
      <c r="A602" s="104"/>
      <c r="B602" s="104"/>
      <c r="C602" s="104"/>
      <c r="D602" s="104"/>
      <c r="E602" s="107"/>
      <c r="F602" s="107"/>
      <c r="G602" s="107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</row>
    <row r="603" spans="1:27" ht="14.45">
      <c r="A603" s="104"/>
      <c r="B603" s="104"/>
      <c r="C603" s="104"/>
      <c r="D603" s="104"/>
      <c r="E603" s="107"/>
      <c r="F603" s="107"/>
      <c r="G603" s="107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</row>
    <row r="604" spans="1:27" ht="14.45">
      <c r="A604" s="104"/>
      <c r="B604" s="104"/>
      <c r="C604" s="104"/>
      <c r="D604" s="104"/>
      <c r="E604" s="107"/>
      <c r="F604" s="107"/>
      <c r="G604" s="107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</row>
    <row r="605" spans="1:27" ht="14.45">
      <c r="A605" s="104"/>
      <c r="B605" s="104"/>
      <c r="C605" s="104"/>
      <c r="D605" s="104"/>
      <c r="E605" s="107"/>
      <c r="F605" s="107"/>
      <c r="G605" s="107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</row>
    <row r="606" spans="1:27" ht="14.45">
      <c r="A606" s="104"/>
      <c r="B606" s="104"/>
      <c r="C606" s="104"/>
      <c r="D606" s="104"/>
      <c r="E606" s="107"/>
      <c r="F606" s="107"/>
      <c r="G606" s="107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</row>
    <row r="607" spans="1:27" ht="14.45">
      <c r="A607" s="104"/>
      <c r="B607" s="104"/>
      <c r="C607" s="104"/>
      <c r="D607" s="104"/>
      <c r="E607" s="107"/>
      <c r="F607" s="107"/>
      <c r="G607" s="107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</row>
    <row r="608" spans="1:27" ht="14.45">
      <c r="A608" s="104"/>
      <c r="B608" s="104"/>
      <c r="C608" s="104"/>
      <c r="D608" s="104"/>
      <c r="E608" s="107"/>
      <c r="F608" s="107"/>
      <c r="G608" s="107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</row>
    <row r="609" spans="1:27" ht="14.45">
      <c r="A609" s="104"/>
      <c r="B609" s="104"/>
      <c r="C609" s="104"/>
      <c r="D609" s="104"/>
      <c r="E609" s="107"/>
      <c r="F609" s="107"/>
      <c r="G609" s="107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</row>
    <row r="610" spans="1:27" ht="14.45">
      <c r="A610" s="104"/>
      <c r="B610" s="104"/>
      <c r="C610" s="104"/>
      <c r="D610" s="104"/>
      <c r="E610" s="107"/>
      <c r="F610" s="107"/>
      <c r="G610" s="107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</row>
    <row r="611" spans="1:27" ht="14.45">
      <c r="A611" s="104"/>
      <c r="B611" s="104"/>
      <c r="C611" s="104"/>
      <c r="D611" s="104"/>
      <c r="E611" s="107"/>
      <c r="F611" s="107"/>
      <c r="G611" s="107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</row>
    <row r="612" spans="1:27" ht="14.45">
      <c r="A612" s="104"/>
      <c r="B612" s="104"/>
      <c r="C612" s="104"/>
      <c r="D612" s="104"/>
      <c r="E612" s="107"/>
      <c r="F612" s="107"/>
      <c r="G612" s="107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</row>
    <row r="613" spans="1:27" ht="14.45">
      <c r="A613" s="104"/>
      <c r="B613" s="104"/>
      <c r="C613" s="104"/>
      <c r="D613" s="104"/>
      <c r="E613" s="107"/>
      <c r="F613" s="107"/>
      <c r="G613" s="107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</row>
    <row r="614" spans="1:27" ht="14.45">
      <c r="A614" s="104"/>
      <c r="B614" s="104"/>
      <c r="C614" s="104"/>
      <c r="D614" s="104"/>
      <c r="E614" s="107"/>
      <c r="F614" s="107"/>
      <c r="G614" s="107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</row>
    <row r="615" spans="1:27" ht="14.45">
      <c r="A615" s="104"/>
      <c r="B615" s="104"/>
      <c r="C615" s="104"/>
      <c r="D615" s="104"/>
      <c r="E615" s="107"/>
      <c r="F615" s="107"/>
      <c r="G615" s="107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</row>
    <row r="616" spans="1:27" ht="14.45">
      <c r="A616" s="104"/>
      <c r="B616" s="104"/>
      <c r="C616" s="104"/>
      <c r="D616" s="104"/>
      <c r="E616" s="107"/>
      <c r="F616" s="107"/>
      <c r="G616" s="107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</row>
    <row r="617" spans="1:27" ht="14.45">
      <c r="A617" s="104"/>
      <c r="B617" s="104"/>
      <c r="C617" s="104"/>
      <c r="D617" s="104"/>
      <c r="E617" s="107"/>
      <c r="F617" s="107"/>
      <c r="G617" s="107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</row>
    <row r="618" spans="1:27" ht="14.45">
      <c r="A618" s="104"/>
      <c r="B618" s="104"/>
      <c r="C618" s="104"/>
      <c r="D618" s="104"/>
      <c r="E618" s="107"/>
      <c r="F618" s="107"/>
      <c r="G618" s="107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</row>
    <row r="619" spans="1:27" ht="14.45">
      <c r="A619" s="104"/>
      <c r="B619" s="104"/>
      <c r="C619" s="104"/>
      <c r="D619" s="104"/>
      <c r="E619" s="107"/>
      <c r="F619" s="107"/>
      <c r="G619" s="107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</row>
    <row r="620" spans="1:27" ht="14.45">
      <c r="A620" s="104"/>
      <c r="B620" s="104"/>
      <c r="C620" s="104"/>
      <c r="D620" s="104"/>
      <c r="E620" s="107"/>
      <c r="F620" s="107"/>
      <c r="G620" s="107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</row>
    <row r="621" spans="1:27" ht="14.45">
      <c r="A621" s="104"/>
      <c r="B621" s="104"/>
      <c r="C621" s="104"/>
      <c r="D621" s="104"/>
      <c r="E621" s="107"/>
      <c r="F621" s="107"/>
      <c r="G621" s="107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</row>
    <row r="622" spans="1:27" ht="14.45">
      <c r="A622" s="104"/>
      <c r="B622" s="104"/>
      <c r="C622" s="104"/>
      <c r="D622" s="104"/>
      <c r="E622" s="107"/>
      <c r="F622" s="107"/>
      <c r="G622" s="107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</row>
    <row r="623" spans="1:27" ht="14.45">
      <c r="A623" s="104"/>
      <c r="B623" s="104"/>
      <c r="C623" s="104"/>
      <c r="D623" s="104"/>
      <c r="E623" s="107"/>
      <c r="F623" s="107"/>
      <c r="G623" s="107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</row>
    <row r="624" spans="1:27" ht="14.45">
      <c r="A624" s="104"/>
      <c r="B624" s="104"/>
      <c r="C624" s="104"/>
      <c r="D624" s="104"/>
      <c r="E624" s="107"/>
      <c r="F624" s="107"/>
      <c r="G624" s="107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</row>
    <row r="625" spans="1:27" ht="14.45">
      <c r="A625" s="104"/>
      <c r="B625" s="104"/>
      <c r="C625" s="104"/>
      <c r="D625" s="104"/>
      <c r="E625" s="107"/>
      <c r="F625" s="107"/>
      <c r="G625" s="107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</row>
    <row r="626" spans="1:27" ht="14.45">
      <c r="A626" s="104"/>
      <c r="B626" s="104"/>
      <c r="C626" s="104"/>
      <c r="D626" s="104"/>
      <c r="E626" s="107"/>
      <c r="F626" s="107"/>
      <c r="G626" s="107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</row>
    <row r="627" spans="1:27" ht="14.45">
      <c r="A627" s="104"/>
      <c r="B627" s="104"/>
      <c r="C627" s="104"/>
      <c r="D627" s="104"/>
      <c r="E627" s="107"/>
      <c r="F627" s="107"/>
      <c r="G627" s="107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</row>
    <row r="628" spans="1:27" ht="14.45">
      <c r="A628" s="104"/>
      <c r="B628" s="104"/>
      <c r="C628" s="104"/>
      <c r="D628" s="104"/>
      <c r="E628" s="107"/>
      <c r="F628" s="107"/>
      <c r="G628" s="107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</row>
    <row r="629" spans="1:27" ht="14.45">
      <c r="A629" s="104"/>
      <c r="B629" s="104"/>
      <c r="C629" s="104"/>
      <c r="D629" s="104"/>
      <c r="E629" s="107"/>
      <c r="F629" s="107"/>
      <c r="G629" s="107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</row>
    <row r="630" spans="1:27" ht="14.45">
      <c r="A630" s="104"/>
      <c r="B630" s="104"/>
      <c r="C630" s="104"/>
      <c r="D630" s="104"/>
      <c r="E630" s="107"/>
      <c r="F630" s="107"/>
      <c r="G630" s="107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</row>
    <row r="631" spans="1:27" ht="14.45">
      <c r="A631" s="104"/>
      <c r="B631" s="104"/>
      <c r="C631" s="104"/>
      <c r="D631" s="104"/>
      <c r="E631" s="107"/>
      <c r="F631" s="107"/>
      <c r="G631" s="107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</row>
    <row r="632" spans="1:27" ht="14.45">
      <c r="A632" s="104"/>
      <c r="B632" s="104"/>
      <c r="C632" s="104"/>
      <c r="D632" s="104"/>
      <c r="E632" s="107"/>
      <c r="F632" s="107"/>
      <c r="G632" s="107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</row>
    <row r="633" spans="1:27" ht="14.45">
      <c r="A633" s="104"/>
      <c r="B633" s="104"/>
      <c r="C633" s="104"/>
      <c r="D633" s="104"/>
      <c r="E633" s="107"/>
      <c r="F633" s="107"/>
      <c r="G633" s="107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</row>
    <row r="634" spans="1:27" ht="14.45">
      <c r="A634" s="104"/>
      <c r="B634" s="104"/>
      <c r="C634" s="104"/>
      <c r="D634" s="104"/>
      <c r="E634" s="107"/>
      <c r="F634" s="107"/>
      <c r="G634" s="107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</row>
    <row r="635" spans="1:27" ht="14.45">
      <c r="A635" s="104"/>
      <c r="B635" s="104"/>
      <c r="C635" s="104"/>
      <c r="D635" s="104"/>
      <c r="E635" s="107"/>
      <c r="F635" s="107"/>
      <c r="G635" s="107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</row>
    <row r="636" spans="1:27" ht="14.45">
      <c r="A636" s="104"/>
      <c r="B636" s="104"/>
      <c r="C636" s="104"/>
      <c r="D636" s="104"/>
      <c r="E636" s="107"/>
      <c r="F636" s="107"/>
      <c r="G636" s="107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</row>
    <row r="637" spans="1:27" ht="14.45">
      <c r="A637" s="104"/>
      <c r="B637" s="104"/>
      <c r="C637" s="104"/>
      <c r="D637" s="104"/>
      <c r="E637" s="107"/>
      <c r="F637" s="107"/>
      <c r="G637" s="107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</row>
    <row r="638" spans="1:27" ht="14.45">
      <c r="A638" s="104"/>
      <c r="B638" s="104"/>
      <c r="C638" s="104"/>
      <c r="D638" s="104"/>
      <c r="E638" s="107"/>
      <c r="F638" s="107"/>
      <c r="G638" s="107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</row>
    <row r="639" spans="1:27" ht="14.45">
      <c r="A639" s="104"/>
      <c r="B639" s="104"/>
      <c r="C639" s="104"/>
      <c r="D639" s="104"/>
      <c r="E639" s="107"/>
      <c r="F639" s="107"/>
      <c r="G639" s="107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</row>
    <row r="640" spans="1:27" ht="14.45">
      <c r="A640" s="104"/>
      <c r="B640" s="104"/>
      <c r="C640" s="104"/>
      <c r="D640" s="104"/>
      <c r="E640" s="107"/>
      <c r="F640" s="107"/>
      <c r="G640" s="107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</row>
    <row r="641" spans="1:27" ht="14.45">
      <c r="A641" s="104"/>
      <c r="B641" s="104"/>
      <c r="C641" s="104"/>
      <c r="D641" s="104"/>
      <c r="E641" s="107"/>
      <c r="F641" s="107"/>
      <c r="G641" s="107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</row>
    <row r="642" spans="1:27" ht="14.45">
      <c r="A642" s="104"/>
      <c r="B642" s="104"/>
      <c r="C642" s="104"/>
      <c r="D642" s="104"/>
      <c r="E642" s="107"/>
      <c r="F642" s="107"/>
      <c r="G642" s="107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</row>
    <row r="643" spans="1:27" ht="14.45">
      <c r="A643" s="104"/>
      <c r="B643" s="104"/>
      <c r="C643" s="104"/>
      <c r="D643" s="104"/>
      <c r="E643" s="107"/>
      <c r="F643" s="107"/>
      <c r="G643" s="107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</row>
    <row r="644" spans="1:27" ht="14.45">
      <c r="A644" s="104"/>
      <c r="B644" s="104"/>
      <c r="C644" s="104"/>
      <c r="D644" s="104"/>
      <c r="E644" s="107"/>
      <c r="F644" s="107"/>
      <c r="G644" s="107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</row>
    <row r="645" spans="1:27" ht="14.45">
      <c r="A645" s="104"/>
      <c r="B645" s="104"/>
      <c r="C645" s="104"/>
      <c r="D645" s="104"/>
      <c r="E645" s="107"/>
      <c r="F645" s="107"/>
      <c r="G645" s="107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</row>
    <row r="646" spans="1:27" ht="14.45">
      <c r="A646" s="104"/>
      <c r="B646" s="104"/>
      <c r="C646" s="104"/>
      <c r="D646" s="104"/>
      <c r="E646" s="107"/>
      <c r="F646" s="107"/>
      <c r="G646" s="107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</row>
    <row r="647" spans="1:27" ht="14.45">
      <c r="A647" s="104"/>
      <c r="B647" s="104"/>
      <c r="C647" s="104"/>
      <c r="D647" s="104"/>
      <c r="E647" s="107"/>
      <c r="F647" s="107"/>
      <c r="G647" s="107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</row>
    <row r="648" spans="1:27" ht="14.45">
      <c r="A648" s="104"/>
      <c r="B648" s="104"/>
      <c r="C648" s="104"/>
      <c r="D648" s="104"/>
      <c r="E648" s="107"/>
      <c r="F648" s="107"/>
      <c r="G648" s="107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</row>
    <row r="649" spans="1:27" ht="14.45">
      <c r="A649" s="104"/>
      <c r="B649" s="104"/>
      <c r="C649" s="104"/>
      <c r="D649" s="104"/>
      <c r="E649" s="107"/>
      <c r="F649" s="107"/>
      <c r="G649" s="107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</row>
    <row r="650" spans="1:27" ht="14.45">
      <c r="A650" s="104"/>
      <c r="B650" s="104"/>
      <c r="C650" s="104"/>
      <c r="D650" s="104"/>
      <c r="E650" s="107"/>
      <c r="F650" s="107"/>
      <c r="G650" s="107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</row>
    <row r="651" spans="1:27" ht="14.45">
      <c r="A651" s="104"/>
      <c r="B651" s="104"/>
      <c r="C651" s="104"/>
      <c r="D651" s="104"/>
      <c r="E651" s="107"/>
      <c r="F651" s="107"/>
      <c r="G651" s="107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</row>
    <row r="652" spans="1:27" ht="14.45">
      <c r="A652" s="104"/>
      <c r="B652" s="104"/>
      <c r="C652" s="104"/>
      <c r="D652" s="104"/>
      <c r="E652" s="107"/>
      <c r="F652" s="107"/>
      <c r="G652" s="107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</row>
    <row r="653" spans="1:27" ht="14.45">
      <c r="A653" s="104"/>
      <c r="B653" s="104"/>
      <c r="C653" s="104"/>
      <c r="D653" s="104"/>
      <c r="E653" s="107"/>
      <c r="F653" s="107"/>
      <c r="G653" s="107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</row>
    <row r="654" spans="1:27" ht="14.45">
      <c r="A654" s="104"/>
      <c r="B654" s="104"/>
      <c r="C654" s="104"/>
      <c r="D654" s="104"/>
      <c r="E654" s="107"/>
      <c r="F654" s="107"/>
      <c r="G654" s="107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</row>
    <row r="655" spans="1:27" ht="14.45">
      <c r="A655" s="104"/>
      <c r="B655" s="104"/>
      <c r="C655" s="104"/>
      <c r="D655" s="104"/>
      <c r="E655" s="107"/>
      <c r="F655" s="107"/>
      <c r="G655" s="107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</row>
    <row r="656" spans="1:27" ht="14.45">
      <c r="A656" s="104"/>
      <c r="B656" s="104"/>
      <c r="C656" s="104"/>
      <c r="D656" s="104"/>
      <c r="E656" s="107"/>
      <c r="F656" s="107"/>
      <c r="G656" s="107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</row>
    <row r="657" spans="1:27" ht="14.45">
      <c r="A657" s="104"/>
      <c r="B657" s="104"/>
      <c r="C657" s="104"/>
      <c r="D657" s="104"/>
      <c r="E657" s="107"/>
      <c r="F657" s="107"/>
      <c r="G657" s="107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</row>
    <row r="658" spans="1:27" ht="14.45">
      <c r="A658" s="104"/>
      <c r="B658" s="104"/>
      <c r="C658" s="104"/>
      <c r="D658" s="104"/>
      <c r="E658" s="107"/>
      <c r="F658" s="107"/>
      <c r="G658" s="107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</row>
    <row r="659" spans="1:27" ht="14.45">
      <c r="A659" s="104"/>
      <c r="B659" s="104"/>
      <c r="C659" s="104"/>
      <c r="D659" s="104"/>
      <c r="E659" s="107"/>
      <c r="F659" s="107"/>
      <c r="G659" s="107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</row>
    <row r="660" spans="1:27" ht="14.45">
      <c r="A660" s="104"/>
      <c r="B660" s="104"/>
      <c r="C660" s="104"/>
      <c r="D660" s="104"/>
      <c r="E660" s="107"/>
      <c r="F660" s="107"/>
      <c r="G660" s="107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</row>
    <row r="661" spans="1:27" ht="14.45">
      <c r="A661" s="104"/>
      <c r="B661" s="104"/>
      <c r="C661" s="104"/>
      <c r="D661" s="104"/>
      <c r="E661" s="107"/>
      <c r="F661" s="107"/>
      <c r="G661" s="107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</row>
    <row r="662" spans="1:27" ht="14.45">
      <c r="A662" s="104"/>
      <c r="B662" s="104"/>
      <c r="C662" s="104"/>
      <c r="D662" s="104"/>
      <c r="E662" s="107"/>
      <c r="F662" s="107"/>
      <c r="G662" s="107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</row>
    <row r="663" spans="1:27" ht="14.45">
      <c r="A663" s="104"/>
      <c r="B663" s="104"/>
      <c r="C663" s="104"/>
      <c r="D663" s="104"/>
      <c r="E663" s="107"/>
      <c r="F663" s="107"/>
      <c r="G663" s="107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</row>
    <row r="664" spans="1:27" ht="14.45">
      <c r="A664" s="104"/>
      <c r="B664" s="104"/>
      <c r="C664" s="104"/>
      <c r="D664" s="104"/>
      <c r="E664" s="107"/>
      <c r="F664" s="107"/>
      <c r="G664" s="107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</row>
    <row r="665" spans="1:27" ht="14.45">
      <c r="A665" s="104"/>
      <c r="B665" s="104"/>
      <c r="C665" s="104"/>
      <c r="D665" s="104"/>
      <c r="E665" s="107"/>
      <c r="F665" s="107"/>
      <c r="G665" s="107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</row>
    <row r="666" spans="1:27" ht="14.45">
      <c r="A666" s="104"/>
      <c r="B666" s="104"/>
      <c r="C666" s="104"/>
      <c r="D666" s="104"/>
      <c r="E666" s="107"/>
      <c r="F666" s="107"/>
      <c r="G666" s="107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</row>
    <row r="667" spans="1:27" ht="14.45">
      <c r="A667" s="104"/>
      <c r="B667" s="104"/>
      <c r="C667" s="104"/>
      <c r="D667" s="104"/>
      <c r="E667" s="107"/>
      <c r="F667" s="107"/>
      <c r="G667" s="107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</row>
    <row r="668" spans="1:27" ht="14.45">
      <c r="A668" s="104"/>
      <c r="B668" s="104"/>
      <c r="C668" s="104"/>
      <c r="D668" s="104"/>
      <c r="E668" s="107"/>
      <c r="F668" s="107"/>
      <c r="G668" s="107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</row>
    <row r="669" spans="1:27" ht="14.45">
      <c r="A669" s="104"/>
      <c r="B669" s="104"/>
      <c r="C669" s="104"/>
      <c r="D669" s="104"/>
      <c r="E669" s="107"/>
      <c r="F669" s="107"/>
      <c r="G669" s="107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</row>
    <row r="670" spans="1:27" ht="14.45">
      <c r="A670" s="104"/>
      <c r="B670" s="104"/>
      <c r="C670" s="104"/>
      <c r="D670" s="104"/>
      <c r="E670" s="107"/>
      <c r="F670" s="107"/>
      <c r="G670" s="107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</row>
    <row r="671" spans="1:27" ht="14.45">
      <c r="A671" s="104"/>
      <c r="B671" s="104"/>
      <c r="C671" s="104"/>
      <c r="D671" s="104"/>
      <c r="E671" s="107"/>
      <c r="F671" s="107"/>
      <c r="G671" s="107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</row>
    <row r="672" spans="1:27" ht="14.45">
      <c r="A672" s="104"/>
      <c r="B672" s="104"/>
      <c r="C672" s="104"/>
      <c r="D672" s="104"/>
      <c r="E672" s="107"/>
      <c r="F672" s="107"/>
      <c r="G672" s="107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</row>
    <row r="673" spans="1:27" ht="14.45">
      <c r="A673" s="104"/>
      <c r="B673" s="104"/>
      <c r="C673" s="104"/>
      <c r="D673" s="104"/>
      <c r="E673" s="107"/>
      <c r="F673" s="107"/>
      <c r="G673" s="107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</row>
    <row r="674" spans="1:27" ht="14.45">
      <c r="A674" s="104"/>
      <c r="B674" s="104"/>
      <c r="C674" s="104"/>
      <c r="D674" s="104"/>
      <c r="E674" s="107"/>
      <c r="F674" s="107"/>
      <c r="G674" s="107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</row>
    <row r="675" spans="1:27" ht="14.45">
      <c r="A675" s="104"/>
      <c r="B675" s="104"/>
      <c r="C675" s="104"/>
      <c r="D675" s="104"/>
      <c r="E675" s="107"/>
      <c r="F675" s="107"/>
      <c r="G675" s="107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</row>
    <row r="676" spans="1:27" ht="14.45">
      <c r="A676" s="104"/>
      <c r="B676" s="104"/>
      <c r="C676" s="104"/>
      <c r="D676" s="104"/>
      <c r="E676" s="107"/>
      <c r="F676" s="107"/>
      <c r="G676" s="107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</row>
    <row r="677" spans="1:27" ht="14.45">
      <c r="A677" s="104"/>
      <c r="B677" s="104"/>
      <c r="C677" s="104"/>
      <c r="D677" s="104"/>
      <c r="E677" s="107"/>
      <c r="F677" s="107"/>
      <c r="G677" s="107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</row>
    <row r="678" spans="1:27" ht="14.45">
      <c r="A678" s="104"/>
      <c r="B678" s="104"/>
      <c r="C678" s="104"/>
      <c r="D678" s="104"/>
      <c r="E678" s="107"/>
      <c r="F678" s="107"/>
      <c r="G678" s="107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</row>
    <row r="679" spans="1:27" ht="14.45">
      <c r="A679" s="104"/>
      <c r="B679" s="104"/>
      <c r="C679" s="104"/>
      <c r="D679" s="104"/>
      <c r="E679" s="107"/>
      <c r="F679" s="107"/>
      <c r="G679" s="107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</row>
    <row r="680" spans="1:27" ht="14.45">
      <c r="A680" s="104"/>
      <c r="B680" s="104"/>
      <c r="C680" s="104"/>
      <c r="D680" s="104"/>
      <c r="E680" s="107"/>
      <c r="F680" s="107"/>
      <c r="G680" s="107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</row>
    <row r="681" spans="1:27" ht="14.45">
      <c r="A681" s="104"/>
      <c r="B681" s="104"/>
      <c r="C681" s="104"/>
      <c r="D681" s="104"/>
      <c r="E681" s="107"/>
      <c r="F681" s="107"/>
      <c r="G681" s="107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</row>
    <row r="682" spans="1:27" ht="14.45">
      <c r="A682" s="104"/>
      <c r="B682" s="104"/>
      <c r="C682" s="104"/>
      <c r="D682" s="104"/>
      <c r="E682" s="107"/>
      <c r="F682" s="107"/>
      <c r="G682" s="107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</row>
    <row r="683" spans="1:27" ht="14.45">
      <c r="A683" s="104"/>
      <c r="B683" s="104"/>
      <c r="C683" s="104"/>
      <c r="D683" s="104"/>
      <c r="E683" s="107"/>
      <c r="F683" s="107"/>
      <c r="G683" s="107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</row>
    <row r="684" spans="1:27" ht="14.45">
      <c r="A684" s="104"/>
      <c r="B684" s="104"/>
      <c r="C684" s="104"/>
      <c r="D684" s="104"/>
      <c r="E684" s="107"/>
      <c r="F684" s="107"/>
      <c r="G684" s="107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</row>
    <row r="685" spans="1:27" ht="14.45">
      <c r="A685" s="104"/>
      <c r="B685" s="104"/>
      <c r="C685" s="104"/>
      <c r="D685" s="104"/>
      <c r="E685" s="107"/>
      <c r="F685" s="107"/>
      <c r="G685" s="107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</row>
    <row r="686" spans="1:27" ht="14.45">
      <c r="A686" s="104"/>
      <c r="B686" s="104"/>
      <c r="C686" s="104"/>
      <c r="D686" s="104"/>
      <c r="E686" s="107"/>
      <c r="F686" s="107"/>
      <c r="G686" s="107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</row>
    <row r="687" spans="1:27" ht="14.45">
      <c r="A687" s="104"/>
      <c r="B687" s="104"/>
      <c r="C687" s="104"/>
      <c r="D687" s="104"/>
      <c r="E687" s="107"/>
      <c r="F687" s="107"/>
      <c r="G687" s="107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</row>
    <row r="688" spans="1:27" ht="14.45">
      <c r="A688" s="104"/>
      <c r="B688" s="104"/>
      <c r="C688" s="104"/>
      <c r="D688" s="104"/>
      <c r="E688" s="107"/>
      <c r="F688" s="107"/>
      <c r="G688" s="107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</row>
    <row r="689" spans="1:27" ht="14.45">
      <c r="A689" s="104"/>
      <c r="B689" s="104"/>
      <c r="C689" s="104"/>
      <c r="D689" s="104"/>
      <c r="E689" s="107"/>
      <c r="F689" s="107"/>
      <c r="G689" s="107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</row>
    <row r="690" spans="1:27" ht="14.45">
      <c r="A690" s="104"/>
      <c r="B690" s="104"/>
      <c r="C690" s="104"/>
      <c r="D690" s="104"/>
      <c r="E690" s="107"/>
      <c r="F690" s="107"/>
      <c r="G690" s="107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</row>
    <row r="691" spans="1:27" ht="14.45">
      <c r="A691" s="104"/>
      <c r="B691" s="104"/>
      <c r="C691" s="104"/>
      <c r="D691" s="104"/>
      <c r="E691" s="107"/>
      <c r="F691" s="107"/>
      <c r="G691" s="107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</row>
    <row r="692" spans="1:27" ht="14.45">
      <c r="A692" s="104"/>
      <c r="B692" s="104"/>
      <c r="C692" s="104"/>
      <c r="D692" s="104"/>
      <c r="E692" s="107"/>
      <c r="F692" s="107"/>
      <c r="G692" s="107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</row>
    <row r="693" spans="1:27" ht="14.45">
      <c r="A693" s="104"/>
      <c r="B693" s="104"/>
      <c r="C693" s="104"/>
      <c r="D693" s="104"/>
      <c r="E693" s="107"/>
      <c r="F693" s="107"/>
      <c r="G693" s="107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</row>
    <row r="694" spans="1:27" ht="14.45">
      <c r="A694" s="104"/>
      <c r="B694" s="104"/>
      <c r="C694" s="104"/>
      <c r="D694" s="104"/>
      <c r="E694" s="107"/>
      <c r="F694" s="107"/>
      <c r="G694" s="107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</row>
    <row r="695" spans="1:27" ht="14.45">
      <c r="A695" s="104"/>
      <c r="B695" s="104"/>
      <c r="C695" s="104"/>
      <c r="D695" s="104"/>
      <c r="E695" s="107"/>
      <c r="F695" s="107"/>
      <c r="G695" s="107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</row>
    <row r="696" spans="1:27" ht="14.45">
      <c r="A696" s="104"/>
      <c r="B696" s="104"/>
      <c r="C696" s="104"/>
      <c r="D696" s="104"/>
      <c r="E696" s="107"/>
      <c r="F696" s="107"/>
      <c r="G696" s="107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</row>
    <row r="697" spans="1:27" ht="14.45">
      <c r="A697" s="104"/>
      <c r="B697" s="104"/>
      <c r="C697" s="104"/>
      <c r="D697" s="104"/>
      <c r="E697" s="107"/>
      <c r="F697" s="107"/>
      <c r="G697" s="107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</row>
    <row r="698" spans="1:27" ht="14.45">
      <c r="A698" s="104"/>
      <c r="B698" s="104"/>
      <c r="C698" s="104"/>
      <c r="D698" s="104"/>
      <c r="E698" s="107"/>
      <c r="F698" s="107"/>
      <c r="G698" s="107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</row>
    <row r="699" spans="1:27" ht="14.45">
      <c r="A699" s="104"/>
      <c r="B699" s="104"/>
      <c r="C699" s="104"/>
      <c r="D699" s="104"/>
      <c r="E699" s="107"/>
      <c r="F699" s="107"/>
      <c r="G699" s="107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</row>
    <row r="700" spans="1:27" ht="14.45">
      <c r="A700" s="104"/>
      <c r="B700" s="104"/>
      <c r="C700" s="104"/>
      <c r="D700" s="104"/>
      <c r="E700" s="107"/>
      <c r="F700" s="107"/>
      <c r="G700" s="107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</row>
    <row r="701" spans="1:27" ht="14.45">
      <c r="A701" s="104"/>
      <c r="B701" s="104"/>
      <c r="C701" s="104"/>
      <c r="D701" s="104"/>
      <c r="E701" s="107"/>
      <c r="F701" s="107"/>
      <c r="G701" s="107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</row>
    <row r="702" spans="1:27" ht="14.45">
      <c r="A702" s="104"/>
      <c r="B702" s="104"/>
      <c r="C702" s="104"/>
      <c r="D702" s="104"/>
      <c r="E702" s="107"/>
      <c r="F702" s="107"/>
      <c r="G702" s="107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</row>
    <row r="703" spans="1:27" ht="14.45">
      <c r="A703" s="104"/>
      <c r="B703" s="104"/>
      <c r="C703" s="104"/>
      <c r="D703" s="104"/>
      <c r="E703" s="107"/>
      <c r="F703" s="107"/>
      <c r="G703" s="107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</row>
    <row r="704" spans="1:27" ht="14.45">
      <c r="A704" s="104"/>
      <c r="B704" s="104"/>
      <c r="C704" s="104"/>
      <c r="D704" s="104"/>
      <c r="E704" s="107"/>
      <c r="F704" s="107"/>
      <c r="G704" s="107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</row>
    <row r="705" spans="1:27" ht="14.45">
      <c r="A705" s="104"/>
      <c r="B705" s="104"/>
      <c r="C705" s="104"/>
      <c r="D705" s="104"/>
      <c r="E705" s="107"/>
      <c r="F705" s="107"/>
      <c r="G705" s="107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</row>
    <row r="706" spans="1:27" ht="14.45">
      <c r="A706" s="104"/>
      <c r="B706" s="104"/>
      <c r="C706" s="104"/>
      <c r="D706" s="104"/>
      <c r="E706" s="107"/>
      <c r="F706" s="107"/>
      <c r="G706" s="107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</row>
    <row r="707" spans="1:27" ht="14.45">
      <c r="A707" s="104"/>
      <c r="B707" s="104"/>
      <c r="C707" s="104"/>
      <c r="D707" s="104"/>
      <c r="E707" s="107"/>
      <c r="F707" s="107"/>
      <c r="G707" s="107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</row>
    <row r="708" spans="1:27" ht="14.45">
      <c r="A708" s="104"/>
      <c r="B708" s="104"/>
      <c r="C708" s="104"/>
      <c r="D708" s="104"/>
      <c r="E708" s="107"/>
      <c r="F708" s="107"/>
      <c r="G708" s="107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</row>
    <row r="709" spans="1:27" ht="14.45">
      <c r="A709" s="104"/>
      <c r="B709" s="104"/>
      <c r="C709" s="104"/>
      <c r="D709" s="104"/>
      <c r="E709" s="107"/>
      <c r="F709" s="107"/>
      <c r="G709" s="107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</row>
    <row r="710" spans="1:27" ht="14.45">
      <c r="A710" s="104"/>
      <c r="B710" s="104"/>
      <c r="C710" s="104"/>
      <c r="D710" s="104"/>
      <c r="E710" s="107"/>
      <c r="F710" s="107"/>
      <c r="G710" s="107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</row>
    <row r="711" spans="1:27" ht="14.45">
      <c r="A711" s="104"/>
      <c r="B711" s="104"/>
      <c r="C711" s="104"/>
      <c r="D711" s="104"/>
      <c r="E711" s="107"/>
      <c r="F711" s="107"/>
      <c r="G711" s="107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</row>
    <row r="712" spans="1:27" ht="14.45">
      <c r="A712" s="104"/>
      <c r="B712" s="104"/>
      <c r="C712" s="104"/>
      <c r="D712" s="104"/>
      <c r="E712" s="107"/>
      <c r="F712" s="107"/>
      <c r="G712" s="107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</row>
    <row r="713" spans="1:27" ht="14.45">
      <c r="A713" s="104"/>
      <c r="B713" s="104"/>
      <c r="C713" s="104"/>
      <c r="D713" s="104"/>
      <c r="E713" s="107"/>
      <c r="F713" s="107"/>
      <c r="G713" s="107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</row>
    <row r="714" spans="1:27" ht="14.45">
      <c r="A714" s="104"/>
      <c r="B714" s="104"/>
      <c r="C714" s="104"/>
      <c r="D714" s="104"/>
      <c r="E714" s="107"/>
      <c r="F714" s="107"/>
      <c r="G714" s="107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</row>
    <row r="715" spans="1:27" ht="14.45">
      <c r="A715" s="104"/>
      <c r="B715" s="104"/>
      <c r="C715" s="104"/>
      <c r="D715" s="104"/>
      <c r="E715" s="107"/>
      <c r="F715" s="107"/>
      <c r="G715" s="107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</row>
    <row r="716" spans="1:27" ht="14.45">
      <c r="A716" s="104"/>
      <c r="B716" s="104"/>
      <c r="C716" s="104"/>
      <c r="D716" s="104"/>
      <c r="E716" s="107"/>
      <c r="F716" s="107"/>
      <c r="G716" s="107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</row>
    <row r="717" spans="1:27" ht="14.45">
      <c r="A717" s="104"/>
      <c r="B717" s="104"/>
      <c r="C717" s="104"/>
      <c r="D717" s="104"/>
      <c r="E717" s="107"/>
      <c r="F717" s="107"/>
      <c r="G717" s="107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</row>
    <row r="718" spans="1:27" ht="14.45">
      <c r="A718" s="104"/>
      <c r="B718" s="104"/>
      <c r="C718" s="104"/>
      <c r="D718" s="104"/>
      <c r="E718" s="107"/>
      <c r="F718" s="107"/>
      <c r="G718" s="107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</row>
    <row r="719" spans="1:27" ht="14.45">
      <c r="A719" s="104"/>
      <c r="B719" s="104"/>
      <c r="C719" s="104"/>
      <c r="D719" s="104"/>
      <c r="E719" s="107"/>
      <c r="F719" s="107"/>
      <c r="G719" s="107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</row>
    <row r="720" spans="1:27" ht="14.45">
      <c r="A720" s="104"/>
      <c r="B720" s="104"/>
      <c r="C720" s="104"/>
      <c r="D720" s="104"/>
      <c r="E720" s="107"/>
      <c r="F720" s="107"/>
      <c r="G720" s="107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</row>
    <row r="721" spans="1:27" ht="14.45">
      <c r="A721" s="104"/>
      <c r="B721" s="104"/>
      <c r="C721" s="104"/>
      <c r="D721" s="104"/>
      <c r="E721" s="107"/>
      <c r="F721" s="107"/>
      <c r="G721" s="107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</row>
    <row r="722" spans="1:27" ht="14.45">
      <c r="A722" s="104"/>
      <c r="B722" s="104"/>
      <c r="C722" s="104"/>
      <c r="D722" s="104"/>
      <c r="E722" s="107"/>
      <c r="F722" s="107"/>
      <c r="G722" s="107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</row>
    <row r="723" spans="1:27" ht="14.45">
      <c r="A723" s="104"/>
      <c r="B723" s="104"/>
      <c r="C723" s="104"/>
      <c r="D723" s="104"/>
      <c r="E723" s="107"/>
      <c r="F723" s="107"/>
      <c r="G723" s="107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</row>
    <row r="724" spans="1:27" ht="14.45">
      <c r="A724" s="104"/>
      <c r="B724" s="104"/>
      <c r="C724" s="104"/>
      <c r="D724" s="104"/>
      <c r="E724" s="107"/>
      <c r="F724" s="107"/>
      <c r="G724" s="107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</row>
    <row r="725" spans="1:27" ht="14.45">
      <c r="A725" s="104"/>
      <c r="B725" s="104"/>
      <c r="C725" s="104"/>
      <c r="D725" s="104"/>
      <c r="E725" s="107"/>
      <c r="F725" s="107"/>
      <c r="G725" s="107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</row>
    <row r="726" spans="1:27" ht="14.45">
      <c r="A726" s="104"/>
      <c r="B726" s="104"/>
      <c r="C726" s="104"/>
      <c r="D726" s="104"/>
      <c r="E726" s="107"/>
      <c r="F726" s="107"/>
      <c r="G726" s="107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</row>
    <row r="727" spans="1:27" ht="14.45">
      <c r="A727" s="104"/>
      <c r="B727" s="104"/>
      <c r="C727" s="104"/>
      <c r="D727" s="104"/>
      <c r="E727" s="107"/>
      <c r="F727" s="107"/>
      <c r="G727" s="107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</row>
    <row r="728" spans="1:27" ht="14.45">
      <c r="A728" s="104"/>
      <c r="B728" s="104"/>
      <c r="C728" s="104"/>
      <c r="D728" s="104"/>
      <c r="E728" s="107"/>
      <c r="F728" s="107"/>
      <c r="G728" s="107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</row>
    <row r="729" spans="1:27" ht="14.45">
      <c r="A729" s="104"/>
      <c r="B729" s="104"/>
      <c r="C729" s="104"/>
      <c r="D729" s="104"/>
      <c r="E729" s="107"/>
      <c r="F729" s="107"/>
      <c r="G729" s="107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</row>
    <row r="730" spans="1:27" ht="14.45">
      <c r="A730" s="104"/>
      <c r="B730" s="104"/>
      <c r="C730" s="104"/>
      <c r="D730" s="104"/>
      <c r="E730" s="107"/>
      <c r="F730" s="107"/>
      <c r="G730" s="107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</row>
    <row r="731" spans="1:27" ht="14.45">
      <c r="A731" s="104"/>
      <c r="B731" s="104"/>
      <c r="C731" s="104"/>
      <c r="D731" s="104"/>
      <c r="E731" s="107"/>
      <c r="F731" s="107"/>
      <c r="G731" s="107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</row>
    <row r="732" spans="1:27" ht="14.45">
      <c r="A732" s="104"/>
      <c r="B732" s="104"/>
      <c r="C732" s="104"/>
      <c r="D732" s="104"/>
      <c r="E732" s="107"/>
      <c r="F732" s="107"/>
      <c r="G732" s="107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</row>
    <row r="733" spans="1:27" ht="14.45">
      <c r="A733" s="104"/>
      <c r="B733" s="104"/>
      <c r="C733" s="104"/>
      <c r="D733" s="104"/>
      <c r="E733" s="107"/>
      <c r="F733" s="107"/>
      <c r="G733" s="107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</row>
    <row r="734" spans="1:27" ht="14.45">
      <c r="A734" s="104"/>
      <c r="B734" s="104"/>
      <c r="C734" s="104"/>
      <c r="D734" s="104"/>
      <c r="E734" s="107"/>
      <c r="F734" s="107"/>
      <c r="G734" s="107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</row>
    <row r="735" spans="1:27" ht="14.45">
      <c r="A735" s="104"/>
      <c r="B735" s="104"/>
      <c r="C735" s="104"/>
      <c r="D735" s="104"/>
      <c r="E735" s="107"/>
      <c r="F735" s="107"/>
      <c r="G735" s="107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</row>
    <row r="736" spans="1:27" ht="14.45">
      <c r="A736" s="104"/>
      <c r="B736" s="104"/>
      <c r="C736" s="104"/>
      <c r="D736" s="104"/>
      <c r="E736" s="107"/>
      <c r="F736" s="107"/>
      <c r="G736" s="107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</row>
    <row r="737" spans="1:27" ht="14.45">
      <c r="A737" s="104"/>
      <c r="B737" s="104"/>
      <c r="C737" s="104"/>
      <c r="D737" s="104"/>
      <c r="E737" s="107"/>
      <c r="F737" s="107"/>
      <c r="G737" s="107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</row>
    <row r="738" spans="1:27" ht="14.45">
      <c r="A738" s="104"/>
      <c r="B738" s="104"/>
      <c r="C738" s="104"/>
      <c r="D738" s="104"/>
      <c r="E738" s="107"/>
      <c r="F738" s="107"/>
      <c r="G738" s="107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</row>
    <row r="739" spans="1:27" ht="14.45">
      <c r="A739" s="104"/>
      <c r="B739" s="104"/>
      <c r="C739" s="104"/>
      <c r="D739" s="104"/>
      <c r="E739" s="107"/>
      <c r="F739" s="107"/>
      <c r="G739" s="107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</row>
    <row r="740" spans="1:27" ht="14.45">
      <c r="A740" s="104"/>
      <c r="B740" s="104"/>
      <c r="C740" s="104"/>
      <c r="D740" s="104"/>
      <c r="E740" s="107"/>
      <c r="F740" s="107"/>
      <c r="G740" s="107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</row>
    <row r="741" spans="1:27" ht="14.45">
      <c r="A741" s="104"/>
      <c r="B741" s="104"/>
      <c r="C741" s="104"/>
      <c r="D741" s="104"/>
      <c r="E741" s="107"/>
      <c r="F741" s="107"/>
      <c r="G741" s="107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</row>
    <row r="742" spans="1:27" ht="14.45">
      <c r="A742" s="104"/>
      <c r="B742" s="104"/>
      <c r="C742" s="104"/>
      <c r="D742" s="104"/>
      <c r="E742" s="107"/>
      <c r="F742" s="107"/>
      <c r="G742" s="107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</row>
    <row r="743" spans="1:27" ht="14.45">
      <c r="A743" s="104"/>
      <c r="B743" s="104"/>
      <c r="C743" s="104"/>
      <c r="D743" s="104"/>
      <c r="E743" s="107"/>
      <c r="F743" s="107"/>
      <c r="G743" s="107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</row>
    <row r="744" spans="1:27" ht="14.45">
      <c r="A744" s="104"/>
      <c r="B744" s="104"/>
      <c r="C744" s="104"/>
      <c r="D744" s="104"/>
      <c r="E744" s="107"/>
      <c r="F744" s="107"/>
      <c r="G744" s="107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</row>
    <row r="745" spans="1:27" ht="14.45">
      <c r="A745" s="104"/>
      <c r="B745" s="104"/>
      <c r="C745" s="104"/>
      <c r="D745" s="104"/>
      <c r="E745" s="107"/>
      <c r="F745" s="107"/>
      <c r="G745" s="107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</row>
    <row r="746" spans="1:27" ht="14.45">
      <c r="A746" s="104"/>
      <c r="B746" s="104"/>
      <c r="C746" s="104"/>
      <c r="D746" s="104"/>
      <c r="E746" s="107"/>
      <c r="F746" s="107"/>
      <c r="G746" s="107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</row>
    <row r="747" spans="1:27" ht="14.45">
      <c r="A747" s="104"/>
      <c r="B747" s="104"/>
      <c r="C747" s="104"/>
      <c r="D747" s="104"/>
      <c r="E747" s="107"/>
      <c r="F747" s="107"/>
      <c r="G747" s="107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</row>
    <row r="748" spans="1:27" ht="14.45">
      <c r="A748" s="104"/>
      <c r="B748" s="104"/>
      <c r="C748" s="104"/>
      <c r="D748" s="104"/>
      <c r="E748" s="107"/>
      <c r="F748" s="107"/>
      <c r="G748" s="107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</row>
    <row r="749" spans="1:27" ht="14.45">
      <c r="A749" s="104"/>
      <c r="B749" s="104"/>
      <c r="C749" s="104"/>
      <c r="D749" s="104"/>
      <c r="E749" s="107"/>
      <c r="F749" s="107"/>
      <c r="G749" s="107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</row>
    <row r="750" spans="1:27" ht="14.45">
      <c r="A750" s="104"/>
      <c r="B750" s="104"/>
      <c r="C750" s="104"/>
      <c r="D750" s="104"/>
      <c r="E750" s="107"/>
      <c r="F750" s="107"/>
      <c r="G750" s="107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</row>
    <row r="751" spans="1:27" ht="14.45">
      <c r="A751" s="104"/>
      <c r="B751" s="104"/>
      <c r="C751" s="104"/>
      <c r="D751" s="104"/>
      <c r="E751" s="107"/>
      <c r="F751" s="107"/>
      <c r="G751" s="107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</row>
    <row r="752" spans="1:27" ht="14.45">
      <c r="A752" s="104"/>
      <c r="B752" s="104"/>
      <c r="C752" s="104"/>
      <c r="D752" s="104"/>
      <c r="E752" s="107"/>
      <c r="F752" s="107"/>
      <c r="G752" s="107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</row>
    <row r="753" spans="1:27" ht="14.45">
      <c r="A753" s="104"/>
      <c r="B753" s="104"/>
      <c r="C753" s="104"/>
      <c r="D753" s="104"/>
      <c r="E753" s="107"/>
      <c r="F753" s="107"/>
      <c r="G753" s="107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</row>
    <row r="754" spans="1:27" ht="14.45">
      <c r="A754" s="104"/>
      <c r="B754" s="104"/>
      <c r="C754" s="104"/>
      <c r="D754" s="104"/>
      <c r="E754" s="107"/>
      <c r="F754" s="107"/>
      <c r="G754" s="107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</row>
    <row r="755" spans="1:27" ht="14.45">
      <c r="A755" s="104"/>
      <c r="B755" s="104"/>
      <c r="C755" s="104"/>
      <c r="D755" s="104"/>
      <c r="E755" s="107"/>
      <c r="F755" s="107"/>
      <c r="G755" s="107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</row>
    <row r="756" spans="1:27" ht="14.45">
      <c r="A756" s="104"/>
      <c r="B756" s="104"/>
      <c r="C756" s="104"/>
      <c r="D756" s="104"/>
      <c r="E756" s="107"/>
      <c r="F756" s="107"/>
      <c r="G756" s="107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</row>
    <row r="757" spans="1:27" ht="14.45">
      <c r="A757" s="104"/>
      <c r="B757" s="104"/>
      <c r="C757" s="104"/>
      <c r="D757" s="104"/>
      <c r="E757" s="107"/>
      <c r="F757" s="107"/>
      <c r="G757" s="107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</row>
    <row r="758" spans="1:27" ht="14.45">
      <c r="A758" s="104"/>
      <c r="B758" s="104"/>
      <c r="C758" s="104"/>
      <c r="D758" s="104"/>
      <c r="E758" s="107"/>
      <c r="F758" s="107"/>
      <c r="G758" s="107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</row>
    <row r="759" spans="1:27" ht="14.45">
      <c r="A759" s="104"/>
      <c r="B759" s="104"/>
      <c r="C759" s="104"/>
      <c r="D759" s="104"/>
      <c r="E759" s="107"/>
      <c r="F759" s="107"/>
      <c r="G759" s="107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</row>
    <row r="760" spans="1:27" ht="14.45">
      <c r="A760" s="104"/>
      <c r="B760" s="104"/>
      <c r="C760" s="104"/>
      <c r="D760" s="104"/>
      <c r="E760" s="107"/>
      <c r="F760" s="107"/>
      <c r="G760" s="107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</row>
    <row r="761" spans="1:27" ht="14.45">
      <c r="A761" s="104"/>
      <c r="B761" s="104"/>
      <c r="C761" s="104"/>
      <c r="D761" s="104"/>
      <c r="E761" s="107"/>
      <c r="F761" s="107"/>
      <c r="G761" s="107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</row>
    <row r="762" spans="1:27" ht="14.45">
      <c r="A762" s="104"/>
      <c r="B762" s="104"/>
      <c r="C762" s="104"/>
      <c r="D762" s="104"/>
      <c r="E762" s="107"/>
      <c r="F762" s="107"/>
      <c r="G762" s="107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</row>
    <row r="763" spans="1:27" ht="14.45">
      <c r="A763" s="104"/>
      <c r="B763" s="104"/>
      <c r="C763" s="104"/>
      <c r="D763" s="104"/>
      <c r="E763" s="107"/>
      <c r="F763" s="107"/>
      <c r="G763" s="107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</row>
    <row r="764" spans="1:27" ht="14.45">
      <c r="A764" s="104"/>
      <c r="B764" s="104"/>
      <c r="C764" s="104"/>
      <c r="D764" s="104"/>
      <c r="E764" s="107"/>
      <c r="F764" s="107"/>
      <c r="G764" s="107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</row>
    <row r="765" spans="1:27" ht="14.45">
      <c r="A765" s="104"/>
      <c r="B765" s="104"/>
      <c r="C765" s="104"/>
      <c r="D765" s="104"/>
      <c r="E765" s="107"/>
      <c r="F765" s="107"/>
      <c r="G765" s="107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</row>
    <row r="766" spans="1:27" ht="14.45">
      <c r="A766" s="104"/>
      <c r="B766" s="104"/>
      <c r="C766" s="104"/>
      <c r="D766" s="104"/>
      <c r="E766" s="107"/>
      <c r="F766" s="107"/>
      <c r="G766" s="107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</row>
    <row r="767" spans="1:27" ht="14.45">
      <c r="A767" s="104"/>
      <c r="B767" s="104"/>
      <c r="C767" s="104"/>
      <c r="D767" s="104"/>
      <c r="E767" s="107"/>
      <c r="F767" s="107"/>
      <c r="G767" s="107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</row>
    <row r="768" spans="1:27" ht="14.45">
      <c r="A768" s="104"/>
      <c r="B768" s="104"/>
      <c r="C768" s="104"/>
      <c r="D768" s="104"/>
      <c r="E768" s="107"/>
      <c r="F768" s="107"/>
      <c r="G768" s="107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</row>
    <row r="769" spans="1:27" ht="14.45">
      <c r="A769" s="104"/>
      <c r="B769" s="104"/>
      <c r="C769" s="104"/>
      <c r="D769" s="104"/>
      <c r="E769" s="107"/>
      <c r="F769" s="107"/>
      <c r="G769" s="107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</row>
    <row r="770" spans="1:27" ht="14.45">
      <c r="A770" s="104"/>
      <c r="B770" s="104"/>
      <c r="C770" s="104"/>
      <c r="D770" s="104"/>
      <c r="E770" s="107"/>
      <c r="F770" s="107"/>
      <c r="G770" s="107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</row>
    <row r="771" spans="1:27" ht="14.45">
      <c r="A771" s="104"/>
      <c r="B771" s="104"/>
      <c r="C771" s="104"/>
      <c r="D771" s="104"/>
      <c r="E771" s="107"/>
      <c r="F771" s="107"/>
      <c r="G771" s="107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</row>
    <row r="772" spans="1:27" ht="14.45">
      <c r="A772" s="104"/>
      <c r="B772" s="104"/>
      <c r="C772" s="104"/>
      <c r="D772" s="104"/>
      <c r="E772" s="107"/>
      <c r="F772" s="107"/>
      <c r="G772" s="107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</row>
    <row r="773" spans="1:27" ht="14.45">
      <c r="A773" s="104"/>
      <c r="B773" s="104"/>
      <c r="C773" s="104"/>
      <c r="D773" s="104"/>
      <c r="E773" s="107"/>
      <c r="F773" s="107"/>
      <c r="G773" s="107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</row>
    <row r="774" spans="1:27" ht="14.45">
      <c r="A774" s="104"/>
      <c r="B774" s="104"/>
      <c r="C774" s="104"/>
      <c r="D774" s="104"/>
      <c r="E774" s="107"/>
      <c r="F774" s="107"/>
      <c r="G774" s="107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</row>
    <row r="775" spans="1:27" ht="14.45">
      <c r="A775" s="104"/>
      <c r="B775" s="104"/>
      <c r="C775" s="104"/>
      <c r="D775" s="104"/>
      <c r="E775" s="107"/>
      <c r="F775" s="107"/>
      <c r="G775" s="107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</row>
    <row r="776" spans="1:27" ht="14.45">
      <c r="A776" s="104"/>
      <c r="B776" s="104"/>
      <c r="C776" s="104"/>
      <c r="D776" s="104"/>
      <c r="E776" s="107"/>
      <c r="F776" s="107"/>
      <c r="G776" s="107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</row>
    <row r="777" spans="1:27" ht="14.45">
      <c r="A777" s="104"/>
      <c r="B777" s="104"/>
      <c r="C777" s="104"/>
      <c r="D777" s="104"/>
      <c r="E777" s="107"/>
      <c r="F777" s="107"/>
      <c r="G777" s="107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</row>
    <row r="778" spans="1:27" ht="14.45">
      <c r="A778" s="104"/>
      <c r="B778" s="104"/>
      <c r="C778" s="104"/>
      <c r="D778" s="104"/>
      <c r="E778" s="107"/>
      <c r="F778" s="107"/>
      <c r="G778" s="107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</row>
    <row r="779" spans="1:27" ht="14.45">
      <c r="A779" s="104"/>
      <c r="B779" s="104"/>
      <c r="C779" s="104"/>
      <c r="D779" s="104"/>
      <c r="E779" s="107"/>
      <c r="F779" s="107"/>
      <c r="G779" s="107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</row>
    <row r="780" spans="1:27" ht="14.45">
      <c r="A780" s="104"/>
      <c r="B780" s="104"/>
      <c r="C780" s="104"/>
      <c r="D780" s="104"/>
      <c r="E780" s="107"/>
      <c r="F780" s="107"/>
      <c r="G780" s="107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</row>
    <row r="781" spans="1:27" ht="14.45">
      <c r="A781" s="104"/>
      <c r="B781" s="104"/>
      <c r="C781" s="104"/>
      <c r="D781" s="104"/>
      <c r="E781" s="107"/>
      <c r="F781" s="107"/>
      <c r="G781" s="107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</row>
    <row r="782" spans="1:27" ht="14.45">
      <c r="A782" s="104"/>
      <c r="B782" s="104"/>
      <c r="C782" s="104"/>
      <c r="D782" s="104"/>
      <c r="E782" s="107"/>
      <c r="F782" s="107"/>
      <c r="G782" s="107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</row>
    <row r="783" spans="1:27" ht="14.45">
      <c r="A783" s="104"/>
      <c r="B783" s="104"/>
      <c r="C783" s="104"/>
      <c r="D783" s="104"/>
      <c r="E783" s="107"/>
      <c r="F783" s="107"/>
      <c r="G783" s="107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</row>
    <row r="784" spans="1:27" ht="14.45">
      <c r="A784" s="104"/>
      <c r="B784" s="104"/>
      <c r="C784" s="104"/>
      <c r="D784" s="104"/>
      <c r="E784" s="107"/>
      <c r="F784" s="107"/>
      <c r="G784" s="107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</row>
    <row r="785" spans="1:27" ht="14.45">
      <c r="A785" s="104"/>
      <c r="B785" s="104"/>
      <c r="C785" s="104"/>
      <c r="D785" s="104"/>
      <c r="E785" s="107"/>
      <c r="F785" s="107"/>
      <c r="G785" s="107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</row>
    <row r="786" spans="1:27" ht="14.45">
      <c r="A786" s="104"/>
      <c r="B786" s="104"/>
      <c r="C786" s="104"/>
      <c r="D786" s="104"/>
      <c r="E786" s="107"/>
      <c r="F786" s="107"/>
      <c r="G786" s="107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</row>
    <row r="787" spans="1:27" ht="14.45">
      <c r="A787" s="104"/>
      <c r="B787" s="104"/>
      <c r="C787" s="104"/>
      <c r="D787" s="104"/>
      <c r="E787" s="107"/>
      <c r="F787" s="107"/>
      <c r="G787" s="107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</row>
    <row r="788" spans="1:27" ht="14.45">
      <c r="A788" s="104"/>
      <c r="B788" s="104"/>
      <c r="C788" s="104"/>
      <c r="D788" s="104"/>
      <c r="E788" s="107"/>
      <c r="F788" s="107"/>
      <c r="G788" s="107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</row>
    <row r="789" spans="1:27" ht="14.45">
      <c r="A789" s="104"/>
      <c r="B789" s="104"/>
      <c r="C789" s="104"/>
      <c r="D789" s="104"/>
      <c r="E789" s="107"/>
      <c r="F789" s="107"/>
      <c r="G789" s="107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</row>
    <row r="790" spans="1:27" ht="14.45">
      <c r="A790" s="104"/>
      <c r="B790" s="104"/>
      <c r="C790" s="104"/>
      <c r="D790" s="104"/>
      <c r="E790" s="107"/>
      <c r="F790" s="107"/>
      <c r="G790" s="107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</row>
    <row r="791" spans="1:27" ht="14.45">
      <c r="A791" s="104"/>
      <c r="B791" s="104"/>
      <c r="C791" s="104"/>
      <c r="D791" s="104"/>
      <c r="E791" s="107"/>
      <c r="F791" s="107"/>
      <c r="G791" s="107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</row>
    <row r="792" spans="1:27" ht="14.45">
      <c r="A792" s="104"/>
      <c r="B792" s="104"/>
      <c r="C792" s="104"/>
      <c r="D792" s="104"/>
      <c r="E792" s="107"/>
      <c r="F792" s="107"/>
      <c r="G792" s="107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</row>
    <row r="793" spans="1:27" ht="14.45">
      <c r="A793" s="104"/>
      <c r="B793" s="104"/>
      <c r="C793" s="104"/>
      <c r="D793" s="104"/>
      <c r="E793" s="107"/>
      <c r="F793" s="107"/>
      <c r="G793" s="107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</row>
    <row r="794" spans="1:27" ht="14.45">
      <c r="A794" s="104"/>
      <c r="B794" s="104"/>
      <c r="C794" s="104"/>
      <c r="D794" s="104"/>
      <c r="E794" s="107"/>
      <c r="F794" s="107"/>
      <c r="G794" s="107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</row>
    <row r="795" spans="1:27" ht="14.45">
      <c r="A795" s="104"/>
      <c r="B795" s="104"/>
      <c r="C795" s="104"/>
      <c r="D795" s="104"/>
      <c r="E795" s="107"/>
      <c r="F795" s="107"/>
      <c r="G795" s="107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</row>
    <row r="796" spans="1:27" ht="14.45">
      <c r="A796" s="104"/>
      <c r="B796" s="104"/>
      <c r="C796" s="104"/>
      <c r="D796" s="104"/>
      <c r="E796" s="107"/>
      <c r="F796" s="107"/>
      <c r="G796" s="107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</row>
    <row r="797" spans="1:27" ht="14.45">
      <c r="A797" s="104"/>
      <c r="B797" s="104"/>
      <c r="C797" s="104"/>
      <c r="D797" s="104"/>
      <c r="E797" s="107"/>
      <c r="F797" s="107"/>
      <c r="G797" s="107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</row>
    <row r="798" spans="1:27" ht="14.45">
      <c r="A798" s="104"/>
      <c r="B798" s="104"/>
      <c r="C798" s="104"/>
      <c r="D798" s="104"/>
      <c r="E798" s="107"/>
      <c r="F798" s="107"/>
      <c r="G798" s="107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</row>
    <row r="799" spans="1:27" ht="14.45">
      <c r="A799" s="104"/>
      <c r="B799" s="104"/>
      <c r="C799" s="104"/>
      <c r="D799" s="104"/>
      <c r="E799" s="107"/>
      <c r="F799" s="107"/>
      <c r="G799" s="107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</row>
    <row r="800" spans="1:27" ht="14.45">
      <c r="A800" s="104"/>
      <c r="B800" s="104"/>
      <c r="C800" s="104"/>
      <c r="D800" s="104"/>
      <c r="E800" s="107"/>
      <c r="F800" s="107"/>
      <c r="G800" s="107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</row>
    <row r="801" spans="1:27" ht="14.45">
      <c r="A801" s="104"/>
      <c r="B801" s="104"/>
      <c r="C801" s="104"/>
      <c r="D801" s="104"/>
      <c r="E801" s="107"/>
      <c r="F801" s="107"/>
      <c r="G801" s="107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</row>
    <row r="802" spans="1:27" ht="14.45">
      <c r="A802" s="104"/>
      <c r="B802" s="104"/>
      <c r="C802" s="104"/>
      <c r="D802" s="104"/>
      <c r="E802" s="107"/>
      <c r="F802" s="107"/>
      <c r="G802" s="107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</row>
    <row r="803" spans="1:27" ht="14.45">
      <c r="A803" s="104"/>
      <c r="B803" s="104"/>
      <c r="C803" s="104"/>
      <c r="D803" s="104"/>
      <c r="E803" s="107"/>
      <c r="F803" s="107"/>
      <c r="G803" s="107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</row>
    <row r="804" spans="1:27" ht="14.45">
      <c r="A804" s="104"/>
      <c r="B804" s="104"/>
      <c r="C804" s="104"/>
      <c r="D804" s="104"/>
      <c r="E804" s="107"/>
      <c r="F804" s="107"/>
      <c r="G804" s="107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</row>
    <row r="805" spans="1:27" ht="14.45">
      <c r="A805" s="104"/>
      <c r="B805" s="104"/>
      <c r="C805" s="104"/>
      <c r="D805" s="104"/>
      <c r="E805" s="107"/>
      <c r="F805" s="107"/>
      <c r="G805" s="107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</row>
    <row r="806" spans="1:27" ht="14.45">
      <c r="A806" s="104"/>
      <c r="B806" s="104"/>
      <c r="C806" s="104"/>
      <c r="D806" s="104"/>
      <c r="E806" s="107"/>
      <c r="F806" s="107"/>
      <c r="G806" s="107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</row>
    <row r="807" spans="1:27" ht="14.45">
      <c r="A807" s="104"/>
      <c r="B807" s="104"/>
      <c r="C807" s="104"/>
      <c r="D807" s="104"/>
      <c r="E807" s="107"/>
      <c r="F807" s="107"/>
      <c r="G807" s="107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</row>
    <row r="808" spans="1:27" ht="14.45">
      <c r="A808" s="104"/>
      <c r="B808" s="104"/>
      <c r="C808" s="104"/>
      <c r="D808" s="104"/>
      <c r="E808" s="107"/>
      <c r="F808" s="107"/>
      <c r="G808" s="107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</row>
    <row r="809" spans="1:27" ht="14.45">
      <c r="A809" s="104"/>
      <c r="B809" s="104"/>
      <c r="C809" s="104"/>
      <c r="D809" s="104"/>
      <c r="E809" s="107"/>
      <c r="F809" s="107"/>
      <c r="G809" s="107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</row>
    <row r="810" spans="1:27" ht="14.45">
      <c r="A810" s="104"/>
      <c r="B810" s="104"/>
      <c r="C810" s="104"/>
      <c r="D810" s="104"/>
      <c r="E810" s="107"/>
      <c r="F810" s="107"/>
      <c r="G810" s="107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</row>
    <row r="811" spans="1:27" ht="14.45">
      <c r="A811" s="104"/>
      <c r="B811" s="104"/>
      <c r="C811" s="104"/>
      <c r="D811" s="104"/>
      <c r="E811" s="107"/>
      <c r="F811" s="107"/>
      <c r="G811" s="107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</row>
    <row r="812" spans="1:27" ht="14.45">
      <c r="A812" s="104"/>
      <c r="B812" s="104"/>
      <c r="C812" s="104"/>
      <c r="D812" s="104"/>
      <c r="E812" s="107"/>
      <c r="F812" s="107"/>
      <c r="G812" s="107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</row>
    <row r="813" spans="1:27" ht="14.45">
      <c r="A813" s="104"/>
      <c r="B813" s="104"/>
      <c r="C813" s="104"/>
      <c r="D813" s="104"/>
      <c r="E813" s="107"/>
      <c r="F813" s="107"/>
      <c r="G813" s="107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</row>
    <row r="814" spans="1:27" ht="14.45">
      <c r="A814" s="104"/>
      <c r="B814" s="104"/>
      <c r="C814" s="104"/>
      <c r="D814" s="104"/>
      <c r="E814" s="107"/>
      <c r="F814" s="107"/>
      <c r="G814" s="107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</row>
    <row r="815" spans="1:27" ht="14.45">
      <c r="A815" s="104"/>
      <c r="B815" s="104"/>
      <c r="C815" s="104"/>
      <c r="D815" s="104"/>
      <c r="E815" s="107"/>
      <c r="F815" s="107"/>
      <c r="G815" s="107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</row>
    <row r="816" spans="1:27" ht="14.45">
      <c r="A816" s="104"/>
      <c r="B816" s="104"/>
      <c r="C816" s="104"/>
      <c r="D816" s="104"/>
      <c r="E816" s="107"/>
      <c r="F816" s="107"/>
      <c r="G816" s="107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</row>
    <row r="817" spans="1:27" ht="14.45">
      <c r="A817" s="104"/>
      <c r="B817" s="104"/>
      <c r="C817" s="104"/>
      <c r="D817" s="104"/>
      <c r="E817" s="107"/>
      <c r="F817" s="107"/>
      <c r="G817" s="107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</row>
    <row r="818" spans="1:27" ht="14.45">
      <c r="A818" s="104"/>
      <c r="B818" s="104"/>
      <c r="C818" s="104"/>
      <c r="D818" s="104"/>
      <c r="E818" s="107"/>
      <c r="F818" s="107"/>
      <c r="G818" s="107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</row>
    <row r="819" spans="1:27" ht="14.45">
      <c r="A819" s="104"/>
      <c r="B819" s="104"/>
      <c r="C819" s="104"/>
      <c r="D819" s="104"/>
      <c r="E819" s="107"/>
      <c r="F819" s="107"/>
      <c r="G819" s="107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</row>
    <row r="820" spans="1:27" ht="14.45">
      <c r="A820" s="104"/>
      <c r="B820" s="104"/>
      <c r="C820" s="104"/>
      <c r="D820" s="104"/>
      <c r="E820" s="107"/>
      <c r="F820" s="107"/>
      <c r="G820" s="107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</row>
    <row r="821" spans="1:27" ht="14.45">
      <c r="A821" s="104"/>
      <c r="B821" s="104"/>
      <c r="C821" s="104"/>
      <c r="D821" s="104"/>
      <c r="E821" s="107"/>
      <c r="F821" s="107"/>
      <c r="G821" s="107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</row>
    <row r="822" spans="1:27" ht="14.45">
      <c r="A822" s="104"/>
      <c r="B822" s="104"/>
      <c r="C822" s="104"/>
      <c r="D822" s="104"/>
      <c r="E822" s="107"/>
      <c r="F822" s="107"/>
      <c r="G822" s="107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</row>
    <row r="823" spans="1:27" ht="14.45">
      <c r="A823" s="104"/>
      <c r="B823" s="104"/>
      <c r="C823" s="104"/>
      <c r="D823" s="104"/>
      <c r="E823" s="107"/>
      <c r="F823" s="107"/>
      <c r="G823" s="107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</row>
    <row r="824" spans="1:27" ht="14.45">
      <c r="A824" s="104"/>
      <c r="B824" s="104"/>
      <c r="C824" s="104"/>
      <c r="D824" s="104"/>
      <c r="E824" s="107"/>
      <c r="F824" s="107"/>
      <c r="G824" s="107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</row>
    <row r="825" spans="1:27" ht="14.45">
      <c r="A825" s="104"/>
      <c r="B825" s="104"/>
      <c r="C825" s="104"/>
      <c r="D825" s="104"/>
      <c r="E825" s="107"/>
      <c r="F825" s="107"/>
      <c r="G825" s="107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</row>
    <row r="826" spans="1:27" ht="14.45">
      <c r="A826" s="104"/>
      <c r="B826" s="104"/>
      <c r="C826" s="104"/>
      <c r="D826" s="104"/>
      <c r="E826" s="107"/>
      <c r="F826" s="107"/>
      <c r="G826" s="107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</row>
    <row r="827" spans="1:27" ht="14.45">
      <c r="A827" s="104"/>
      <c r="B827" s="104"/>
      <c r="C827" s="104"/>
      <c r="D827" s="104"/>
      <c r="E827" s="107"/>
      <c r="F827" s="107"/>
      <c r="G827" s="107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</row>
    <row r="828" spans="1:27" ht="14.45">
      <c r="A828" s="104"/>
      <c r="B828" s="104"/>
      <c r="C828" s="104"/>
      <c r="D828" s="104"/>
      <c r="E828" s="107"/>
      <c r="F828" s="107"/>
      <c r="G828" s="107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</row>
    <row r="829" spans="1:27" ht="14.45">
      <c r="A829" s="104"/>
      <c r="B829" s="104"/>
      <c r="C829" s="104"/>
      <c r="D829" s="104"/>
      <c r="E829" s="107"/>
      <c r="F829" s="107"/>
      <c r="G829" s="107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</row>
    <row r="830" spans="1:27" ht="14.45">
      <c r="A830" s="104"/>
      <c r="B830" s="104"/>
      <c r="C830" s="104"/>
      <c r="D830" s="104"/>
      <c r="E830" s="107"/>
      <c r="F830" s="107"/>
      <c r="G830" s="107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</row>
    <row r="831" spans="1:27" ht="14.45">
      <c r="A831" s="104"/>
      <c r="B831" s="104"/>
      <c r="C831" s="104"/>
      <c r="D831" s="104"/>
      <c r="E831" s="107"/>
      <c r="F831" s="107"/>
      <c r="G831" s="107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</row>
    <row r="832" spans="1:27" ht="14.45">
      <c r="A832" s="104"/>
      <c r="B832" s="104"/>
      <c r="C832" s="104"/>
      <c r="D832" s="104"/>
      <c r="E832" s="107"/>
      <c r="F832" s="107"/>
      <c r="G832" s="107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</row>
    <row r="833" spans="1:27" ht="14.45">
      <c r="A833" s="104"/>
      <c r="B833" s="104"/>
      <c r="C833" s="104"/>
      <c r="D833" s="104"/>
      <c r="E833" s="107"/>
      <c r="F833" s="107"/>
      <c r="G833" s="107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</row>
    <row r="834" spans="1:27" ht="14.45">
      <c r="A834" s="104"/>
      <c r="B834" s="104"/>
      <c r="C834" s="104"/>
      <c r="D834" s="104"/>
      <c r="E834" s="107"/>
      <c r="F834" s="107"/>
      <c r="G834" s="107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</row>
    <row r="835" spans="1:27" ht="14.45">
      <c r="A835" s="104"/>
      <c r="B835" s="104"/>
      <c r="C835" s="104"/>
      <c r="D835" s="104"/>
      <c r="E835" s="107"/>
      <c r="F835" s="107"/>
      <c r="G835" s="107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</row>
    <row r="836" spans="1:27" ht="14.45">
      <c r="A836" s="104"/>
      <c r="B836" s="104"/>
      <c r="C836" s="104"/>
      <c r="D836" s="104"/>
      <c r="E836" s="107"/>
      <c r="F836" s="107"/>
      <c r="G836" s="107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</row>
    <row r="837" spans="1:27" ht="14.45">
      <c r="A837" s="104"/>
      <c r="B837" s="104"/>
      <c r="C837" s="104"/>
      <c r="D837" s="104"/>
      <c r="E837" s="107"/>
      <c r="F837" s="107"/>
      <c r="G837" s="107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</row>
    <row r="838" spans="1:27" ht="14.45">
      <c r="A838" s="104"/>
      <c r="B838" s="104"/>
      <c r="C838" s="104"/>
      <c r="D838" s="104"/>
      <c r="E838" s="107"/>
      <c r="F838" s="107"/>
      <c r="G838" s="107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</row>
    <row r="839" spans="1:27" ht="14.45">
      <c r="A839" s="104"/>
      <c r="B839" s="104"/>
      <c r="C839" s="104"/>
      <c r="D839" s="104"/>
      <c r="E839" s="107"/>
      <c r="F839" s="107"/>
      <c r="G839" s="107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</row>
    <row r="840" spans="1:27" ht="14.45">
      <c r="A840" s="104"/>
      <c r="B840" s="104"/>
      <c r="C840" s="104"/>
      <c r="D840" s="104"/>
      <c r="E840" s="107"/>
      <c r="F840" s="107"/>
      <c r="G840" s="107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</row>
    <row r="841" spans="1:27" ht="14.45">
      <c r="A841" s="104"/>
      <c r="B841" s="104"/>
      <c r="C841" s="104"/>
      <c r="D841" s="104"/>
      <c r="E841" s="107"/>
      <c r="F841" s="107"/>
      <c r="G841" s="107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</row>
    <row r="842" spans="1:27" ht="14.45">
      <c r="A842" s="104"/>
      <c r="B842" s="104"/>
      <c r="C842" s="104"/>
      <c r="D842" s="104"/>
      <c r="E842" s="107"/>
      <c r="F842" s="107"/>
      <c r="G842" s="107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</row>
    <row r="843" spans="1:27" ht="14.45">
      <c r="A843" s="104"/>
      <c r="B843" s="104"/>
      <c r="C843" s="104"/>
      <c r="D843" s="104"/>
      <c r="E843" s="107"/>
      <c r="F843" s="107"/>
      <c r="G843" s="107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</row>
    <row r="844" spans="1:27" ht="14.45">
      <c r="A844" s="104"/>
      <c r="B844" s="104"/>
      <c r="C844" s="104"/>
      <c r="D844" s="104"/>
      <c r="E844" s="107"/>
      <c r="F844" s="107"/>
      <c r="G844" s="107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</row>
    <row r="845" spans="1:27" ht="14.45">
      <c r="A845" s="104"/>
      <c r="B845" s="104"/>
      <c r="C845" s="104"/>
      <c r="D845" s="104"/>
      <c r="E845" s="107"/>
      <c r="F845" s="107"/>
      <c r="G845" s="107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</row>
    <row r="846" spans="1:27" ht="14.45">
      <c r="A846" s="104"/>
      <c r="B846" s="104"/>
      <c r="C846" s="104"/>
      <c r="D846" s="104"/>
      <c r="E846" s="107"/>
      <c r="F846" s="107"/>
      <c r="G846" s="107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</row>
    <row r="847" spans="1:27" ht="14.45">
      <c r="A847" s="104"/>
      <c r="B847" s="104"/>
      <c r="C847" s="104"/>
      <c r="D847" s="104"/>
      <c r="E847" s="107"/>
      <c r="F847" s="107"/>
      <c r="G847" s="107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</row>
    <row r="848" spans="1:27" ht="14.45">
      <c r="A848" s="104"/>
      <c r="B848" s="104"/>
      <c r="C848" s="104"/>
      <c r="D848" s="104"/>
      <c r="E848" s="107"/>
      <c r="F848" s="107"/>
      <c r="G848" s="107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</row>
    <row r="849" spans="1:27" ht="14.45">
      <c r="A849" s="104"/>
      <c r="B849" s="104"/>
      <c r="C849" s="104"/>
      <c r="D849" s="104"/>
      <c r="E849" s="107"/>
      <c r="F849" s="107"/>
      <c r="G849" s="107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</row>
    <row r="850" spans="1:27" ht="14.45">
      <c r="A850" s="104"/>
      <c r="B850" s="104"/>
      <c r="C850" s="104"/>
      <c r="D850" s="104"/>
      <c r="E850" s="107"/>
      <c r="F850" s="107"/>
      <c r="G850" s="107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</row>
    <row r="851" spans="1:27" ht="14.45">
      <c r="A851" s="104"/>
      <c r="B851" s="104"/>
      <c r="C851" s="104"/>
      <c r="D851" s="104"/>
      <c r="E851" s="107"/>
      <c r="F851" s="107"/>
      <c r="G851" s="107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</row>
    <row r="852" spans="1:27" ht="14.45">
      <c r="A852" s="104"/>
      <c r="B852" s="104"/>
      <c r="C852" s="104"/>
      <c r="D852" s="104"/>
      <c r="E852" s="107"/>
      <c r="F852" s="107"/>
      <c r="G852" s="107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</row>
    <row r="853" spans="1:27" ht="14.45">
      <c r="A853" s="104"/>
      <c r="B853" s="104"/>
      <c r="C853" s="104"/>
      <c r="D853" s="104"/>
      <c r="E853" s="107"/>
      <c r="F853" s="107"/>
      <c r="G853" s="107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</row>
    <row r="854" spans="1:27" ht="14.45">
      <c r="A854" s="104"/>
      <c r="B854" s="104"/>
      <c r="C854" s="104"/>
      <c r="D854" s="104"/>
      <c r="E854" s="107"/>
      <c r="F854" s="107"/>
      <c r="G854" s="107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</row>
    <row r="855" spans="1:27" ht="14.45">
      <c r="A855" s="104"/>
      <c r="B855" s="104"/>
      <c r="C855" s="104"/>
      <c r="D855" s="104"/>
      <c r="E855" s="107"/>
      <c r="F855" s="107"/>
      <c r="G855" s="107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</row>
    <row r="856" spans="1:27" ht="14.45">
      <c r="A856" s="104"/>
      <c r="B856" s="104"/>
      <c r="C856" s="104"/>
      <c r="D856" s="104"/>
      <c r="E856" s="107"/>
      <c r="F856" s="107"/>
      <c r="G856" s="107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</row>
    <row r="857" spans="1:27" ht="14.45">
      <c r="A857" s="104"/>
      <c r="B857" s="104"/>
      <c r="C857" s="104"/>
      <c r="D857" s="104"/>
      <c r="E857" s="107"/>
      <c r="F857" s="107"/>
      <c r="G857" s="107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</row>
    <row r="858" spans="1:27" ht="14.45">
      <c r="A858" s="104"/>
      <c r="B858" s="104"/>
      <c r="C858" s="104"/>
      <c r="D858" s="104"/>
      <c r="E858" s="107"/>
      <c r="F858" s="107"/>
      <c r="G858" s="107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</row>
    <row r="859" spans="1:27" ht="14.45">
      <c r="A859" s="104"/>
      <c r="B859" s="104"/>
      <c r="C859" s="104"/>
      <c r="D859" s="104"/>
      <c r="E859" s="107"/>
      <c r="F859" s="107"/>
      <c r="G859" s="107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</row>
    <row r="860" spans="1:27" ht="14.45">
      <c r="A860" s="104"/>
      <c r="B860" s="104"/>
      <c r="C860" s="104"/>
      <c r="D860" s="104"/>
      <c r="E860" s="107"/>
      <c r="F860" s="107"/>
      <c r="G860" s="107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</row>
    <row r="861" spans="1:27" ht="14.45">
      <c r="A861" s="104"/>
      <c r="B861" s="104"/>
      <c r="C861" s="104"/>
      <c r="D861" s="104"/>
      <c r="E861" s="107"/>
      <c r="F861" s="107"/>
      <c r="G861" s="107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</row>
    <row r="862" spans="1:27" ht="14.45">
      <c r="A862" s="104"/>
      <c r="B862" s="104"/>
      <c r="C862" s="104"/>
      <c r="D862" s="104"/>
      <c r="E862" s="107"/>
      <c r="F862" s="107"/>
      <c r="G862" s="107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</row>
    <row r="863" spans="1:27" ht="14.45">
      <c r="A863" s="104"/>
      <c r="B863" s="104"/>
      <c r="C863" s="104"/>
      <c r="D863" s="104"/>
      <c r="E863" s="107"/>
      <c r="F863" s="107"/>
      <c r="G863" s="107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</row>
    <row r="864" spans="1:27" ht="14.45">
      <c r="A864" s="104"/>
      <c r="B864" s="104"/>
      <c r="C864" s="104"/>
      <c r="D864" s="104"/>
      <c r="E864" s="107"/>
      <c r="F864" s="107"/>
      <c r="G864" s="107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</row>
    <row r="865" spans="1:27" ht="14.45">
      <c r="A865" s="104"/>
      <c r="B865" s="104"/>
      <c r="C865" s="104"/>
      <c r="D865" s="104"/>
      <c r="E865" s="107"/>
      <c r="F865" s="107"/>
      <c r="G865" s="107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</row>
    <row r="866" spans="1:27" ht="14.45">
      <c r="A866" s="104"/>
      <c r="B866" s="104"/>
      <c r="C866" s="104"/>
      <c r="D866" s="104"/>
      <c r="E866" s="107"/>
      <c r="F866" s="107"/>
      <c r="G866" s="107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</row>
    <row r="867" spans="1:27" ht="14.45">
      <c r="A867" s="104"/>
      <c r="B867" s="104"/>
      <c r="C867" s="104"/>
      <c r="D867" s="104"/>
      <c r="E867" s="107"/>
      <c r="F867" s="107"/>
      <c r="G867" s="107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</row>
    <row r="868" spans="1:27" ht="14.45">
      <c r="A868" s="104"/>
      <c r="B868" s="104"/>
      <c r="C868" s="104"/>
      <c r="D868" s="104"/>
      <c r="E868" s="107"/>
      <c r="F868" s="107"/>
      <c r="G868" s="107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</row>
    <row r="869" spans="1:27" ht="14.45">
      <c r="A869" s="104"/>
      <c r="B869" s="104"/>
      <c r="C869" s="104"/>
      <c r="D869" s="104"/>
      <c r="E869" s="107"/>
      <c r="F869" s="107"/>
      <c r="G869" s="107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</row>
    <row r="870" spans="1:27" ht="14.45">
      <c r="A870" s="104"/>
      <c r="B870" s="104"/>
      <c r="C870" s="104"/>
      <c r="D870" s="104"/>
      <c r="E870" s="107"/>
      <c r="F870" s="107"/>
      <c r="G870" s="107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</row>
    <row r="871" spans="1:27" ht="14.45">
      <c r="A871" s="104"/>
      <c r="B871" s="104"/>
      <c r="C871" s="104"/>
      <c r="D871" s="104"/>
      <c r="E871" s="107"/>
      <c r="F871" s="107"/>
      <c r="G871" s="107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</row>
    <row r="872" spans="1:27" ht="14.45">
      <c r="A872" s="104"/>
      <c r="B872" s="104"/>
      <c r="C872" s="104"/>
      <c r="D872" s="104"/>
      <c r="E872" s="107"/>
      <c r="F872" s="107"/>
      <c r="G872" s="107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</row>
    <row r="873" spans="1:27" ht="14.45">
      <c r="A873" s="104"/>
      <c r="B873" s="104"/>
      <c r="C873" s="104"/>
      <c r="D873" s="104"/>
      <c r="E873" s="107"/>
      <c r="F873" s="107"/>
      <c r="G873" s="107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</row>
    <row r="874" spans="1:27" ht="14.45">
      <c r="A874" s="104"/>
      <c r="B874" s="104"/>
      <c r="C874" s="104"/>
      <c r="D874" s="104"/>
      <c r="E874" s="107"/>
      <c r="F874" s="107"/>
      <c r="G874" s="107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</row>
    <row r="875" spans="1:27" ht="14.45">
      <c r="A875" s="104"/>
      <c r="B875" s="104"/>
      <c r="C875" s="104"/>
      <c r="D875" s="104"/>
      <c r="E875" s="107"/>
      <c r="F875" s="107"/>
      <c r="G875" s="107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</row>
    <row r="876" spans="1:27" ht="14.45">
      <c r="A876" s="104"/>
      <c r="B876" s="104"/>
      <c r="C876" s="104"/>
      <c r="D876" s="104"/>
      <c r="E876" s="107"/>
      <c r="F876" s="107"/>
      <c r="G876" s="107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</row>
    <row r="877" spans="1:27" ht="14.45">
      <c r="A877" s="104"/>
      <c r="B877" s="104"/>
      <c r="C877" s="104"/>
      <c r="D877" s="104"/>
      <c r="E877" s="107"/>
      <c r="F877" s="107"/>
      <c r="G877" s="107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</row>
    <row r="878" spans="1:27" ht="14.45">
      <c r="A878" s="104"/>
      <c r="B878" s="104"/>
      <c r="C878" s="104"/>
      <c r="D878" s="104"/>
      <c r="E878" s="107"/>
      <c r="F878" s="107"/>
      <c r="G878" s="107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</row>
    <row r="879" spans="1:27" ht="14.45">
      <c r="A879" s="104"/>
      <c r="B879" s="104"/>
      <c r="C879" s="104"/>
      <c r="D879" s="104"/>
      <c r="E879" s="107"/>
      <c r="F879" s="107"/>
      <c r="G879" s="107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</row>
    <row r="880" spans="1:27" ht="14.45">
      <c r="A880" s="104"/>
      <c r="B880" s="104"/>
      <c r="C880" s="104"/>
      <c r="D880" s="104"/>
      <c r="E880" s="107"/>
      <c r="F880" s="107"/>
      <c r="G880" s="107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</row>
    <row r="881" spans="1:27" ht="14.45">
      <c r="A881" s="104"/>
      <c r="B881" s="104"/>
      <c r="C881" s="104"/>
      <c r="D881" s="104"/>
      <c r="E881" s="107"/>
      <c r="F881" s="107"/>
      <c r="G881" s="107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</row>
    <row r="882" spans="1:27" ht="14.45">
      <c r="A882" s="104"/>
      <c r="B882" s="104"/>
      <c r="C882" s="104"/>
      <c r="D882" s="104"/>
      <c r="E882" s="107"/>
      <c r="F882" s="107"/>
      <c r="G882" s="107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</row>
    <row r="883" spans="1:27" ht="14.45">
      <c r="A883" s="104"/>
      <c r="B883" s="104"/>
      <c r="C883" s="104"/>
      <c r="D883" s="104"/>
      <c r="E883" s="107"/>
      <c r="F883" s="107"/>
      <c r="G883" s="107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</row>
    <row r="884" spans="1:27" ht="14.45">
      <c r="A884" s="104"/>
      <c r="B884" s="104"/>
      <c r="C884" s="104"/>
      <c r="D884" s="104"/>
      <c r="E884" s="107"/>
      <c r="F884" s="107"/>
      <c r="G884" s="107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</row>
    <row r="885" spans="1:27" ht="14.45">
      <c r="A885" s="104"/>
      <c r="B885" s="104"/>
      <c r="C885" s="104"/>
      <c r="D885" s="104"/>
      <c r="E885" s="107"/>
      <c r="F885" s="107"/>
      <c r="G885" s="107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</row>
    <row r="886" spans="1:27" ht="14.45">
      <c r="A886" s="104"/>
      <c r="B886" s="104"/>
      <c r="C886" s="104"/>
      <c r="D886" s="104"/>
      <c r="E886" s="107"/>
      <c r="F886" s="107"/>
      <c r="G886" s="107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</row>
    <row r="887" spans="1:27" ht="14.45">
      <c r="A887" s="104"/>
      <c r="B887" s="104"/>
      <c r="C887" s="104"/>
      <c r="D887" s="104"/>
      <c r="E887" s="107"/>
      <c r="F887" s="107"/>
      <c r="G887" s="107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</row>
    <row r="888" spans="1:27" ht="14.45">
      <c r="A888" s="104"/>
      <c r="B888" s="104"/>
      <c r="C888" s="104"/>
      <c r="D888" s="104"/>
      <c r="E888" s="107"/>
      <c r="F888" s="107"/>
      <c r="G888" s="107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</row>
    <row r="889" spans="1:27" ht="14.45">
      <c r="A889" s="104"/>
      <c r="B889" s="104"/>
      <c r="C889" s="104"/>
      <c r="D889" s="104"/>
      <c r="E889" s="107"/>
      <c r="F889" s="107"/>
      <c r="G889" s="107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</row>
    <row r="890" spans="1:27" ht="14.45">
      <c r="A890" s="104"/>
      <c r="B890" s="104"/>
      <c r="C890" s="104"/>
      <c r="D890" s="104"/>
      <c r="E890" s="107"/>
      <c r="F890" s="107"/>
      <c r="G890" s="107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</row>
    <row r="891" spans="1:27" ht="14.45">
      <c r="A891" s="104"/>
      <c r="B891" s="104"/>
      <c r="C891" s="104"/>
      <c r="D891" s="104"/>
      <c r="E891" s="107"/>
      <c r="F891" s="107"/>
      <c r="G891" s="107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</row>
    <row r="892" spans="1:27" ht="14.45">
      <c r="A892" s="104"/>
      <c r="B892" s="104"/>
      <c r="C892" s="104"/>
      <c r="D892" s="104"/>
      <c r="E892" s="107"/>
      <c r="F892" s="107"/>
      <c r="G892" s="107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</row>
    <row r="893" spans="1:27" ht="14.45">
      <c r="A893" s="104"/>
      <c r="B893" s="104"/>
      <c r="C893" s="104"/>
      <c r="D893" s="104"/>
      <c r="E893" s="107"/>
      <c r="F893" s="107"/>
      <c r="G893" s="107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</row>
    <row r="894" spans="1:27" ht="14.45">
      <c r="A894" s="104"/>
      <c r="B894" s="104"/>
      <c r="C894" s="104"/>
      <c r="D894" s="104"/>
      <c r="E894" s="107"/>
      <c r="F894" s="107"/>
      <c r="G894" s="107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</row>
    <row r="895" spans="1:27" ht="14.45">
      <c r="A895" s="104"/>
      <c r="B895" s="104"/>
      <c r="C895" s="104"/>
      <c r="D895" s="104"/>
      <c r="E895" s="107"/>
      <c r="F895" s="107"/>
      <c r="G895" s="107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</row>
    <row r="896" spans="1:27" ht="14.45">
      <c r="A896" s="104"/>
      <c r="B896" s="104"/>
      <c r="C896" s="104"/>
      <c r="D896" s="104"/>
      <c r="E896" s="107"/>
      <c r="F896" s="107"/>
      <c r="G896" s="107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</row>
    <row r="897" spans="1:27" ht="14.45">
      <c r="A897" s="104"/>
      <c r="B897" s="104"/>
      <c r="C897" s="104"/>
      <c r="D897" s="104"/>
      <c r="E897" s="107"/>
      <c r="F897" s="107"/>
      <c r="G897" s="107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</row>
    <row r="898" spans="1:27" ht="14.45">
      <c r="A898" s="104"/>
      <c r="B898" s="104"/>
      <c r="C898" s="104"/>
      <c r="D898" s="104"/>
      <c r="E898" s="107"/>
      <c r="F898" s="107"/>
      <c r="G898" s="107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</row>
    <row r="899" spans="1:27" ht="14.45">
      <c r="A899" s="104"/>
      <c r="B899" s="104"/>
      <c r="C899" s="104"/>
      <c r="D899" s="104"/>
      <c r="E899" s="107"/>
      <c r="F899" s="107"/>
      <c r="G899" s="107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</row>
    <row r="900" spans="1:27" ht="14.45">
      <c r="A900" s="104"/>
      <c r="B900" s="104"/>
      <c r="C900" s="104"/>
      <c r="D900" s="104"/>
      <c r="E900" s="107"/>
      <c r="F900" s="107"/>
      <c r="G900" s="107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</row>
    <row r="901" spans="1:27" ht="14.45">
      <c r="A901" s="104"/>
      <c r="B901" s="104"/>
      <c r="C901" s="104"/>
      <c r="D901" s="104"/>
      <c r="E901" s="107"/>
      <c r="F901" s="107"/>
      <c r="G901" s="107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</row>
    <row r="902" spans="1:27" ht="14.45">
      <c r="A902" s="104"/>
      <c r="B902" s="104"/>
      <c r="C902" s="104"/>
      <c r="D902" s="104"/>
      <c r="E902" s="107"/>
      <c r="F902" s="107"/>
      <c r="G902" s="107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</row>
    <row r="903" spans="1:27" ht="14.45">
      <c r="A903" s="104"/>
      <c r="B903" s="104"/>
      <c r="C903" s="104"/>
      <c r="D903" s="104"/>
      <c r="E903" s="107"/>
      <c r="F903" s="107"/>
      <c r="G903" s="107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</row>
    <row r="904" spans="1:27" ht="14.45">
      <c r="A904" s="104"/>
      <c r="B904" s="104"/>
      <c r="C904" s="104"/>
      <c r="D904" s="104"/>
      <c r="E904" s="107"/>
      <c r="F904" s="107"/>
      <c r="G904" s="107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</row>
    <row r="905" spans="1:27" ht="14.45">
      <c r="A905" s="104"/>
      <c r="B905" s="104"/>
      <c r="C905" s="104"/>
      <c r="D905" s="104"/>
      <c r="E905" s="107"/>
      <c r="F905" s="107"/>
      <c r="G905" s="107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</row>
    <row r="906" spans="1:27" ht="14.45">
      <c r="A906" s="104"/>
      <c r="B906" s="104"/>
      <c r="C906" s="104"/>
      <c r="D906" s="104"/>
      <c r="E906" s="107"/>
      <c r="F906" s="107"/>
      <c r="G906" s="107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</row>
    <row r="907" spans="1:27" ht="14.45">
      <c r="A907" s="104"/>
      <c r="B907" s="104"/>
      <c r="C907" s="104"/>
      <c r="D907" s="104"/>
      <c r="E907" s="107"/>
      <c r="F907" s="107"/>
      <c r="G907" s="107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</row>
    <row r="908" spans="1:27" ht="14.45">
      <c r="A908" s="104"/>
      <c r="B908" s="104"/>
      <c r="C908" s="104"/>
      <c r="D908" s="104"/>
      <c r="E908" s="107"/>
      <c r="F908" s="107"/>
      <c r="G908" s="107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</row>
    <row r="909" spans="1:27" ht="14.45">
      <c r="A909" s="104"/>
      <c r="B909" s="104"/>
      <c r="C909" s="104"/>
      <c r="D909" s="104"/>
      <c r="E909" s="107"/>
      <c r="F909" s="107"/>
      <c r="G909" s="107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</row>
    <row r="910" spans="1:27" ht="14.45">
      <c r="A910" s="104"/>
      <c r="B910" s="104"/>
      <c r="C910" s="104"/>
      <c r="D910" s="104"/>
      <c r="E910" s="107"/>
      <c r="F910" s="107"/>
      <c r="G910" s="107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</row>
    <row r="911" spans="1:27" ht="14.45">
      <c r="A911" s="104"/>
      <c r="B911" s="104"/>
      <c r="C911" s="104"/>
      <c r="D911" s="104"/>
      <c r="E911" s="107"/>
      <c r="F911" s="107"/>
      <c r="G911" s="107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</row>
    <row r="912" spans="1:27" ht="14.45">
      <c r="A912" s="104"/>
      <c r="B912" s="104"/>
      <c r="C912" s="104"/>
      <c r="D912" s="104"/>
      <c r="E912" s="107"/>
      <c r="F912" s="107"/>
      <c r="G912" s="107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</row>
    <row r="913" spans="1:27" ht="14.45">
      <c r="A913" s="104"/>
      <c r="B913" s="104"/>
      <c r="C913" s="104"/>
      <c r="D913" s="104"/>
      <c r="E913" s="107"/>
      <c r="F913" s="107"/>
      <c r="G913" s="107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</row>
    <row r="914" spans="1:27" ht="14.45">
      <c r="A914" s="104"/>
      <c r="B914" s="104"/>
      <c r="C914" s="104"/>
      <c r="D914" s="104"/>
      <c r="E914" s="107"/>
      <c r="F914" s="107"/>
      <c r="G914" s="107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</row>
    <row r="915" spans="1:27" ht="14.45">
      <c r="A915" s="104"/>
      <c r="B915" s="104"/>
      <c r="C915" s="104"/>
      <c r="D915" s="104"/>
      <c r="E915" s="107"/>
      <c r="F915" s="107"/>
      <c r="G915" s="107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</row>
    <row r="916" spans="1:27" ht="14.45">
      <c r="A916" s="104"/>
      <c r="B916" s="104"/>
      <c r="C916" s="104"/>
      <c r="D916" s="104"/>
      <c r="E916" s="107"/>
      <c r="F916" s="107"/>
      <c r="G916" s="107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</row>
    <row r="917" spans="1:27" ht="14.45">
      <c r="A917" s="104"/>
      <c r="B917" s="104"/>
      <c r="C917" s="104"/>
      <c r="D917" s="104"/>
      <c r="E917" s="107"/>
      <c r="F917" s="107"/>
      <c r="G917" s="107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</row>
    <row r="918" spans="1:27" ht="14.45">
      <c r="A918" s="104"/>
      <c r="B918" s="104"/>
      <c r="C918" s="104"/>
      <c r="D918" s="104"/>
      <c r="E918" s="107"/>
      <c r="F918" s="107"/>
      <c r="G918" s="107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</row>
    <row r="919" spans="1:27" ht="14.45">
      <c r="A919" s="104"/>
      <c r="B919" s="104"/>
      <c r="C919" s="104"/>
      <c r="D919" s="104"/>
      <c r="E919" s="107"/>
      <c r="F919" s="107"/>
      <c r="G919" s="107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</row>
    <row r="920" spans="1:27" ht="14.45">
      <c r="A920" s="104"/>
      <c r="B920" s="104"/>
      <c r="C920" s="104"/>
      <c r="D920" s="104"/>
      <c r="E920" s="107"/>
      <c r="F920" s="107"/>
      <c r="G920" s="107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</row>
    <row r="921" spans="1:27" ht="14.45">
      <c r="A921" s="104"/>
      <c r="B921" s="104"/>
      <c r="C921" s="104"/>
      <c r="D921" s="104"/>
      <c r="E921" s="107"/>
      <c r="F921" s="107"/>
      <c r="G921" s="107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</row>
    <row r="922" spans="1:27" ht="14.45">
      <c r="A922" s="104"/>
      <c r="B922" s="104"/>
      <c r="C922" s="104"/>
      <c r="D922" s="104"/>
      <c r="E922" s="107"/>
      <c r="F922" s="107"/>
      <c r="G922" s="107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</row>
    <row r="923" spans="1:27" ht="14.45">
      <c r="A923" s="104"/>
      <c r="B923" s="104"/>
      <c r="C923" s="104"/>
      <c r="D923" s="104"/>
      <c r="E923" s="107"/>
      <c r="F923" s="107"/>
      <c r="G923" s="107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</row>
    <row r="924" spans="1:27" ht="14.45">
      <c r="A924" s="104"/>
      <c r="B924" s="104"/>
      <c r="C924" s="104"/>
      <c r="D924" s="104"/>
      <c r="E924" s="107"/>
      <c r="F924" s="107"/>
      <c r="G924" s="107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</row>
    <row r="925" spans="1:27" ht="14.45">
      <c r="A925" s="104"/>
      <c r="B925" s="104"/>
      <c r="C925" s="104"/>
      <c r="D925" s="104"/>
      <c r="E925" s="107"/>
      <c r="F925" s="107"/>
      <c r="G925" s="107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</row>
    <row r="926" spans="1:27" ht="14.45">
      <c r="A926" s="104"/>
      <c r="B926" s="104"/>
      <c r="C926" s="104"/>
      <c r="D926" s="104"/>
      <c r="E926" s="107"/>
      <c r="F926" s="107"/>
      <c r="G926" s="107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</row>
    <row r="927" spans="1:27" ht="14.45">
      <c r="A927" s="104"/>
      <c r="B927" s="104"/>
      <c r="C927" s="104"/>
      <c r="D927" s="104"/>
      <c r="E927" s="107"/>
      <c r="F927" s="107"/>
      <c r="G927" s="107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</row>
    <row r="928" spans="1:27" ht="14.45">
      <c r="A928" s="104"/>
      <c r="B928" s="104"/>
      <c r="C928" s="104"/>
      <c r="D928" s="104"/>
      <c r="E928" s="107"/>
      <c r="F928" s="107"/>
      <c r="G928" s="107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</row>
    <row r="929" spans="1:27" ht="14.45">
      <c r="A929" s="104"/>
      <c r="B929" s="104"/>
      <c r="C929" s="104"/>
      <c r="D929" s="104"/>
      <c r="E929" s="107"/>
      <c r="F929" s="107"/>
      <c r="G929" s="107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</row>
    <row r="930" spans="1:27" ht="14.45">
      <c r="A930" s="104"/>
      <c r="B930" s="104"/>
      <c r="C930" s="104"/>
      <c r="D930" s="104"/>
      <c r="E930" s="107"/>
      <c r="F930" s="107"/>
      <c r="G930" s="107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</row>
    <row r="931" spans="1:27" ht="14.45">
      <c r="A931" s="104"/>
      <c r="B931" s="104"/>
      <c r="C931" s="104"/>
      <c r="D931" s="104"/>
      <c r="E931" s="107"/>
      <c r="F931" s="107"/>
      <c r="G931" s="107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</row>
    <row r="932" spans="1:27" ht="14.45">
      <c r="A932" s="104"/>
      <c r="B932" s="104"/>
      <c r="C932" s="104"/>
      <c r="D932" s="104"/>
      <c r="E932" s="107"/>
      <c r="F932" s="107"/>
      <c r="G932" s="107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</row>
    <row r="933" spans="1:27" ht="14.45">
      <c r="A933" s="104"/>
      <c r="B933" s="104"/>
      <c r="C933" s="104"/>
      <c r="D933" s="104"/>
      <c r="E933" s="107"/>
      <c r="F933" s="107"/>
      <c r="G933" s="107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</row>
    <row r="934" spans="1:27" ht="14.45">
      <c r="A934" s="104"/>
      <c r="B934" s="104"/>
      <c r="C934" s="104"/>
      <c r="D934" s="104"/>
      <c r="E934" s="107"/>
      <c r="F934" s="107"/>
      <c r="G934" s="107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</row>
    <row r="935" spans="1:27" ht="14.45">
      <c r="A935" s="104"/>
      <c r="B935" s="104"/>
      <c r="C935" s="104"/>
      <c r="D935" s="104"/>
      <c r="E935" s="107"/>
      <c r="F935" s="107"/>
      <c r="G935" s="107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</row>
    <row r="936" spans="1:27" ht="14.45">
      <c r="A936" s="104"/>
      <c r="B936" s="104"/>
      <c r="C936" s="104"/>
      <c r="D936" s="104"/>
      <c r="E936" s="107"/>
      <c r="F936" s="107"/>
      <c r="G936" s="107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</row>
    <row r="937" spans="1:27" ht="14.45">
      <c r="A937" s="104"/>
      <c r="B937" s="104"/>
      <c r="C937" s="104"/>
      <c r="D937" s="104"/>
      <c r="E937" s="107"/>
      <c r="F937" s="107"/>
      <c r="G937" s="107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</row>
    <row r="938" spans="1:27" ht="14.45">
      <c r="A938" s="104"/>
      <c r="B938" s="104"/>
      <c r="C938" s="104"/>
      <c r="D938" s="104"/>
      <c r="E938" s="107"/>
      <c r="F938" s="107"/>
      <c r="G938" s="107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</row>
    <row r="939" spans="1:27" ht="14.45">
      <c r="A939" s="104"/>
      <c r="B939" s="104"/>
      <c r="C939" s="104"/>
      <c r="D939" s="104"/>
      <c r="E939" s="107"/>
      <c r="F939" s="107"/>
      <c r="G939" s="107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</row>
    <row r="940" spans="1:27" ht="14.45">
      <c r="A940" s="104"/>
      <c r="B940" s="104"/>
      <c r="C940" s="104"/>
      <c r="D940" s="104"/>
      <c r="E940" s="107"/>
      <c r="F940" s="107"/>
      <c r="G940" s="107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</row>
    <row r="941" spans="1:27" ht="14.45">
      <c r="A941" s="104"/>
      <c r="B941" s="104"/>
      <c r="C941" s="104"/>
      <c r="D941" s="104"/>
      <c r="E941" s="107"/>
      <c r="F941" s="107"/>
      <c r="G941" s="107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</row>
    <row r="942" spans="1:27" ht="14.45">
      <c r="A942" s="104"/>
      <c r="B942" s="104"/>
      <c r="C942" s="104"/>
      <c r="D942" s="104"/>
      <c r="E942" s="107"/>
      <c r="F942" s="107"/>
      <c r="G942" s="107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</row>
    <row r="943" spans="1:27" ht="14.45">
      <c r="A943" s="104"/>
      <c r="B943" s="104"/>
      <c r="C943" s="104"/>
      <c r="D943" s="104"/>
      <c r="E943" s="107"/>
      <c r="F943" s="107"/>
      <c r="G943" s="107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</row>
    <row r="944" spans="1:27" ht="14.45">
      <c r="A944" s="104"/>
      <c r="B944" s="104"/>
      <c r="C944" s="104"/>
      <c r="D944" s="104"/>
      <c r="E944" s="107"/>
      <c r="F944" s="107"/>
      <c r="G944" s="107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</row>
    <row r="945" spans="1:27" ht="14.45">
      <c r="A945" s="104"/>
      <c r="B945" s="104"/>
      <c r="C945" s="104"/>
      <c r="D945" s="104"/>
      <c r="E945" s="107"/>
      <c r="F945" s="107"/>
      <c r="G945" s="107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</row>
    <row r="946" spans="1:27" ht="14.45">
      <c r="A946" s="104"/>
      <c r="B946" s="104"/>
      <c r="C946" s="104"/>
      <c r="D946" s="104"/>
      <c r="E946" s="107"/>
      <c r="F946" s="107"/>
      <c r="G946" s="107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</row>
    <row r="947" spans="1:27" ht="14.45">
      <c r="A947" s="104"/>
      <c r="B947" s="104"/>
      <c r="C947" s="104"/>
      <c r="D947" s="104"/>
      <c r="E947" s="107"/>
      <c r="F947" s="107"/>
      <c r="G947" s="107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</row>
    <row r="948" spans="1:27" ht="14.45">
      <c r="A948" s="104"/>
      <c r="B948" s="104"/>
      <c r="C948" s="104"/>
      <c r="D948" s="104"/>
      <c r="E948" s="107"/>
      <c r="F948" s="107"/>
      <c r="G948" s="107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</row>
    <row r="949" spans="1:27" ht="14.45">
      <c r="A949" s="104"/>
      <c r="B949" s="104"/>
      <c r="C949" s="104"/>
      <c r="D949" s="104"/>
      <c r="E949" s="107"/>
      <c r="F949" s="107"/>
      <c r="G949" s="107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</row>
    <row r="950" spans="1:27" ht="14.45">
      <c r="A950" s="104"/>
      <c r="B950" s="104"/>
      <c r="C950" s="104"/>
      <c r="D950" s="104"/>
      <c r="E950" s="107"/>
      <c r="F950" s="107"/>
      <c r="G950" s="107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</row>
    <row r="951" spans="1:27" ht="14.45">
      <c r="A951" s="104"/>
      <c r="B951" s="104"/>
      <c r="C951" s="104"/>
      <c r="D951" s="104"/>
      <c r="E951" s="107"/>
      <c r="F951" s="107"/>
      <c r="G951" s="107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</row>
    <row r="952" spans="1:27" ht="14.45">
      <c r="A952" s="104"/>
      <c r="B952" s="104"/>
      <c r="C952" s="104"/>
      <c r="D952" s="104"/>
      <c r="E952" s="107"/>
      <c r="F952" s="107"/>
      <c r="G952" s="107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</row>
    <row r="953" spans="1:27" ht="14.45">
      <c r="A953" s="104"/>
      <c r="B953" s="104"/>
      <c r="C953" s="104"/>
      <c r="D953" s="104"/>
      <c r="E953" s="107"/>
      <c r="F953" s="107"/>
      <c r="G953" s="107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</row>
    <row r="954" spans="1:27" ht="14.45">
      <c r="A954" s="104"/>
      <c r="B954" s="104"/>
      <c r="C954" s="104"/>
      <c r="D954" s="104"/>
      <c r="E954" s="107"/>
      <c r="F954" s="107"/>
      <c r="G954" s="107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</row>
    <row r="955" spans="1:27" ht="14.45">
      <c r="A955" s="104"/>
      <c r="B955" s="104"/>
      <c r="C955" s="104"/>
      <c r="D955" s="104"/>
      <c r="E955" s="107"/>
      <c r="F955" s="107"/>
      <c r="G955" s="107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</row>
    <row r="956" spans="1:27" ht="14.45">
      <c r="A956" s="104"/>
      <c r="B956" s="104"/>
      <c r="C956" s="104"/>
      <c r="D956" s="104"/>
      <c r="E956" s="107"/>
      <c r="F956" s="107"/>
      <c r="G956" s="107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</row>
    <row r="957" spans="1:27" ht="14.45">
      <c r="A957" s="104"/>
      <c r="B957" s="104"/>
      <c r="C957" s="104"/>
      <c r="D957" s="104"/>
      <c r="E957" s="107"/>
      <c r="F957" s="107"/>
      <c r="G957" s="107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</row>
    <row r="958" spans="1:27" ht="14.45">
      <c r="A958" s="104"/>
      <c r="B958" s="104"/>
      <c r="C958" s="104"/>
      <c r="D958" s="104"/>
      <c r="E958" s="107"/>
      <c r="F958" s="107"/>
      <c r="G958" s="107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</row>
    <row r="959" spans="1:27" ht="14.45">
      <c r="A959" s="104"/>
      <c r="B959" s="104"/>
      <c r="C959" s="104"/>
      <c r="D959" s="104"/>
      <c r="E959" s="107"/>
      <c r="F959" s="107"/>
      <c r="G959" s="107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</row>
    <row r="960" spans="1:27" ht="14.45">
      <c r="A960" s="104"/>
      <c r="B960" s="104"/>
      <c r="C960" s="104"/>
      <c r="D960" s="104"/>
      <c r="E960" s="107"/>
      <c r="F960" s="107"/>
      <c r="G960" s="107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</row>
    <row r="961" spans="1:27" ht="14.45">
      <c r="A961" s="104"/>
      <c r="B961" s="104"/>
      <c r="C961" s="104"/>
      <c r="D961" s="104"/>
      <c r="E961" s="107"/>
      <c r="F961" s="107"/>
      <c r="G961" s="107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</row>
    <row r="962" spans="1:27" ht="14.45">
      <c r="A962" s="104"/>
      <c r="B962" s="104"/>
      <c r="C962" s="104"/>
      <c r="D962" s="104"/>
      <c r="E962" s="107"/>
      <c r="F962" s="107"/>
      <c r="G962" s="107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</row>
    <row r="963" spans="1:27" ht="14.45">
      <c r="A963" s="104"/>
      <c r="B963" s="104"/>
      <c r="C963" s="104"/>
      <c r="D963" s="104"/>
      <c r="E963" s="107"/>
      <c r="F963" s="107"/>
      <c r="G963" s="107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</row>
    <row r="964" spans="1:27" ht="14.45">
      <c r="A964" s="104"/>
      <c r="B964" s="104"/>
      <c r="C964" s="104"/>
      <c r="D964" s="104"/>
      <c r="E964" s="107"/>
      <c r="F964" s="107"/>
      <c r="G964" s="107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</row>
    <row r="965" spans="1:27" ht="14.45">
      <c r="A965" s="104"/>
      <c r="B965" s="104"/>
      <c r="C965" s="104"/>
      <c r="D965" s="104"/>
      <c r="E965" s="107"/>
      <c r="F965" s="107"/>
      <c r="G965" s="107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</row>
    <row r="966" spans="1:27" ht="14.45">
      <c r="A966" s="104"/>
      <c r="B966" s="104"/>
      <c r="C966" s="104"/>
      <c r="D966" s="104"/>
      <c r="E966" s="107"/>
      <c r="F966" s="107"/>
      <c r="G966" s="107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</row>
    <row r="967" spans="1:27" ht="14.45">
      <c r="A967" s="104"/>
      <c r="B967" s="104"/>
      <c r="C967" s="104"/>
      <c r="D967" s="104"/>
      <c r="E967" s="107"/>
      <c r="F967" s="107"/>
      <c r="G967" s="107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</row>
    <row r="968" spans="1:27" ht="14.45">
      <c r="A968" s="104"/>
      <c r="B968" s="104"/>
      <c r="C968" s="104"/>
      <c r="D968" s="104"/>
      <c r="E968" s="107"/>
      <c r="F968" s="107"/>
      <c r="G968" s="107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</row>
    <row r="969" spans="1:27" ht="14.45">
      <c r="A969" s="104"/>
      <c r="B969" s="104"/>
      <c r="C969" s="104"/>
      <c r="D969" s="104"/>
      <c r="E969" s="107"/>
      <c r="F969" s="107"/>
      <c r="G969" s="107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</row>
    <row r="970" spans="1:27" ht="14.45">
      <c r="A970" s="104"/>
      <c r="B970" s="104"/>
      <c r="C970" s="104"/>
      <c r="D970" s="104"/>
      <c r="E970" s="107"/>
      <c r="F970" s="107"/>
      <c r="G970" s="107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</row>
    <row r="971" spans="1:27" ht="14.45">
      <c r="A971" s="104"/>
      <c r="B971" s="104"/>
      <c r="C971" s="104"/>
      <c r="D971" s="104"/>
      <c r="E971" s="107"/>
      <c r="F971" s="107"/>
      <c r="G971" s="107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</row>
    <row r="972" spans="1:27" ht="14.45">
      <c r="A972" s="104"/>
      <c r="B972" s="104"/>
      <c r="C972" s="104"/>
      <c r="D972" s="104"/>
      <c r="E972" s="107"/>
      <c r="F972" s="107"/>
      <c r="G972" s="107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</row>
    <row r="973" spans="1:27" ht="14.45">
      <c r="A973" s="104"/>
      <c r="B973" s="104"/>
      <c r="C973" s="104"/>
      <c r="D973" s="104"/>
      <c r="E973" s="107"/>
      <c r="F973" s="107"/>
      <c r="G973" s="107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</row>
    <row r="974" spans="1:27" ht="14.45">
      <c r="A974" s="104"/>
      <c r="B974" s="104"/>
      <c r="C974" s="104"/>
      <c r="D974" s="104"/>
      <c r="E974" s="107"/>
      <c r="F974" s="107"/>
      <c r="G974" s="107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</row>
    <row r="975" spans="1:27" ht="14.45">
      <c r="A975" s="104"/>
      <c r="B975" s="104"/>
      <c r="C975" s="104"/>
      <c r="D975" s="104"/>
      <c r="E975" s="107"/>
      <c r="F975" s="107"/>
      <c r="G975" s="107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</row>
    <row r="976" spans="1:27" ht="14.45">
      <c r="A976" s="104"/>
      <c r="B976" s="104"/>
      <c r="C976" s="104"/>
      <c r="D976" s="104"/>
      <c r="E976" s="107"/>
      <c r="F976" s="107"/>
      <c r="G976" s="107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</row>
    <row r="977" spans="1:27" ht="14.45">
      <c r="A977" s="104"/>
      <c r="B977" s="104"/>
      <c r="C977" s="104"/>
      <c r="D977" s="104"/>
      <c r="E977" s="107"/>
      <c r="F977" s="107"/>
      <c r="G977" s="107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</row>
    <row r="978" spans="1:27" ht="14.45">
      <c r="A978" s="104"/>
      <c r="B978" s="104"/>
      <c r="C978" s="104"/>
      <c r="D978" s="104"/>
      <c r="E978" s="107"/>
      <c r="F978" s="107"/>
      <c r="G978" s="107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</row>
    <row r="979" spans="1:27" ht="14.45">
      <c r="A979" s="104"/>
      <c r="B979" s="104"/>
      <c r="C979" s="104"/>
      <c r="D979" s="104"/>
      <c r="E979" s="107"/>
      <c r="F979" s="107"/>
      <c r="G979" s="107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</row>
    <row r="980" spans="1:27" ht="14.45">
      <c r="A980" s="104"/>
      <c r="B980" s="104"/>
      <c r="C980" s="104"/>
      <c r="D980" s="104"/>
      <c r="E980" s="107"/>
      <c r="F980" s="107"/>
      <c r="G980" s="107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</row>
    <row r="981" spans="1:27" ht="14.45">
      <c r="A981" s="104"/>
      <c r="B981" s="104"/>
      <c r="C981" s="104"/>
      <c r="D981" s="104"/>
      <c r="E981" s="107"/>
      <c r="F981" s="107"/>
      <c r="G981" s="107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</row>
    <row r="982" spans="1:27" ht="14.45">
      <c r="A982" s="104"/>
      <c r="B982" s="104"/>
      <c r="C982" s="104"/>
      <c r="D982" s="104"/>
      <c r="E982" s="107"/>
      <c r="F982" s="107"/>
      <c r="G982" s="107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</row>
    <row r="983" spans="1:27" ht="14.45">
      <c r="A983" s="104"/>
      <c r="B983" s="104"/>
      <c r="C983" s="104"/>
      <c r="D983" s="104"/>
      <c r="E983" s="107"/>
      <c r="F983" s="107"/>
      <c r="G983" s="107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</row>
    <row r="984" spans="1:27" ht="14.45">
      <c r="A984" s="104"/>
      <c r="B984" s="104"/>
      <c r="C984" s="104"/>
      <c r="D984" s="104"/>
      <c r="E984" s="107"/>
      <c r="F984" s="107"/>
      <c r="G984" s="107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</row>
    <row r="985" spans="1:27" ht="14.45">
      <c r="A985" s="104"/>
      <c r="B985" s="104"/>
      <c r="C985" s="104"/>
      <c r="D985" s="104"/>
      <c r="E985" s="107"/>
      <c r="F985" s="107"/>
      <c r="G985" s="107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</row>
    <row r="986" spans="1:27" ht="14.45">
      <c r="A986" s="104"/>
      <c r="B986" s="104"/>
      <c r="C986" s="104"/>
      <c r="D986" s="104"/>
      <c r="E986" s="107"/>
      <c r="F986" s="107"/>
      <c r="G986" s="107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</row>
    <row r="987" spans="1:27" ht="14.45">
      <c r="A987" s="104"/>
      <c r="B987" s="104"/>
      <c r="C987" s="104"/>
      <c r="D987" s="104"/>
      <c r="E987" s="107"/>
      <c r="F987" s="107"/>
      <c r="G987" s="107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</row>
    <row r="988" spans="1:27" ht="14.45">
      <c r="A988" s="104"/>
      <c r="B988" s="104"/>
      <c r="C988" s="104"/>
      <c r="D988" s="104"/>
      <c r="E988" s="107"/>
      <c r="F988" s="107"/>
      <c r="G988" s="107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</row>
    <row r="989" spans="1:27" ht="14.45">
      <c r="A989" s="104"/>
      <c r="B989" s="104"/>
      <c r="C989" s="104"/>
      <c r="D989" s="104"/>
      <c r="E989" s="107"/>
      <c r="F989" s="107"/>
      <c r="G989" s="107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</row>
    <row r="990" spans="1:27" ht="14.45">
      <c r="A990" s="104"/>
      <c r="B990" s="104"/>
      <c r="C990" s="104"/>
      <c r="D990" s="104"/>
      <c r="E990" s="107"/>
      <c r="F990" s="107"/>
      <c r="G990" s="107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</row>
    <row r="991" spans="1:27" ht="14.45">
      <c r="A991" s="104"/>
      <c r="B991" s="104"/>
      <c r="C991" s="104"/>
      <c r="D991" s="104"/>
      <c r="E991" s="107"/>
      <c r="F991" s="107"/>
      <c r="G991" s="107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</row>
    <row r="992" spans="1:27" ht="14.45">
      <c r="A992" s="104"/>
      <c r="B992" s="104"/>
      <c r="C992" s="104"/>
      <c r="D992" s="104"/>
      <c r="E992" s="107"/>
      <c r="F992" s="107"/>
      <c r="G992" s="107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</row>
    <row r="993" spans="1:27" ht="14.45">
      <c r="A993" s="104"/>
      <c r="B993" s="104"/>
      <c r="C993" s="104"/>
      <c r="D993" s="104"/>
      <c r="E993" s="107"/>
      <c r="F993" s="107"/>
      <c r="G993" s="107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</row>
    <row r="994" spans="1:27" ht="14.45">
      <c r="A994" s="104"/>
      <c r="B994" s="104"/>
      <c r="C994" s="104"/>
      <c r="D994" s="104"/>
      <c r="E994" s="107"/>
      <c r="F994" s="107"/>
      <c r="G994" s="107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</row>
    <row r="995" spans="1:27" ht="14.45">
      <c r="A995" s="104"/>
      <c r="B995" s="104"/>
      <c r="C995" s="104"/>
      <c r="D995" s="104"/>
      <c r="E995" s="107"/>
      <c r="F995" s="107"/>
      <c r="G995" s="107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</row>
    <row r="996" spans="1:27" ht="14.45">
      <c r="A996" s="104"/>
      <c r="B996" s="104"/>
      <c r="C996" s="104"/>
      <c r="D996" s="104"/>
      <c r="E996" s="107"/>
      <c r="F996" s="107"/>
      <c r="G996" s="107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</row>
    <row r="997" spans="1:27" ht="14.45">
      <c r="A997" s="104"/>
      <c r="B997" s="104"/>
      <c r="C997" s="104"/>
      <c r="D997" s="104"/>
      <c r="E997" s="107"/>
      <c r="F997" s="107"/>
      <c r="G997" s="107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</row>
    <row r="998" spans="1:27" ht="14.45">
      <c r="A998" s="104"/>
      <c r="B998" s="104"/>
      <c r="C998" s="104"/>
      <c r="D998" s="104"/>
      <c r="E998" s="107"/>
      <c r="F998" s="107"/>
      <c r="G998" s="107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</row>
    <row r="999" spans="1:27" ht="14.45">
      <c r="A999" s="104"/>
      <c r="B999" s="104"/>
      <c r="C999" s="104"/>
      <c r="D999" s="104"/>
      <c r="E999" s="107"/>
      <c r="F999" s="107"/>
      <c r="G999" s="107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</row>
    <row r="1000" spans="1:27" ht="14.45">
      <c r="A1000" s="104"/>
      <c r="B1000" s="104"/>
      <c r="C1000" s="104"/>
      <c r="D1000" s="104"/>
      <c r="E1000" s="107"/>
      <c r="F1000" s="107"/>
      <c r="G1000" s="107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</row>
    <row r="1001" spans="1:27" ht="14.45">
      <c r="A1001" s="104"/>
      <c r="B1001" s="104"/>
      <c r="C1001" s="104"/>
      <c r="D1001" s="104"/>
      <c r="E1001" s="107"/>
      <c r="F1001" s="107"/>
      <c r="G1001" s="107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</row>
    <row r="1002" spans="1:27" ht="14.45">
      <c r="A1002" s="104"/>
      <c r="B1002" s="104"/>
      <c r="C1002" s="104"/>
      <c r="D1002" s="104"/>
      <c r="E1002" s="107"/>
      <c r="F1002" s="107"/>
      <c r="G1002" s="107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</row>
    <row r="1003" spans="1:27" ht="14.45">
      <c r="A1003" s="104"/>
      <c r="B1003" s="104"/>
      <c r="C1003" s="104"/>
      <c r="D1003" s="104"/>
      <c r="E1003" s="107"/>
      <c r="F1003" s="107"/>
      <c r="G1003" s="107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</row>
    <row r="1004" spans="1:27" ht="14.45">
      <c r="A1004" s="104"/>
      <c r="B1004" s="104"/>
      <c r="C1004" s="104"/>
      <c r="D1004" s="104"/>
      <c r="E1004" s="107"/>
      <c r="F1004" s="107"/>
      <c r="G1004" s="107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</row>
    <row r="1005" spans="1:27" ht="14.45">
      <c r="A1005" s="104"/>
      <c r="B1005" s="104"/>
      <c r="C1005" s="104"/>
      <c r="D1005" s="104"/>
      <c r="E1005" s="107"/>
      <c r="F1005" s="107"/>
      <c r="G1005" s="107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</row>
    <row r="1006" spans="1:27" ht="14.45">
      <c r="A1006" s="104"/>
      <c r="B1006" s="104"/>
      <c r="C1006" s="104"/>
      <c r="D1006" s="104"/>
      <c r="E1006" s="107"/>
      <c r="F1006" s="107"/>
      <c r="G1006" s="107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</row>
    <row r="1007" spans="1:27" ht="14.45">
      <c r="A1007" s="104"/>
      <c r="B1007" s="104"/>
      <c r="C1007" s="104"/>
      <c r="D1007" s="104"/>
      <c r="E1007" s="107"/>
      <c r="F1007" s="107"/>
      <c r="G1007" s="107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</row>
    <row r="1008" spans="1:27" ht="14.45">
      <c r="A1008" s="104"/>
      <c r="B1008" s="104"/>
      <c r="C1008" s="104"/>
      <c r="D1008" s="104"/>
      <c r="E1008" s="107"/>
      <c r="F1008" s="107"/>
      <c r="G1008" s="107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</row>
    <row r="1009" spans="1:27" ht="14.45">
      <c r="A1009" s="104"/>
      <c r="B1009" s="104"/>
      <c r="C1009" s="104"/>
      <c r="D1009" s="104"/>
      <c r="E1009" s="107"/>
      <c r="F1009" s="107"/>
      <c r="G1009" s="107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4"/>
    </row>
    <row r="1010" spans="1:27" ht="14.45">
      <c r="A1010" s="104"/>
      <c r="B1010" s="104"/>
      <c r="C1010" s="104"/>
      <c r="D1010" s="104"/>
      <c r="E1010" s="107"/>
      <c r="F1010" s="107"/>
      <c r="G1010" s="107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  <c r="Z1010" s="104"/>
      <c r="AA1010" s="104"/>
    </row>
    <row r="1011" spans="1:27" ht="14.45">
      <c r="A1011" s="104"/>
      <c r="B1011" s="104"/>
      <c r="C1011" s="104"/>
      <c r="D1011" s="104"/>
      <c r="E1011" s="107"/>
      <c r="F1011" s="107"/>
      <c r="G1011" s="107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4"/>
      <c r="V1011" s="104"/>
      <c r="W1011" s="104"/>
      <c r="X1011" s="104"/>
      <c r="Y1011" s="104"/>
      <c r="Z1011" s="104"/>
      <c r="AA1011" s="104"/>
    </row>
    <row r="1012" spans="1:27" ht="14.45">
      <c r="A1012" s="104"/>
      <c r="B1012" s="104"/>
      <c r="C1012" s="104"/>
      <c r="D1012" s="104"/>
      <c r="E1012" s="107"/>
      <c r="F1012" s="107"/>
      <c r="G1012" s="107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4"/>
      <c r="V1012" s="104"/>
      <c r="W1012" s="104"/>
      <c r="X1012" s="104"/>
      <c r="Y1012" s="104"/>
      <c r="Z1012" s="104"/>
      <c r="AA1012" s="104"/>
    </row>
    <row r="1013" spans="1:27" ht="14.45">
      <c r="A1013" s="104"/>
      <c r="B1013" s="104"/>
      <c r="C1013" s="104"/>
      <c r="D1013" s="104"/>
      <c r="E1013" s="107"/>
      <c r="F1013" s="107"/>
      <c r="G1013" s="107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4"/>
      <c r="V1013" s="104"/>
      <c r="W1013" s="104"/>
      <c r="X1013" s="104"/>
      <c r="Y1013" s="104"/>
      <c r="Z1013" s="104"/>
      <c r="AA1013" s="104"/>
    </row>
    <row r="1014" spans="1:27" ht="14.45">
      <c r="A1014" s="104"/>
      <c r="B1014" s="104"/>
      <c r="C1014" s="104"/>
      <c r="D1014" s="104"/>
      <c r="E1014" s="107"/>
      <c r="F1014" s="107"/>
      <c r="G1014" s="107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4"/>
      <c r="V1014" s="104"/>
      <c r="W1014" s="104"/>
      <c r="X1014" s="104"/>
      <c r="Y1014" s="104"/>
      <c r="Z1014" s="104"/>
      <c r="AA1014" s="104"/>
    </row>
    <row r="1015" spans="1:27" ht="14.45">
      <c r="A1015" s="104"/>
      <c r="B1015" s="104"/>
      <c r="C1015" s="104"/>
      <c r="D1015" s="104"/>
      <c r="E1015" s="107"/>
      <c r="F1015" s="107"/>
      <c r="G1015" s="107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4"/>
    </row>
    <row r="1016" spans="1:27" ht="14.45">
      <c r="A1016" s="104"/>
      <c r="B1016" s="104"/>
      <c r="C1016" s="104"/>
      <c r="D1016" s="104"/>
      <c r="E1016" s="107"/>
      <c r="F1016" s="107"/>
      <c r="G1016" s="107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04"/>
      <c r="Y1016" s="104"/>
      <c r="Z1016" s="104"/>
      <c r="AA1016" s="104"/>
    </row>
  </sheetData>
  <mergeCells count="44">
    <mergeCell ref="C67:H67"/>
    <mergeCell ref="C44:H44"/>
    <mergeCell ref="C45:H45"/>
    <mergeCell ref="C53:H53"/>
    <mergeCell ref="C54:H54"/>
    <mergeCell ref="C55:H55"/>
    <mergeCell ref="C68:H68"/>
    <mergeCell ref="B1:G1"/>
    <mergeCell ref="C10:H10"/>
    <mergeCell ref="C11:H11"/>
    <mergeCell ref="C12:H12"/>
    <mergeCell ref="C24:H24"/>
    <mergeCell ref="B2:G2"/>
    <mergeCell ref="B4:G4"/>
    <mergeCell ref="D63:F63"/>
    <mergeCell ref="B47:G47"/>
    <mergeCell ref="C25:H25"/>
    <mergeCell ref="C26:H26"/>
    <mergeCell ref="C33:H33"/>
    <mergeCell ref="C34:H34"/>
    <mergeCell ref="C35:H35"/>
    <mergeCell ref="C43:H43"/>
    <mergeCell ref="C69:H69"/>
    <mergeCell ref="C77:H77"/>
    <mergeCell ref="C78:H78"/>
    <mergeCell ref="C79:H79"/>
    <mergeCell ref="C91:H91"/>
    <mergeCell ref="B71:G71"/>
    <mergeCell ref="C92:H92"/>
    <mergeCell ref="C93:H93"/>
    <mergeCell ref="C101:H101"/>
    <mergeCell ref="C102:H102"/>
    <mergeCell ref="C103:H103"/>
    <mergeCell ref="B95:G95"/>
    <mergeCell ref="C115:H115"/>
    <mergeCell ref="C116:H116"/>
    <mergeCell ref="C140:H140"/>
    <mergeCell ref="C141:H141"/>
    <mergeCell ref="C117:H117"/>
    <mergeCell ref="C125:H125"/>
    <mergeCell ref="C126:H126"/>
    <mergeCell ref="C127:H127"/>
    <mergeCell ref="C139:H139"/>
    <mergeCell ref="B119:G1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  <outlinePr summaryBelow="0" summaryRight="0"/>
  </sheetPr>
  <dimension ref="A1:AA941"/>
  <sheetViews>
    <sheetView workbookViewId="0">
      <selection activeCell="A68" activeCellId="5" sqref="A6:XFD17 A19:XFD29 A31:XFD39 A43:XFD52 A54:XFD66 A68:XFD80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125" customWidth="1"/>
    <col min="9" max="16384" width="12.7109375" style="79"/>
  </cols>
  <sheetData>
    <row r="1" spans="1:27" s="125" customFormat="1" ht="31.15">
      <c r="A1" s="204" t="s">
        <v>363</v>
      </c>
      <c r="B1" s="205" t="s">
        <v>300</v>
      </c>
      <c r="C1" s="205"/>
      <c r="D1" s="205"/>
      <c r="E1" s="205"/>
      <c r="F1" s="205"/>
      <c r="G1" s="205"/>
      <c r="H1" s="102" t="s">
        <v>301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.75" customHeight="1">
      <c r="A2" s="129" t="s">
        <v>364</v>
      </c>
      <c r="B2" s="283" t="s">
        <v>365</v>
      </c>
      <c r="C2" s="283"/>
      <c r="D2" s="283"/>
      <c r="E2" s="283"/>
      <c r="F2" s="283"/>
      <c r="G2" s="283"/>
      <c r="H2" s="136">
        <f>AVERAGE(H4,H41)</f>
        <v>4</v>
      </c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4"/>
      <c r="U2" s="194"/>
      <c r="V2" s="194"/>
      <c r="W2" s="194"/>
      <c r="X2" s="194"/>
      <c r="Y2" s="194"/>
      <c r="Z2" s="194"/>
      <c r="AA2" s="194"/>
    </row>
    <row r="3" spans="1:27" ht="15.75" customHeight="1">
      <c r="A3" s="94"/>
      <c r="B3" s="95"/>
      <c r="C3" s="95"/>
      <c r="D3" s="96"/>
      <c r="E3" s="96"/>
      <c r="F3" s="96"/>
      <c r="G3" s="96"/>
      <c r="H3" s="130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98">
        <v>1</v>
      </c>
      <c r="B4" s="192" t="s">
        <v>366</v>
      </c>
      <c r="C4" s="196"/>
      <c r="D4" s="196"/>
      <c r="E4" s="196"/>
      <c r="F4" s="196"/>
      <c r="G4" s="196"/>
      <c r="H4" s="90">
        <f>AVERAGE(H5:H35)</f>
        <v>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4"/>
      <c r="U4" s="194"/>
      <c r="V4" s="194"/>
      <c r="W4" s="194"/>
      <c r="X4" s="194"/>
      <c r="Y4" s="194"/>
      <c r="Z4" s="194"/>
      <c r="AA4" s="194"/>
    </row>
    <row r="5" spans="1:27" ht="15.75" customHeight="1">
      <c r="A5" s="82"/>
      <c r="B5" s="80">
        <v>46023</v>
      </c>
      <c r="C5" s="193"/>
      <c r="D5" s="193" t="s">
        <v>367</v>
      </c>
      <c r="E5" s="194"/>
      <c r="F5" s="194"/>
      <c r="G5" s="194"/>
      <c r="H5" s="90">
        <f>AVERAGE(G7:G13)</f>
        <v>4</v>
      </c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4"/>
      <c r="U5" s="194"/>
      <c r="V5" s="194"/>
      <c r="W5" s="194"/>
      <c r="X5" s="194"/>
      <c r="Y5" s="194"/>
      <c r="Z5" s="194"/>
      <c r="AA5" s="194"/>
    </row>
    <row r="6" spans="1:27" ht="15.75" hidden="1" customHeight="1">
      <c r="A6" s="82"/>
      <c r="B6" s="193"/>
      <c r="C6" s="193"/>
      <c r="D6" s="193"/>
      <c r="E6" s="81"/>
      <c r="F6" s="81" t="s">
        <v>10</v>
      </c>
      <c r="G6" s="81" t="s">
        <v>306</v>
      </c>
      <c r="H6" s="128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4"/>
      <c r="U6" s="194"/>
      <c r="V6" s="194"/>
      <c r="W6" s="194"/>
      <c r="X6" s="194"/>
      <c r="Y6" s="194"/>
      <c r="Z6" s="194"/>
      <c r="AA6" s="194"/>
    </row>
    <row r="7" spans="1:27" ht="15.75" hidden="1" customHeight="1">
      <c r="A7" s="82"/>
      <c r="B7" s="193"/>
      <c r="C7" s="193" t="s">
        <v>307</v>
      </c>
      <c r="D7" s="193" t="s">
        <v>368</v>
      </c>
      <c r="E7" s="81"/>
      <c r="F7" s="81">
        <v>4</v>
      </c>
      <c r="G7" s="135">
        <f t="shared" ref="G7" si="0">AVERAGE(E7:F7)</f>
        <v>4</v>
      </c>
      <c r="H7" s="128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4"/>
      <c r="U7" s="194"/>
      <c r="V7" s="194"/>
      <c r="W7" s="194"/>
      <c r="X7" s="194"/>
      <c r="Y7" s="194"/>
      <c r="Z7" s="194"/>
      <c r="AA7" s="194"/>
    </row>
    <row r="8" spans="1:27" ht="15.75" hidden="1" customHeight="1">
      <c r="A8" s="82"/>
      <c r="B8" s="193"/>
      <c r="C8" s="193" t="s">
        <v>309</v>
      </c>
      <c r="D8" s="193" t="s">
        <v>369</v>
      </c>
      <c r="E8" s="81"/>
      <c r="F8" s="81">
        <v>4</v>
      </c>
      <c r="G8" s="135">
        <f t="shared" ref="G8:G13" si="1">AVERAGE(E8:F8)</f>
        <v>4</v>
      </c>
      <c r="H8" s="8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4"/>
      <c r="U8" s="194"/>
      <c r="V8" s="194"/>
      <c r="W8" s="194"/>
      <c r="X8" s="194"/>
      <c r="Y8" s="194"/>
      <c r="Z8" s="194"/>
      <c r="AA8" s="194"/>
    </row>
    <row r="9" spans="1:27" ht="15.75" hidden="1" customHeight="1">
      <c r="A9" s="82"/>
      <c r="B9" s="86"/>
      <c r="C9" s="193" t="s">
        <v>316</v>
      </c>
      <c r="D9" s="193" t="s">
        <v>370</v>
      </c>
      <c r="E9" s="81"/>
      <c r="F9" s="81">
        <v>4</v>
      </c>
      <c r="G9" s="135">
        <f t="shared" si="1"/>
        <v>4</v>
      </c>
      <c r="H9" s="128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4"/>
      <c r="U9" s="194"/>
      <c r="V9" s="194"/>
      <c r="W9" s="194"/>
      <c r="X9" s="194"/>
      <c r="Y9" s="194"/>
      <c r="Z9" s="194"/>
      <c r="AA9" s="194"/>
    </row>
    <row r="10" spans="1:27" ht="15.75" hidden="1" customHeight="1">
      <c r="A10" s="82"/>
      <c r="B10" s="86"/>
      <c r="C10" s="193" t="s">
        <v>318</v>
      </c>
      <c r="D10" s="193" t="s">
        <v>371</v>
      </c>
      <c r="E10" s="81"/>
      <c r="F10" s="81">
        <v>4</v>
      </c>
      <c r="G10" s="135">
        <f t="shared" si="1"/>
        <v>4</v>
      </c>
      <c r="H10" s="128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4"/>
      <c r="U10" s="194"/>
      <c r="V10" s="194"/>
      <c r="W10" s="194"/>
      <c r="X10" s="194"/>
      <c r="Y10" s="194"/>
      <c r="Z10" s="194"/>
      <c r="AA10" s="194"/>
    </row>
    <row r="11" spans="1:27" ht="15.75" hidden="1" customHeight="1">
      <c r="A11" s="82"/>
      <c r="B11" s="86"/>
      <c r="C11" s="193" t="s">
        <v>320</v>
      </c>
      <c r="D11" s="193" t="s">
        <v>372</v>
      </c>
      <c r="E11" s="81"/>
      <c r="F11" s="81">
        <v>4</v>
      </c>
      <c r="G11" s="135">
        <f t="shared" si="1"/>
        <v>4</v>
      </c>
      <c r="H11" s="128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4"/>
      <c r="U11" s="194"/>
      <c r="V11" s="194"/>
      <c r="W11" s="194"/>
      <c r="X11" s="194"/>
      <c r="Y11" s="194"/>
      <c r="Z11" s="194"/>
      <c r="AA11" s="194"/>
    </row>
    <row r="12" spans="1:27" ht="15.75" hidden="1" customHeight="1">
      <c r="A12" s="82"/>
      <c r="B12" s="86"/>
      <c r="C12" s="193" t="s">
        <v>353</v>
      </c>
      <c r="D12" s="193" t="s">
        <v>373</v>
      </c>
      <c r="E12" s="81"/>
      <c r="F12" s="81">
        <v>4</v>
      </c>
      <c r="G12" s="135">
        <f t="shared" si="1"/>
        <v>4</v>
      </c>
      <c r="H12" s="128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4"/>
      <c r="U12" s="194"/>
      <c r="V12" s="194"/>
      <c r="W12" s="194"/>
      <c r="X12" s="194"/>
      <c r="Y12" s="194"/>
      <c r="Z12" s="194"/>
      <c r="AA12" s="194"/>
    </row>
    <row r="13" spans="1:27" ht="15.75" hidden="1" customHeight="1">
      <c r="A13" s="82"/>
      <c r="B13" s="86"/>
      <c r="C13" s="193" t="s">
        <v>355</v>
      </c>
      <c r="D13" s="193" t="s">
        <v>374</v>
      </c>
      <c r="E13" s="81"/>
      <c r="F13" s="81">
        <v>4</v>
      </c>
      <c r="G13" s="135">
        <f t="shared" si="1"/>
        <v>4</v>
      </c>
      <c r="H13" s="128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4"/>
      <c r="U13" s="194"/>
      <c r="V13" s="194"/>
      <c r="W13" s="194"/>
      <c r="X13" s="194"/>
      <c r="Y13" s="194"/>
      <c r="Z13" s="194"/>
      <c r="AA13" s="194"/>
    </row>
    <row r="14" spans="1:27" ht="15.75" hidden="1" customHeight="1">
      <c r="A14" s="82"/>
      <c r="B14" s="192" t="s">
        <v>311</v>
      </c>
      <c r="C14" s="208"/>
      <c r="D14" s="208"/>
      <c r="E14" s="208"/>
      <c r="F14" s="208"/>
      <c r="G14" s="208"/>
      <c r="H14" s="8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.75" hidden="1" customHeight="1">
      <c r="A15" s="99"/>
      <c r="B15" s="87" t="s">
        <v>285</v>
      </c>
      <c r="C15" s="208" t="s">
        <v>312</v>
      </c>
      <c r="D15" s="208"/>
      <c r="E15" s="208"/>
      <c r="F15" s="208"/>
      <c r="G15" s="208"/>
      <c r="H15" s="8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.75" hidden="1" customHeight="1">
      <c r="A16" s="82"/>
      <c r="B16" s="87" t="s">
        <v>285</v>
      </c>
      <c r="C16" s="208" t="s">
        <v>312</v>
      </c>
      <c r="D16" s="208"/>
      <c r="E16" s="208"/>
      <c r="F16" s="208"/>
      <c r="G16" s="208"/>
      <c r="H16" s="8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27" ht="15.75" hidden="1" customHeight="1">
      <c r="A17" s="82"/>
      <c r="B17" s="80"/>
      <c r="C17" s="193"/>
      <c r="D17" s="193"/>
      <c r="E17" s="201"/>
      <c r="F17" s="201"/>
      <c r="G17" s="201"/>
      <c r="H17" s="8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4"/>
      <c r="U17" s="194"/>
      <c r="V17" s="194"/>
      <c r="W17" s="194"/>
      <c r="X17" s="194"/>
      <c r="Y17" s="194"/>
      <c r="Z17" s="194"/>
      <c r="AA17" s="194"/>
    </row>
    <row r="18" spans="1:27" ht="15.75" customHeight="1">
      <c r="A18" s="82"/>
      <c r="B18" s="80">
        <v>46054</v>
      </c>
      <c r="C18" s="193"/>
      <c r="D18" s="193" t="s">
        <v>375</v>
      </c>
      <c r="E18" s="201"/>
      <c r="F18" s="201"/>
      <c r="G18" s="201"/>
      <c r="H18" s="90">
        <f>AVERAGE(G20:G25)</f>
        <v>4</v>
      </c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4"/>
      <c r="U18" s="194"/>
      <c r="V18" s="194"/>
      <c r="W18" s="194"/>
      <c r="X18" s="194"/>
      <c r="Y18" s="194"/>
      <c r="Z18" s="194"/>
      <c r="AA18" s="194"/>
    </row>
    <row r="19" spans="1:27" ht="15.75" hidden="1" customHeight="1">
      <c r="A19" s="82"/>
      <c r="B19" s="193"/>
      <c r="C19" s="193"/>
      <c r="D19" s="193"/>
      <c r="E19" s="81" t="s">
        <v>31</v>
      </c>
      <c r="F19" s="81" t="s">
        <v>10</v>
      </c>
      <c r="G19" s="81" t="s">
        <v>306</v>
      </c>
      <c r="H19" s="128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4"/>
      <c r="U19" s="194"/>
      <c r="V19" s="194"/>
      <c r="W19" s="194"/>
      <c r="X19" s="194"/>
      <c r="Y19" s="194"/>
      <c r="Z19" s="194"/>
      <c r="AA19" s="194"/>
    </row>
    <row r="20" spans="1:27" ht="15.75" hidden="1" customHeight="1">
      <c r="A20" s="82"/>
      <c r="B20" s="193"/>
      <c r="C20" s="193" t="s">
        <v>307</v>
      </c>
      <c r="D20" s="193" t="s">
        <v>375</v>
      </c>
      <c r="E20" s="81" t="s">
        <v>285</v>
      </c>
      <c r="F20" s="81">
        <v>4</v>
      </c>
      <c r="G20" s="135">
        <f t="shared" ref="G20:G25" si="2">AVERAGE(E20:F20)</f>
        <v>4</v>
      </c>
      <c r="H20" s="128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4"/>
      <c r="U20" s="194"/>
      <c r="V20" s="194"/>
      <c r="W20" s="194"/>
      <c r="X20" s="194"/>
      <c r="Y20" s="194"/>
      <c r="Z20" s="194"/>
      <c r="AA20" s="194"/>
    </row>
    <row r="21" spans="1:27" ht="15.75" hidden="1" customHeight="1">
      <c r="A21" s="82"/>
      <c r="B21" s="193"/>
      <c r="C21" s="193" t="s">
        <v>309</v>
      </c>
      <c r="D21" s="193" t="s">
        <v>376</v>
      </c>
      <c r="E21" s="81" t="s">
        <v>285</v>
      </c>
      <c r="F21" s="81">
        <v>4</v>
      </c>
      <c r="G21" s="135">
        <f t="shared" si="2"/>
        <v>4</v>
      </c>
      <c r="H21" s="8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4"/>
      <c r="U21" s="194"/>
      <c r="V21" s="194"/>
      <c r="W21" s="194"/>
      <c r="X21" s="194"/>
      <c r="Y21" s="194"/>
      <c r="Z21" s="194"/>
      <c r="AA21" s="194"/>
    </row>
    <row r="22" spans="1:27" ht="15.75" hidden="1" customHeight="1">
      <c r="A22" s="82"/>
      <c r="B22" s="193"/>
      <c r="C22" s="193" t="s">
        <v>316</v>
      </c>
      <c r="D22" s="193" t="s">
        <v>377</v>
      </c>
      <c r="E22" s="81" t="s">
        <v>285</v>
      </c>
      <c r="F22" s="81">
        <v>4</v>
      </c>
      <c r="G22" s="135">
        <f t="shared" si="2"/>
        <v>4</v>
      </c>
      <c r="H22" s="8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4"/>
      <c r="U22" s="194"/>
      <c r="V22" s="194"/>
      <c r="W22" s="194"/>
      <c r="X22" s="194"/>
      <c r="Y22" s="194"/>
      <c r="Z22" s="194"/>
      <c r="AA22" s="194"/>
    </row>
    <row r="23" spans="1:27" ht="15.75" hidden="1" customHeight="1">
      <c r="A23" s="82"/>
      <c r="B23" s="193"/>
      <c r="C23" s="193" t="s">
        <v>318</v>
      </c>
      <c r="D23" s="193" t="s">
        <v>378</v>
      </c>
      <c r="E23" s="81" t="s">
        <v>285</v>
      </c>
      <c r="F23" s="81">
        <v>4</v>
      </c>
      <c r="G23" s="135">
        <f t="shared" si="2"/>
        <v>4</v>
      </c>
      <c r="H23" s="8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4"/>
      <c r="U23" s="194"/>
      <c r="V23" s="194"/>
      <c r="W23" s="194"/>
      <c r="X23" s="194"/>
      <c r="Y23" s="194"/>
      <c r="Z23" s="194"/>
      <c r="AA23" s="194"/>
    </row>
    <row r="24" spans="1:27" ht="15.75" hidden="1" customHeight="1">
      <c r="A24" s="82"/>
      <c r="B24" s="193"/>
      <c r="C24" s="193" t="s">
        <v>320</v>
      </c>
      <c r="D24" s="193" t="s">
        <v>379</v>
      </c>
      <c r="E24" s="81" t="s">
        <v>285</v>
      </c>
      <c r="F24" s="81">
        <v>4</v>
      </c>
      <c r="G24" s="135">
        <f t="shared" si="2"/>
        <v>4</v>
      </c>
      <c r="H24" s="8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4"/>
      <c r="U24" s="194"/>
      <c r="V24" s="194"/>
      <c r="W24" s="194"/>
      <c r="X24" s="194"/>
      <c r="Y24" s="194"/>
      <c r="Z24" s="194"/>
      <c r="AA24" s="194"/>
    </row>
    <row r="25" spans="1:27" ht="15.75" hidden="1" customHeight="1">
      <c r="A25" s="82"/>
      <c r="B25" s="193"/>
      <c r="C25" s="193" t="s">
        <v>353</v>
      </c>
      <c r="D25" s="193" t="s">
        <v>380</v>
      </c>
      <c r="E25" s="81">
        <v>4</v>
      </c>
      <c r="F25" s="81">
        <v>4</v>
      </c>
      <c r="G25" s="135">
        <f t="shared" si="2"/>
        <v>4</v>
      </c>
      <c r="H25" s="8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4"/>
      <c r="U25" s="194"/>
      <c r="V25" s="194"/>
      <c r="W25" s="194"/>
      <c r="X25" s="194"/>
      <c r="Y25" s="194"/>
      <c r="Z25" s="194"/>
      <c r="AA25" s="194"/>
    </row>
    <row r="26" spans="1:27" ht="15.75" hidden="1" customHeight="1">
      <c r="A26" s="82"/>
      <c r="B26" s="192" t="s">
        <v>311</v>
      </c>
      <c r="C26" s="208"/>
      <c r="D26" s="208"/>
      <c r="E26" s="208"/>
      <c r="F26" s="208"/>
      <c r="G26" s="208"/>
      <c r="H26" s="8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75" hidden="1" customHeight="1">
      <c r="A27" s="99"/>
      <c r="B27" s="87" t="s">
        <v>285</v>
      </c>
      <c r="C27" s="208" t="s">
        <v>312</v>
      </c>
      <c r="D27" s="208"/>
      <c r="E27" s="208"/>
      <c r="F27" s="208"/>
      <c r="G27" s="208"/>
      <c r="H27" s="8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15.75" hidden="1" customHeight="1">
      <c r="A28" s="82"/>
      <c r="B28" s="87" t="s">
        <v>285</v>
      </c>
      <c r="C28" s="208" t="s">
        <v>312</v>
      </c>
      <c r="D28" s="208"/>
      <c r="E28" s="208"/>
      <c r="F28" s="208"/>
      <c r="G28" s="208"/>
      <c r="H28" s="8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ht="15.75" hidden="1" customHeight="1">
      <c r="A29" s="82"/>
      <c r="B29" s="193"/>
      <c r="C29" s="193"/>
      <c r="D29" s="193"/>
      <c r="E29" s="81"/>
      <c r="F29" s="81"/>
      <c r="G29" s="81"/>
      <c r="H29" s="8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4"/>
      <c r="U29" s="194"/>
      <c r="V29" s="194"/>
      <c r="W29" s="194"/>
      <c r="X29" s="194"/>
      <c r="Y29" s="194"/>
      <c r="Z29" s="194"/>
      <c r="AA29" s="194"/>
    </row>
    <row r="30" spans="1:27" ht="15.75" customHeight="1">
      <c r="A30" s="82"/>
      <c r="B30" s="126" t="s">
        <v>381</v>
      </c>
      <c r="C30" s="193"/>
      <c r="D30" s="193" t="s">
        <v>382</v>
      </c>
      <c r="E30" s="81"/>
      <c r="F30" s="81"/>
      <c r="G30" s="81"/>
      <c r="H30" s="90">
        <f>AVERAGE(G32:G35)</f>
        <v>4</v>
      </c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4"/>
      <c r="U30" s="194"/>
      <c r="V30" s="194"/>
      <c r="W30" s="194"/>
      <c r="X30" s="194"/>
      <c r="Y30" s="194"/>
      <c r="Z30" s="194"/>
      <c r="AA30" s="194"/>
    </row>
    <row r="31" spans="1:27" ht="15.75" hidden="1" customHeight="1">
      <c r="A31" s="82"/>
      <c r="B31" s="193"/>
      <c r="C31" s="193"/>
      <c r="D31" s="194"/>
      <c r="E31" s="81" t="s">
        <v>31</v>
      </c>
      <c r="F31" s="81" t="s">
        <v>10</v>
      </c>
      <c r="G31" s="81" t="s">
        <v>306</v>
      </c>
      <c r="H31" s="8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4"/>
      <c r="U31" s="194"/>
      <c r="V31" s="194"/>
      <c r="W31" s="194"/>
      <c r="X31" s="194"/>
      <c r="Y31" s="194"/>
      <c r="Z31" s="194"/>
      <c r="AA31" s="194"/>
    </row>
    <row r="32" spans="1:27" ht="15.75" hidden="1" customHeight="1">
      <c r="A32" s="82"/>
      <c r="B32" s="193"/>
      <c r="C32" s="193" t="s">
        <v>307</v>
      </c>
      <c r="D32" s="193" t="s">
        <v>383</v>
      </c>
      <c r="E32" s="81" t="s">
        <v>285</v>
      </c>
      <c r="F32" s="81">
        <v>4</v>
      </c>
      <c r="G32" s="135">
        <f t="shared" ref="G32:G35" si="3">AVERAGE(E32:F32)</f>
        <v>4</v>
      </c>
      <c r="H32" s="8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4"/>
      <c r="U32" s="194"/>
      <c r="V32" s="194"/>
      <c r="W32" s="194"/>
      <c r="X32" s="194"/>
      <c r="Y32" s="194"/>
      <c r="Z32" s="194"/>
      <c r="AA32" s="194"/>
    </row>
    <row r="33" spans="1:27" ht="15.75" hidden="1" customHeight="1">
      <c r="A33" s="82"/>
      <c r="B33" s="193"/>
      <c r="C33" s="193" t="s">
        <v>309</v>
      </c>
      <c r="D33" s="193" t="s">
        <v>384</v>
      </c>
      <c r="E33" s="81" t="s">
        <v>285</v>
      </c>
      <c r="F33" s="81">
        <v>4</v>
      </c>
      <c r="G33" s="135">
        <f t="shared" si="3"/>
        <v>4</v>
      </c>
      <c r="H33" s="8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4"/>
      <c r="U33" s="194"/>
      <c r="V33" s="194"/>
      <c r="W33" s="194"/>
      <c r="X33" s="194"/>
      <c r="Y33" s="194"/>
      <c r="Z33" s="194"/>
      <c r="AA33" s="194"/>
    </row>
    <row r="34" spans="1:27" ht="15.6" hidden="1">
      <c r="A34" s="82"/>
      <c r="B34" s="193"/>
      <c r="C34" s="193" t="s">
        <v>316</v>
      </c>
      <c r="D34" s="193" t="s">
        <v>385</v>
      </c>
      <c r="E34" s="81">
        <v>4</v>
      </c>
      <c r="F34" s="81">
        <v>4</v>
      </c>
      <c r="G34" s="135">
        <f t="shared" si="3"/>
        <v>4</v>
      </c>
      <c r="H34" s="8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4"/>
      <c r="U34" s="194"/>
      <c r="V34" s="194"/>
      <c r="W34" s="194"/>
      <c r="X34" s="194"/>
      <c r="Y34" s="194"/>
      <c r="Z34" s="194"/>
      <c r="AA34" s="194"/>
    </row>
    <row r="35" spans="1:27" ht="15.6" hidden="1">
      <c r="A35" s="82"/>
      <c r="B35" s="193"/>
      <c r="C35" s="193" t="s">
        <v>318</v>
      </c>
      <c r="D35" s="193" t="s">
        <v>386</v>
      </c>
      <c r="E35" s="81" t="s">
        <v>285</v>
      </c>
      <c r="F35" s="81">
        <v>4</v>
      </c>
      <c r="G35" s="135">
        <f t="shared" si="3"/>
        <v>4</v>
      </c>
      <c r="H35" s="8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4"/>
      <c r="U35" s="194"/>
      <c r="V35" s="194"/>
      <c r="W35" s="194"/>
      <c r="X35" s="194"/>
      <c r="Y35" s="194"/>
      <c r="Z35" s="194"/>
      <c r="AA35" s="194"/>
    </row>
    <row r="36" spans="1:27" ht="15.75" hidden="1" customHeight="1">
      <c r="A36" s="82"/>
      <c r="B36" s="192" t="s">
        <v>311</v>
      </c>
      <c r="C36" s="208"/>
      <c r="D36" s="208"/>
      <c r="E36" s="208"/>
      <c r="F36" s="208"/>
      <c r="G36" s="208"/>
      <c r="H36" s="8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spans="1:27" ht="15.75" hidden="1" customHeight="1">
      <c r="A37" s="99"/>
      <c r="B37" s="87" t="s">
        <v>285</v>
      </c>
      <c r="C37" s="208" t="s">
        <v>312</v>
      </c>
      <c r="D37" s="208"/>
      <c r="E37" s="208"/>
      <c r="F37" s="208"/>
      <c r="G37" s="208"/>
      <c r="H37" s="8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spans="1:27" ht="15.75" hidden="1" customHeight="1">
      <c r="A38" s="82"/>
      <c r="B38" s="87" t="s">
        <v>285</v>
      </c>
      <c r="C38" s="208" t="s">
        <v>312</v>
      </c>
      <c r="D38" s="208"/>
      <c r="E38" s="208"/>
      <c r="F38" s="208"/>
      <c r="G38" s="208"/>
      <c r="H38" s="8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spans="1:27" ht="15.75" hidden="1" customHeight="1">
      <c r="A39" s="127"/>
      <c r="B39" s="193"/>
      <c r="C39" s="193"/>
      <c r="D39" s="193"/>
      <c r="E39" s="193"/>
      <c r="F39" s="193"/>
      <c r="G39" s="193"/>
      <c r="H39" s="8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4"/>
      <c r="U39" s="194"/>
      <c r="V39" s="194"/>
      <c r="W39" s="194"/>
      <c r="X39" s="194"/>
      <c r="Y39" s="194"/>
      <c r="Z39" s="194"/>
      <c r="AA39" s="194"/>
    </row>
    <row r="40" spans="1:27" ht="15.75" customHeight="1">
      <c r="A40" s="94"/>
      <c r="B40" s="95"/>
      <c r="C40" s="95"/>
      <c r="D40" s="96"/>
      <c r="E40" s="96"/>
      <c r="F40" s="96"/>
      <c r="G40" s="96"/>
      <c r="H40" s="130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spans="1:27" ht="15.75" customHeight="1">
      <c r="A41" s="98">
        <v>2</v>
      </c>
      <c r="B41" s="192" t="s">
        <v>387</v>
      </c>
      <c r="C41" s="196"/>
      <c r="D41" s="196"/>
      <c r="E41" s="196"/>
      <c r="F41" s="196"/>
      <c r="G41" s="196"/>
      <c r="H41" s="90">
        <f>AVERAGE(H42:H77)</f>
        <v>4</v>
      </c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4"/>
      <c r="U41" s="194"/>
      <c r="V41" s="194"/>
      <c r="W41" s="194"/>
      <c r="X41" s="194"/>
      <c r="Y41" s="194"/>
      <c r="Z41" s="194"/>
      <c r="AA41" s="194"/>
    </row>
    <row r="42" spans="1:27" ht="15.6">
      <c r="A42" s="82"/>
      <c r="B42" s="80">
        <v>46024</v>
      </c>
      <c r="C42" s="193"/>
      <c r="D42" s="193" t="s">
        <v>388</v>
      </c>
      <c r="E42" s="194"/>
      <c r="F42" s="194"/>
      <c r="G42" s="194"/>
      <c r="H42" s="90">
        <f>AVERAGE(G44:G48)</f>
        <v>4</v>
      </c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4"/>
      <c r="U42" s="194"/>
      <c r="V42" s="194"/>
      <c r="W42" s="194"/>
      <c r="X42" s="194"/>
      <c r="Y42" s="194"/>
      <c r="Z42" s="194"/>
      <c r="AA42" s="194"/>
    </row>
    <row r="43" spans="1:27" ht="15.75" hidden="1" customHeight="1">
      <c r="A43" s="82"/>
      <c r="B43" s="193"/>
      <c r="C43" s="193"/>
      <c r="D43" s="193"/>
      <c r="E43" s="81" t="s">
        <v>31</v>
      </c>
      <c r="F43" s="81" t="s">
        <v>10</v>
      </c>
      <c r="G43" s="81" t="s">
        <v>306</v>
      </c>
      <c r="H43" s="128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4"/>
      <c r="U43" s="194"/>
      <c r="V43" s="194"/>
      <c r="W43" s="194"/>
      <c r="X43" s="194"/>
      <c r="Y43" s="194"/>
      <c r="Z43" s="194"/>
      <c r="AA43" s="194"/>
    </row>
    <row r="44" spans="1:27" ht="15.6" hidden="1">
      <c r="A44" s="82"/>
      <c r="B44" s="193"/>
      <c r="C44" s="193" t="s">
        <v>307</v>
      </c>
      <c r="D44" s="193" t="s">
        <v>389</v>
      </c>
      <c r="E44" s="81">
        <v>4</v>
      </c>
      <c r="F44" s="81">
        <v>4</v>
      </c>
      <c r="G44" s="135">
        <f t="shared" ref="G44:G48" si="4">AVERAGE(E44:F44)</f>
        <v>4</v>
      </c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4"/>
      <c r="U44" s="194"/>
      <c r="V44" s="194"/>
      <c r="W44" s="194"/>
      <c r="X44" s="194"/>
      <c r="Y44" s="194"/>
      <c r="Z44" s="194"/>
      <c r="AA44" s="194"/>
    </row>
    <row r="45" spans="1:27" ht="15.6" hidden="1">
      <c r="A45" s="82"/>
      <c r="B45" s="193"/>
      <c r="C45" s="193" t="s">
        <v>309</v>
      </c>
      <c r="D45" s="193" t="s">
        <v>390</v>
      </c>
      <c r="E45" s="81">
        <v>4</v>
      </c>
      <c r="F45" s="81">
        <v>4</v>
      </c>
      <c r="G45" s="135">
        <f t="shared" si="4"/>
        <v>4</v>
      </c>
      <c r="H45" s="8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4"/>
      <c r="U45" s="194"/>
      <c r="V45" s="194"/>
      <c r="W45" s="194"/>
      <c r="X45" s="194"/>
      <c r="Y45" s="194"/>
      <c r="Z45" s="194"/>
      <c r="AA45" s="194"/>
    </row>
    <row r="46" spans="1:27" ht="15.6" hidden="1">
      <c r="A46" s="82"/>
      <c r="B46" s="193"/>
      <c r="C46" s="193" t="s">
        <v>316</v>
      </c>
      <c r="D46" s="193" t="s">
        <v>391</v>
      </c>
      <c r="E46" s="81" t="s">
        <v>285</v>
      </c>
      <c r="F46" s="81">
        <v>4</v>
      </c>
      <c r="G46" s="135">
        <f t="shared" si="4"/>
        <v>4</v>
      </c>
      <c r="H46" s="8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4"/>
      <c r="U46" s="194"/>
      <c r="V46" s="194"/>
      <c r="W46" s="194"/>
      <c r="X46" s="194"/>
      <c r="Y46" s="194"/>
      <c r="Z46" s="194"/>
      <c r="AA46" s="194"/>
    </row>
    <row r="47" spans="1:27" ht="15.6" hidden="1">
      <c r="A47" s="82"/>
      <c r="B47" s="86"/>
      <c r="C47" s="193" t="s">
        <v>318</v>
      </c>
      <c r="D47" s="193" t="s">
        <v>392</v>
      </c>
      <c r="E47" s="81" t="s">
        <v>285</v>
      </c>
      <c r="F47" s="81">
        <v>4</v>
      </c>
      <c r="G47" s="135">
        <f t="shared" si="4"/>
        <v>4</v>
      </c>
      <c r="H47" s="128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4"/>
      <c r="U47" s="194"/>
      <c r="V47" s="194"/>
      <c r="W47" s="194"/>
      <c r="X47" s="194"/>
      <c r="Y47" s="194"/>
      <c r="Z47" s="194"/>
      <c r="AA47" s="194"/>
    </row>
    <row r="48" spans="1:27" ht="15.6" hidden="1">
      <c r="A48" s="82"/>
      <c r="B48" s="86"/>
      <c r="C48" s="193" t="s">
        <v>320</v>
      </c>
      <c r="D48" s="193" t="s">
        <v>393</v>
      </c>
      <c r="E48" s="81" t="s">
        <v>285</v>
      </c>
      <c r="F48" s="81">
        <v>4</v>
      </c>
      <c r="G48" s="135">
        <f t="shared" si="4"/>
        <v>4</v>
      </c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4"/>
      <c r="U48" s="194"/>
      <c r="V48" s="194"/>
      <c r="W48" s="194"/>
      <c r="X48" s="194"/>
      <c r="Y48" s="194"/>
      <c r="Z48" s="194"/>
      <c r="AA48" s="194"/>
    </row>
    <row r="49" spans="1:27" ht="15.75" hidden="1" customHeight="1">
      <c r="A49" s="82"/>
      <c r="B49" s="192" t="s">
        <v>311</v>
      </c>
      <c r="C49" s="208"/>
      <c r="D49" s="208"/>
      <c r="E49" s="208"/>
      <c r="F49" s="208"/>
      <c r="G49" s="208"/>
      <c r="H49" s="8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75" hidden="1" customHeight="1">
      <c r="A50" s="99"/>
      <c r="B50" s="87" t="s">
        <v>285</v>
      </c>
      <c r="C50" s="208" t="s">
        <v>312</v>
      </c>
      <c r="D50" s="208"/>
      <c r="E50" s="208"/>
      <c r="F50" s="208"/>
      <c r="G50" s="208"/>
      <c r="H50" s="8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75" hidden="1" customHeight="1">
      <c r="A51" s="82"/>
      <c r="B51" s="87" t="s">
        <v>285</v>
      </c>
      <c r="C51" s="208" t="s">
        <v>312</v>
      </c>
      <c r="D51" s="208"/>
      <c r="E51" s="208"/>
      <c r="F51" s="208"/>
      <c r="G51" s="208"/>
      <c r="H51" s="8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75" hidden="1" customHeight="1">
      <c r="A52" s="82"/>
      <c r="B52" s="87"/>
      <c r="C52" s="208"/>
      <c r="D52" s="208"/>
      <c r="E52" s="208"/>
      <c r="F52" s="208"/>
      <c r="G52" s="208"/>
      <c r="H52" s="8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6">
      <c r="A53" s="82"/>
      <c r="B53" s="80">
        <v>46055</v>
      </c>
      <c r="C53" s="193"/>
      <c r="D53" s="193" t="s">
        <v>394</v>
      </c>
      <c r="E53" s="81"/>
      <c r="F53" s="81"/>
      <c r="G53" s="81"/>
      <c r="H53" s="90">
        <f>AVERAGE(G55:G62)</f>
        <v>4</v>
      </c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4"/>
      <c r="U53" s="194"/>
      <c r="V53" s="194"/>
      <c r="W53" s="194"/>
      <c r="X53" s="194"/>
      <c r="Y53" s="194"/>
      <c r="Z53" s="194"/>
      <c r="AA53" s="194"/>
    </row>
    <row r="54" spans="1:27" ht="15.6" hidden="1">
      <c r="A54" s="82"/>
      <c r="B54" s="193"/>
      <c r="C54" s="193"/>
      <c r="D54" s="193"/>
      <c r="E54" s="81" t="s">
        <v>31</v>
      </c>
      <c r="F54" s="81" t="s">
        <v>10</v>
      </c>
      <c r="G54" s="81" t="s">
        <v>306</v>
      </c>
      <c r="H54" s="128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4"/>
      <c r="U54" s="194"/>
      <c r="V54" s="194"/>
      <c r="W54" s="194"/>
      <c r="X54" s="194"/>
      <c r="Y54" s="194"/>
      <c r="Z54" s="194"/>
      <c r="AA54" s="194"/>
    </row>
    <row r="55" spans="1:27" ht="15.6" hidden="1">
      <c r="A55" s="82"/>
      <c r="B55" s="193"/>
      <c r="C55" s="193" t="s">
        <v>307</v>
      </c>
      <c r="D55" s="193" t="s">
        <v>389</v>
      </c>
      <c r="E55" s="81">
        <v>4</v>
      </c>
      <c r="F55" s="81">
        <v>4</v>
      </c>
      <c r="G55" s="135">
        <f t="shared" ref="G55:G62" si="5">AVERAGE(E55:F55)</f>
        <v>4</v>
      </c>
      <c r="H55" s="128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4"/>
      <c r="U55" s="194"/>
      <c r="V55" s="194"/>
      <c r="W55" s="194"/>
      <c r="X55" s="194"/>
      <c r="Y55" s="194"/>
      <c r="Z55" s="194"/>
      <c r="AA55" s="194"/>
    </row>
    <row r="56" spans="1:27" ht="15.6" hidden="1">
      <c r="A56" s="82"/>
      <c r="B56" s="193"/>
      <c r="C56" s="193" t="s">
        <v>309</v>
      </c>
      <c r="D56" s="193" t="s">
        <v>390</v>
      </c>
      <c r="E56" s="81">
        <v>4</v>
      </c>
      <c r="F56" s="81">
        <v>4</v>
      </c>
      <c r="G56" s="135">
        <f t="shared" si="5"/>
        <v>4</v>
      </c>
      <c r="H56" s="8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4"/>
      <c r="U56" s="194"/>
      <c r="V56" s="194"/>
      <c r="W56" s="194"/>
      <c r="X56" s="194"/>
      <c r="Y56" s="194"/>
      <c r="Z56" s="194"/>
      <c r="AA56" s="194"/>
    </row>
    <row r="57" spans="1:27" ht="15.6" hidden="1">
      <c r="A57" s="82"/>
      <c r="B57" s="193"/>
      <c r="C57" s="193" t="s">
        <v>316</v>
      </c>
      <c r="D57" s="193" t="s">
        <v>391</v>
      </c>
      <c r="E57" s="81" t="s">
        <v>285</v>
      </c>
      <c r="F57" s="81">
        <v>4</v>
      </c>
      <c r="G57" s="135">
        <f t="shared" si="5"/>
        <v>4</v>
      </c>
      <c r="H57" s="128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4"/>
      <c r="U57" s="194"/>
      <c r="V57" s="194"/>
      <c r="W57" s="194"/>
      <c r="X57" s="194"/>
      <c r="Y57" s="194"/>
      <c r="Z57" s="194"/>
      <c r="AA57" s="194"/>
    </row>
    <row r="58" spans="1:27" ht="15.75" hidden="1" customHeight="1">
      <c r="A58" s="82"/>
      <c r="B58" s="193"/>
      <c r="C58" s="193" t="s">
        <v>318</v>
      </c>
      <c r="D58" s="193" t="s">
        <v>392</v>
      </c>
      <c r="E58" s="81" t="s">
        <v>285</v>
      </c>
      <c r="F58" s="81">
        <v>4</v>
      </c>
      <c r="G58" s="135">
        <f t="shared" si="5"/>
        <v>4</v>
      </c>
      <c r="H58" s="128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4"/>
      <c r="U58" s="194"/>
      <c r="V58" s="194"/>
      <c r="W58" s="194"/>
      <c r="X58" s="194"/>
      <c r="Y58" s="194"/>
      <c r="Z58" s="194"/>
      <c r="AA58" s="194"/>
    </row>
    <row r="59" spans="1:27" ht="15.75" hidden="1" customHeight="1">
      <c r="A59" s="82"/>
      <c r="B59" s="193"/>
      <c r="C59" s="193" t="s">
        <v>320</v>
      </c>
      <c r="D59" s="193" t="s">
        <v>395</v>
      </c>
      <c r="E59" s="81" t="s">
        <v>285</v>
      </c>
      <c r="F59" s="81">
        <v>4</v>
      </c>
      <c r="G59" s="135">
        <f t="shared" si="5"/>
        <v>4</v>
      </c>
      <c r="H59" s="128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4"/>
      <c r="U59" s="194"/>
      <c r="V59" s="194"/>
      <c r="W59" s="194"/>
      <c r="X59" s="194"/>
      <c r="Y59" s="194"/>
      <c r="Z59" s="194"/>
      <c r="AA59" s="194"/>
    </row>
    <row r="60" spans="1:27" ht="15.75" hidden="1" customHeight="1">
      <c r="A60" s="82"/>
      <c r="B60" s="193"/>
      <c r="C60" s="193" t="s">
        <v>353</v>
      </c>
      <c r="D60" s="193" t="s">
        <v>396</v>
      </c>
      <c r="E60" s="81">
        <v>4</v>
      </c>
      <c r="F60" s="81" t="s">
        <v>285</v>
      </c>
      <c r="G60" s="135">
        <f t="shared" si="5"/>
        <v>4</v>
      </c>
      <c r="H60" s="128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4"/>
      <c r="U60" s="194"/>
      <c r="V60" s="194"/>
      <c r="W60" s="194"/>
      <c r="X60" s="194"/>
      <c r="Y60" s="194"/>
      <c r="Z60" s="194"/>
      <c r="AA60" s="194"/>
    </row>
    <row r="61" spans="1:27" ht="15.6" hidden="1">
      <c r="A61" s="82"/>
      <c r="B61" s="193"/>
      <c r="C61" s="193" t="s">
        <v>355</v>
      </c>
      <c r="D61" s="193" t="s">
        <v>397</v>
      </c>
      <c r="E61" s="81">
        <v>4</v>
      </c>
      <c r="F61" s="81" t="s">
        <v>285</v>
      </c>
      <c r="G61" s="135">
        <f t="shared" si="5"/>
        <v>4</v>
      </c>
      <c r="H61" s="128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4"/>
      <c r="U61" s="194"/>
      <c r="V61" s="194"/>
      <c r="W61" s="194"/>
      <c r="X61" s="194"/>
      <c r="Y61" s="194"/>
      <c r="Z61" s="194"/>
      <c r="AA61" s="194"/>
    </row>
    <row r="62" spans="1:27" ht="15.6" hidden="1">
      <c r="A62" s="82"/>
      <c r="B62" s="193"/>
      <c r="C62" s="193" t="s">
        <v>398</v>
      </c>
      <c r="D62" s="193" t="s">
        <v>393</v>
      </c>
      <c r="E62" s="81" t="s">
        <v>285</v>
      </c>
      <c r="F62" s="81">
        <v>4</v>
      </c>
      <c r="G62" s="135">
        <f t="shared" si="5"/>
        <v>4</v>
      </c>
      <c r="H62" s="128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4"/>
      <c r="U62" s="194"/>
      <c r="V62" s="194"/>
      <c r="W62" s="194"/>
      <c r="X62" s="194"/>
      <c r="Y62" s="194"/>
      <c r="Z62" s="194"/>
      <c r="AA62" s="194"/>
    </row>
    <row r="63" spans="1:27" ht="15.75" hidden="1" customHeight="1">
      <c r="A63" s="82"/>
      <c r="B63" s="192" t="s">
        <v>311</v>
      </c>
      <c r="C63" s="208"/>
      <c r="D63" s="208"/>
      <c r="E63" s="208"/>
      <c r="F63" s="208"/>
      <c r="G63" s="208"/>
      <c r="H63" s="8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spans="1:27" ht="15.75" hidden="1" customHeight="1">
      <c r="A64" s="99"/>
      <c r="B64" s="87" t="s">
        <v>285</v>
      </c>
      <c r="C64" s="208" t="s">
        <v>312</v>
      </c>
      <c r="D64" s="208"/>
      <c r="E64" s="208"/>
      <c r="F64" s="208"/>
      <c r="G64" s="208"/>
      <c r="H64" s="8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27" ht="15.75" hidden="1" customHeight="1">
      <c r="A65" s="82"/>
      <c r="B65" s="87" t="s">
        <v>285</v>
      </c>
      <c r="C65" s="208" t="s">
        <v>312</v>
      </c>
      <c r="D65" s="208"/>
      <c r="E65" s="208"/>
      <c r="F65" s="208"/>
      <c r="G65" s="208"/>
      <c r="H65" s="8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spans="1:27" ht="15.6" hidden="1">
      <c r="A66" s="82"/>
      <c r="B66" s="193"/>
      <c r="C66" s="193"/>
      <c r="D66" s="193"/>
      <c r="E66" s="81"/>
      <c r="F66" s="81"/>
      <c r="G66" s="81"/>
      <c r="H66" s="8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4"/>
      <c r="U66" s="194"/>
      <c r="V66" s="194"/>
      <c r="W66" s="194"/>
      <c r="X66" s="194"/>
      <c r="Y66" s="194"/>
      <c r="Z66" s="194"/>
      <c r="AA66" s="194"/>
    </row>
    <row r="67" spans="1:27" ht="15.6">
      <c r="A67" s="82"/>
      <c r="B67" s="80">
        <v>46055</v>
      </c>
      <c r="C67" s="193"/>
      <c r="D67" s="193" t="s">
        <v>399</v>
      </c>
      <c r="E67" s="81"/>
      <c r="F67" s="81"/>
      <c r="G67" s="81"/>
      <c r="H67" s="90">
        <f>AVERAGE(G69:G77)</f>
        <v>4</v>
      </c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4"/>
      <c r="U67" s="194"/>
      <c r="V67" s="194"/>
      <c r="W67" s="194"/>
      <c r="X67" s="194"/>
      <c r="Y67" s="194"/>
      <c r="Z67" s="194"/>
      <c r="AA67" s="194"/>
    </row>
    <row r="68" spans="1:27" ht="15.6" hidden="1">
      <c r="A68" s="82"/>
      <c r="B68" s="193"/>
      <c r="C68" s="193"/>
      <c r="D68" s="193"/>
      <c r="E68" s="81" t="s">
        <v>31</v>
      </c>
      <c r="F68" s="81" t="s">
        <v>10</v>
      </c>
      <c r="G68" s="81" t="s">
        <v>306</v>
      </c>
      <c r="H68" s="128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4"/>
      <c r="U68" s="194"/>
      <c r="V68" s="194"/>
      <c r="W68" s="194"/>
      <c r="X68" s="194"/>
      <c r="Y68" s="194"/>
      <c r="Z68" s="194"/>
      <c r="AA68" s="194"/>
    </row>
    <row r="69" spans="1:27" ht="15.6" hidden="1">
      <c r="A69" s="82"/>
      <c r="B69" s="193"/>
      <c r="C69" s="193" t="s">
        <v>307</v>
      </c>
      <c r="D69" s="193" t="s">
        <v>400</v>
      </c>
      <c r="E69" s="81" t="s">
        <v>285</v>
      </c>
      <c r="F69" s="81">
        <v>4</v>
      </c>
      <c r="G69" s="135">
        <f>AVERAGE(E69:F69)</f>
        <v>4</v>
      </c>
      <c r="H69" s="128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4"/>
      <c r="U69" s="194"/>
      <c r="V69" s="194"/>
      <c r="W69" s="194"/>
      <c r="X69" s="194"/>
      <c r="Y69" s="194"/>
      <c r="Z69" s="194"/>
      <c r="AA69" s="194"/>
    </row>
    <row r="70" spans="1:27" ht="15.75" hidden="1" customHeight="1">
      <c r="A70" s="82"/>
      <c r="B70" s="193"/>
      <c r="C70" s="193" t="s">
        <v>309</v>
      </c>
      <c r="D70" s="193" t="s">
        <v>401</v>
      </c>
      <c r="E70" s="81" t="s">
        <v>285</v>
      </c>
      <c r="F70" s="81">
        <v>4</v>
      </c>
      <c r="G70" s="135">
        <f t="shared" ref="G70:G77" si="6">AVERAGE(E70:F70)</f>
        <v>4</v>
      </c>
      <c r="H70" s="8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4"/>
      <c r="U70" s="194"/>
      <c r="V70" s="194"/>
      <c r="W70" s="194"/>
      <c r="X70" s="194"/>
      <c r="Y70" s="194"/>
      <c r="Z70" s="194"/>
      <c r="AA70" s="194"/>
    </row>
    <row r="71" spans="1:27" ht="15.75" hidden="1" customHeight="1">
      <c r="A71" s="82"/>
      <c r="B71" s="193"/>
      <c r="C71" s="193" t="s">
        <v>316</v>
      </c>
      <c r="D71" s="193" t="s">
        <v>402</v>
      </c>
      <c r="E71" s="81" t="s">
        <v>285</v>
      </c>
      <c r="F71" s="81">
        <v>4</v>
      </c>
      <c r="G71" s="135">
        <f t="shared" si="6"/>
        <v>4</v>
      </c>
      <c r="H71" s="8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4"/>
      <c r="U71" s="194"/>
      <c r="V71" s="194"/>
      <c r="W71" s="194"/>
      <c r="X71" s="194"/>
      <c r="Y71" s="194"/>
      <c r="Z71" s="194"/>
      <c r="AA71" s="194"/>
    </row>
    <row r="72" spans="1:27" ht="15.75" hidden="1" customHeight="1">
      <c r="A72" s="82"/>
      <c r="B72" s="193"/>
      <c r="C72" s="193" t="s">
        <v>318</v>
      </c>
      <c r="D72" s="193" t="s">
        <v>403</v>
      </c>
      <c r="E72" s="81" t="s">
        <v>285</v>
      </c>
      <c r="F72" s="81">
        <v>4</v>
      </c>
      <c r="G72" s="135">
        <f t="shared" si="6"/>
        <v>4</v>
      </c>
      <c r="H72" s="8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4"/>
      <c r="U72" s="194"/>
      <c r="V72" s="194"/>
      <c r="W72" s="194"/>
      <c r="X72" s="194"/>
      <c r="Y72" s="194"/>
      <c r="Z72" s="194"/>
      <c r="AA72" s="194"/>
    </row>
    <row r="73" spans="1:27" ht="15.6" hidden="1">
      <c r="A73" s="82"/>
      <c r="B73" s="193"/>
      <c r="C73" s="193" t="s">
        <v>320</v>
      </c>
      <c r="D73" s="193" t="s">
        <v>404</v>
      </c>
      <c r="E73" s="81" t="s">
        <v>285</v>
      </c>
      <c r="F73" s="81">
        <v>4</v>
      </c>
      <c r="G73" s="135">
        <f t="shared" si="6"/>
        <v>4</v>
      </c>
      <c r="H73" s="8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4"/>
      <c r="U73" s="194"/>
      <c r="V73" s="194"/>
      <c r="W73" s="194"/>
      <c r="X73" s="194"/>
      <c r="Y73" s="194"/>
      <c r="Z73" s="194"/>
      <c r="AA73" s="194"/>
    </row>
    <row r="74" spans="1:27" ht="15.6" hidden="1">
      <c r="A74" s="82"/>
      <c r="B74" s="193"/>
      <c r="C74" s="193" t="s">
        <v>353</v>
      </c>
      <c r="D74" s="193" t="s">
        <v>405</v>
      </c>
      <c r="E74" s="81" t="s">
        <v>285</v>
      </c>
      <c r="F74" s="81">
        <v>4</v>
      </c>
      <c r="G74" s="135">
        <f t="shared" si="6"/>
        <v>4</v>
      </c>
      <c r="H74" s="8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4"/>
      <c r="U74" s="194"/>
      <c r="V74" s="194"/>
      <c r="W74" s="194"/>
      <c r="X74" s="194"/>
      <c r="Y74" s="194"/>
      <c r="Z74" s="194"/>
      <c r="AA74" s="194"/>
    </row>
    <row r="75" spans="1:27" ht="15.6" hidden="1">
      <c r="A75" s="82"/>
      <c r="B75" s="193"/>
      <c r="C75" s="193" t="s">
        <v>355</v>
      </c>
      <c r="D75" s="193" t="s">
        <v>406</v>
      </c>
      <c r="E75" s="81" t="s">
        <v>285</v>
      </c>
      <c r="F75" s="81">
        <v>4</v>
      </c>
      <c r="G75" s="135">
        <f t="shared" si="6"/>
        <v>4</v>
      </c>
      <c r="H75" s="8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4"/>
      <c r="U75" s="194"/>
      <c r="V75" s="194"/>
      <c r="W75" s="194"/>
      <c r="X75" s="194"/>
      <c r="Y75" s="194"/>
      <c r="Z75" s="194"/>
      <c r="AA75" s="194"/>
    </row>
    <row r="76" spans="1:27" ht="15.6" hidden="1">
      <c r="A76" s="82"/>
      <c r="B76" s="193"/>
      <c r="C76" s="193" t="s">
        <v>398</v>
      </c>
      <c r="D76" s="193" t="s">
        <v>371</v>
      </c>
      <c r="E76" s="81">
        <v>4</v>
      </c>
      <c r="F76" s="81">
        <v>4</v>
      </c>
      <c r="G76" s="135">
        <f t="shared" si="6"/>
        <v>4</v>
      </c>
      <c r="H76" s="8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4"/>
      <c r="U76" s="194"/>
      <c r="V76" s="194"/>
      <c r="W76" s="194"/>
      <c r="X76" s="194"/>
      <c r="Y76" s="194"/>
      <c r="Z76" s="194"/>
      <c r="AA76" s="194"/>
    </row>
    <row r="77" spans="1:27" ht="15.6" hidden="1">
      <c r="A77" s="82"/>
      <c r="B77" s="193"/>
      <c r="C77" s="193" t="s">
        <v>407</v>
      </c>
      <c r="D77" s="193" t="s">
        <v>408</v>
      </c>
      <c r="E77" s="81">
        <v>4</v>
      </c>
      <c r="F77" s="81">
        <v>4</v>
      </c>
      <c r="G77" s="135">
        <f t="shared" si="6"/>
        <v>4</v>
      </c>
      <c r="H77" s="8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4"/>
      <c r="U77" s="194"/>
      <c r="V77" s="194"/>
      <c r="W77" s="194"/>
      <c r="X77" s="194"/>
      <c r="Y77" s="194"/>
      <c r="Z77" s="194"/>
      <c r="AA77" s="194"/>
    </row>
    <row r="78" spans="1:27" ht="15.75" hidden="1" customHeight="1">
      <c r="A78" s="82"/>
      <c r="B78" s="192" t="s">
        <v>311</v>
      </c>
      <c r="C78" s="208"/>
      <c r="D78" s="208"/>
      <c r="E78" s="208"/>
      <c r="F78" s="208"/>
      <c r="G78" s="208"/>
      <c r="H78" s="8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75" hidden="1" customHeight="1">
      <c r="A79" s="99"/>
      <c r="B79" s="87" t="s">
        <v>285</v>
      </c>
      <c r="C79" s="208" t="s">
        <v>312</v>
      </c>
      <c r="D79" s="208"/>
      <c r="E79" s="208"/>
      <c r="F79" s="208"/>
      <c r="G79" s="208"/>
      <c r="H79" s="8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5.75" hidden="1" customHeight="1">
      <c r="A80" s="138"/>
      <c r="B80" s="89" t="s">
        <v>285</v>
      </c>
      <c r="C80" s="210" t="s">
        <v>312</v>
      </c>
      <c r="D80" s="210"/>
      <c r="E80" s="210"/>
      <c r="F80" s="210"/>
      <c r="G80" s="210"/>
      <c r="H80" s="131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spans="1:27" ht="15.75" customHeight="1">
      <c r="A81" s="193"/>
      <c r="B81" s="87"/>
      <c r="C81" s="208"/>
      <c r="D81" s="208"/>
      <c r="E81" s="208"/>
      <c r="F81" s="208"/>
      <c r="G81" s="208"/>
      <c r="H81" s="81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spans="1:27" ht="15.6">
      <c r="A82" s="193"/>
      <c r="B82" s="193"/>
      <c r="C82" s="193"/>
      <c r="D82" s="193"/>
      <c r="E82" s="193"/>
      <c r="F82" s="193"/>
      <c r="G82" s="193"/>
      <c r="H82" s="81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4"/>
      <c r="U82" s="194"/>
      <c r="V82" s="194"/>
      <c r="W82" s="194"/>
      <c r="X82" s="194"/>
      <c r="Y82" s="194"/>
      <c r="Z82" s="194"/>
      <c r="AA82" s="194"/>
    </row>
    <row r="83" spans="1:27" ht="15.6">
      <c r="A83" s="193"/>
      <c r="B83" s="193"/>
      <c r="C83" s="193"/>
      <c r="D83" s="193"/>
      <c r="E83" s="193"/>
      <c r="F83" s="193"/>
      <c r="G83" s="193"/>
      <c r="H83" s="81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4"/>
      <c r="U83" s="194"/>
      <c r="V83" s="194"/>
      <c r="W83" s="194"/>
      <c r="X83" s="194"/>
      <c r="Y83" s="194"/>
      <c r="Z83" s="194"/>
      <c r="AA83" s="194"/>
    </row>
    <row r="84" spans="1:27" ht="15.6">
      <c r="A84" s="193"/>
      <c r="B84" s="193"/>
      <c r="C84" s="193"/>
      <c r="D84" s="193"/>
      <c r="E84" s="193"/>
      <c r="F84" s="193"/>
      <c r="G84" s="193"/>
      <c r="H84" s="81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4"/>
      <c r="U84" s="194"/>
      <c r="V84" s="194"/>
      <c r="W84" s="194"/>
      <c r="X84" s="194"/>
      <c r="Y84" s="194"/>
      <c r="Z84" s="194"/>
      <c r="AA84" s="194"/>
    </row>
    <row r="85" spans="1:27" ht="15.6">
      <c r="A85" s="193"/>
      <c r="B85" s="193"/>
      <c r="C85" s="193"/>
      <c r="D85" s="193"/>
      <c r="E85" s="193"/>
      <c r="F85" s="193"/>
      <c r="G85" s="193"/>
      <c r="H85" s="81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4"/>
      <c r="U85" s="194"/>
      <c r="V85" s="194"/>
      <c r="W85" s="194"/>
      <c r="X85" s="194"/>
      <c r="Y85" s="194"/>
      <c r="Z85" s="194"/>
      <c r="AA85" s="194"/>
    </row>
    <row r="86" spans="1:27" ht="15.6">
      <c r="A86" s="193"/>
      <c r="B86" s="193"/>
      <c r="C86" s="193"/>
      <c r="D86" s="193"/>
      <c r="E86" s="193"/>
      <c r="F86" s="193"/>
      <c r="G86" s="193"/>
      <c r="H86" s="81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4"/>
      <c r="U86" s="194"/>
      <c r="V86" s="194"/>
      <c r="W86" s="194"/>
      <c r="X86" s="194"/>
      <c r="Y86" s="194"/>
      <c r="Z86" s="194"/>
      <c r="AA86" s="194"/>
    </row>
    <row r="87" spans="1:27" ht="15.6">
      <c r="A87" s="193"/>
      <c r="B87" s="193"/>
      <c r="C87" s="193"/>
      <c r="D87" s="193"/>
      <c r="E87" s="193"/>
      <c r="F87" s="193"/>
      <c r="G87" s="193"/>
      <c r="H87" s="81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4"/>
      <c r="U87" s="194"/>
      <c r="V87" s="194"/>
      <c r="W87" s="194"/>
      <c r="X87" s="194"/>
      <c r="Y87" s="194"/>
      <c r="Z87" s="194"/>
      <c r="AA87" s="194"/>
    </row>
    <row r="88" spans="1:27" ht="15.6">
      <c r="A88" s="193"/>
      <c r="B88" s="193"/>
      <c r="C88" s="193"/>
      <c r="D88" s="193"/>
      <c r="E88" s="193"/>
      <c r="F88" s="193"/>
      <c r="G88" s="193"/>
      <c r="H88" s="81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4"/>
      <c r="U88" s="194"/>
      <c r="V88" s="194"/>
      <c r="W88" s="194"/>
      <c r="X88" s="194"/>
      <c r="Y88" s="194"/>
      <c r="Z88" s="194"/>
      <c r="AA88" s="194"/>
    </row>
    <row r="89" spans="1:27" ht="15.6">
      <c r="A89" s="193"/>
      <c r="B89" s="193"/>
      <c r="C89" s="193"/>
      <c r="D89" s="193"/>
      <c r="E89" s="193"/>
      <c r="F89" s="193"/>
      <c r="G89" s="193"/>
      <c r="H89" s="81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4"/>
      <c r="U89" s="194"/>
      <c r="V89" s="194"/>
      <c r="W89" s="194"/>
      <c r="X89" s="194"/>
      <c r="Y89" s="194"/>
      <c r="Z89" s="194"/>
      <c r="AA89" s="194"/>
    </row>
    <row r="90" spans="1:27" ht="15.6">
      <c r="A90" s="193"/>
      <c r="B90" s="193"/>
      <c r="C90" s="193"/>
      <c r="D90" s="193"/>
      <c r="E90" s="193"/>
      <c r="F90" s="193"/>
      <c r="G90" s="193"/>
      <c r="H90" s="81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4"/>
      <c r="U90" s="194"/>
      <c r="V90" s="194"/>
      <c r="W90" s="194"/>
      <c r="X90" s="194"/>
      <c r="Y90" s="194"/>
      <c r="Z90" s="194"/>
      <c r="AA90" s="194"/>
    </row>
    <row r="91" spans="1:27" ht="15.6">
      <c r="A91" s="193"/>
      <c r="B91" s="193"/>
      <c r="C91" s="193"/>
      <c r="D91" s="193"/>
      <c r="E91" s="193"/>
      <c r="F91" s="193"/>
      <c r="G91" s="193"/>
      <c r="H91" s="81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4"/>
      <c r="U91" s="194"/>
      <c r="V91" s="194"/>
      <c r="W91" s="194"/>
      <c r="X91" s="194"/>
      <c r="Y91" s="194"/>
      <c r="Z91" s="194"/>
      <c r="AA91" s="194"/>
    </row>
    <row r="92" spans="1:27" ht="15.6">
      <c r="A92" s="193"/>
      <c r="B92" s="193"/>
      <c r="C92" s="193"/>
      <c r="D92" s="193"/>
      <c r="E92" s="193"/>
      <c r="F92" s="193"/>
      <c r="G92" s="193"/>
      <c r="H92" s="81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4"/>
      <c r="U92" s="194"/>
      <c r="V92" s="194"/>
      <c r="W92" s="194"/>
      <c r="X92" s="194"/>
      <c r="Y92" s="194"/>
      <c r="Z92" s="194"/>
      <c r="AA92" s="194"/>
    </row>
    <row r="93" spans="1:27" ht="15.6">
      <c r="A93" s="193"/>
      <c r="B93" s="193"/>
      <c r="C93" s="193"/>
      <c r="D93" s="193"/>
      <c r="E93" s="193"/>
      <c r="F93" s="193"/>
      <c r="G93" s="193"/>
      <c r="H93" s="81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4"/>
      <c r="U93" s="194"/>
      <c r="V93" s="194"/>
      <c r="W93" s="194"/>
      <c r="X93" s="194"/>
      <c r="Y93" s="194"/>
      <c r="Z93" s="194"/>
      <c r="AA93" s="194"/>
    </row>
    <row r="94" spans="1:27" ht="15.6">
      <c r="A94" s="193"/>
      <c r="B94" s="193"/>
      <c r="C94" s="193"/>
      <c r="D94" s="193"/>
      <c r="E94" s="193"/>
      <c r="F94" s="193"/>
      <c r="G94" s="193"/>
      <c r="H94" s="81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4"/>
      <c r="U94" s="194"/>
      <c r="V94" s="194"/>
      <c r="W94" s="194"/>
      <c r="X94" s="194"/>
      <c r="Y94" s="194"/>
      <c r="Z94" s="194"/>
      <c r="AA94" s="194"/>
    </row>
    <row r="95" spans="1:27" ht="15.6">
      <c r="A95" s="193"/>
      <c r="B95" s="193"/>
      <c r="C95" s="193"/>
      <c r="D95" s="193"/>
      <c r="E95" s="193"/>
      <c r="F95" s="193"/>
      <c r="G95" s="193"/>
      <c r="H95" s="81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4"/>
      <c r="U95" s="194"/>
      <c r="V95" s="194"/>
      <c r="W95" s="194"/>
      <c r="X95" s="194"/>
      <c r="Y95" s="194"/>
      <c r="Z95" s="194"/>
      <c r="AA95" s="194"/>
    </row>
    <row r="96" spans="1:27" ht="15.6">
      <c r="A96" s="193"/>
      <c r="B96" s="193"/>
      <c r="C96" s="193"/>
      <c r="D96" s="193"/>
      <c r="E96" s="193"/>
      <c r="F96" s="193"/>
      <c r="G96" s="193"/>
      <c r="H96" s="81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4"/>
      <c r="U96" s="194"/>
      <c r="V96" s="194"/>
      <c r="W96" s="194"/>
      <c r="X96" s="194"/>
      <c r="Y96" s="194"/>
      <c r="Z96" s="194"/>
      <c r="AA96" s="194"/>
    </row>
    <row r="97" spans="1:19" ht="15.6">
      <c r="A97" s="193"/>
      <c r="B97" s="193"/>
      <c r="C97" s="193"/>
      <c r="D97" s="193"/>
      <c r="E97" s="193"/>
      <c r="F97" s="193"/>
      <c r="G97" s="193"/>
      <c r="H97" s="81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</row>
    <row r="98" spans="1:19" ht="15.6">
      <c r="A98" s="193"/>
      <c r="B98" s="193"/>
      <c r="C98" s="193"/>
      <c r="D98" s="193"/>
      <c r="E98" s="193"/>
      <c r="F98" s="193"/>
      <c r="G98" s="193"/>
      <c r="H98" s="81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</row>
    <row r="99" spans="1:19" ht="15.6">
      <c r="A99" s="193"/>
      <c r="B99" s="193"/>
      <c r="C99" s="193"/>
      <c r="D99" s="193"/>
      <c r="E99" s="193"/>
      <c r="F99" s="193"/>
      <c r="G99" s="193"/>
      <c r="H99" s="81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</row>
    <row r="100" spans="1:19" ht="15.6">
      <c r="A100" s="193"/>
      <c r="B100" s="193"/>
      <c r="C100" s="193"/>
      <c r="D100" s="193"/>
      <c r="E100" s="193"/>
      <c r="F100" s="193"/>
      <c r="G100" s="193"/>
      <c r="H100" s="81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</row>
    <row r="101" spans="1:19" ht="15.6">
      <c r="A101" s="193"/>
      <c r="B101" s="193"/>
      <c r="C101" s="193"/>
      <c r="D101" s="193"/>
      <c r="E101" s="193"/>
      <c r="F101" s="193"/>
      <c r="G101" s="193"/>
      <c r="H101" s="81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</row>
    <row r="102" spans="1:19" ht="15.6">
      <c r="A102" s="193"/>
      <c r="B102" s="193"/>
      <c r="C102" s="193"/>
      <c r="D102" s="193"/>
      <c r="E102" s="193"/>
      <c r="F102" s="193"/>
      <c r="G102" s="193"/>
      <c r="H102" s="81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</row>
    <row r="103" spans="1:19" ht="15.6">
      <c r="A103" s="193"/>
      <c r="B103" s="193"/>
      <c r="C103" s="193"/>
      <c r="D103" s="193"/>
      <c r="E103" s="193"/>
      <c r="F103" s="193"/>
      <c r="G103" s="193"/>
      <c r="H103" s="81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</row>
    <row r="104" spans="1:19" ht="15.6">
      <c r="A104" s="193"/>
      <c r="B104" s="193"/>
      <c r="C104" s="193"/>
      <c r="D104" s="193"/>
      <c r="E104" s="193"/>
      <c r="F104" s="193"/>
      <c r="G104" s="193"/>
      <c r="H104" s="81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</row>
    <row r="105" spans="1:19" ht="15.6">
      <c r="A105" s="193"/>
      <c r="B105" s="193"/>
      <c r="C105" s="193"/>
      <c r="D105" s="193"/>
      <c r="E105" s="193"/>
      <c r="F105" s="193"/>
      <c r="G105" s="193"/>
      <c r="H105" s="81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</row>
    <row r="106" spans="1:19" ht="15.6">
      <c r="A106" s="193"/>
      <c r="B106" s="193"/>
      <c r="C106" s="193"/>
      <c r="D106" s="193"/>
      <c r="E106" s="193"/>
      <c r="F106" s="193"/>
      <c r="G106" s="193"/>
      <c r="H106" s="81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</row>
    <row r="107" spans="1:19" ht="15.6">
      <c r="A107" s="193"/>
      <c r="B107" s="193"/>
      <c r="C107" s="193"/>
      <c r="D107" s="193"/>
      <c r="E107" s="193"/>
      <c r="F107" s="193"/>
      <c r="G107" s="193"/>
      <c r="H107" s="81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</row>
    <row r="108" spans="1:19" ht="15.6">
      <c r="A108" s="193"/>
      <c r="B108" s="193"/>
      <c r="C108" s="193"/>
      <c r="D108" s="193"/>
      <c r="E108" s="193"/>
      <c r="F108" s="193"/>
      <c r="G108" s="193"/>
      <c r="H108" s="81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</row>
    <row r="109" spans="1:19" ht="15.6">
      <c r="A109" s="193"/>
      <c r="B109" s="193"/>
      <c r="C109" s="193"/>
      <c r="D109" s="193"/>
      <c r="E109" s="193"/>
      <c r="F109" s="193"/>
      <c r="G109" s="193"/>
      <c r="H109" s="81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</row>
    <row r="110" spans="1:19" ht="15.6">
      <c r="A110" s="193"/>
      <c r="B110" s="193"/>
      <c r="C110" s="193"/>
      <c r="D110" s="193"/>
      <c r="E110" s="193"/>
      <c r="F110" s="193"/>
      <c r="G110" s="193"/>
      <c r="H110" s="81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</row>
    <row r="111" spans="1:19" ht="15.6">
      <c r="A111" s="193"/>
      <c r="B111" s="193"/>
      <c r="C111" s="193"/>
      <c r="D111" s="193"/>
      <c r="E111" s="193"/>
      <c r="F111" s="193"/>
      <c r="G111" s="193"/>
      <c r="H111" s="81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</row>
    <row r="112" spans="1:19" ht="15.6">
      <c r="A112" s="193"/>
      <c r="B112" s="193"/>
      <c r="C112" s="193"/>
      <c r="D112" s="193"/>
      <c r="E112" s="193"/>
      <c r="F112" s="193"/>
      <c r="G112" s="193"/>
      <c r="H112" s="81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</row>
    <row r="113" spans="1:19" ht="15.6">
      <c r="A113" s="193"/>
      <c r="B113" s="193"/>
      <c r="C113" s="193"/>
      <c r="D113" s="193"/>
      <c r="E113" s="193"/>
      <c r="F113" s="193"/>
      <c r="G113" s="193"/>
      <c r="H113" s="81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</row>
    <row r="114" spans="1:19" ht="15.6">
      <c r="A114" s="193"/>
      <c r="B114" s="193"/>
      <c r="C114" s="193"/>
      <c r="D114" s="193"/>
      <c r="E114" s="193"/>
      <c r="F114" s="193"/>
      <c r="G114" s="193"/>
      <c r="H114" s="81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</row>
    <row r="115" spans="1:19" ht="15.6">
      <c r="A115" s="193"/>
      <c r="B115" s="193"/>
      <c r="C115" s="193"/>
      <c r="D115" s="193"/>
      <c r="E115" s="193"/>
      <c r="F115" s="193"/>
      <c r="G115" s="193"/>
      <c r="H115" s="81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</row>
    <row r="116" spans="1:19" ht="15.6">
      <c r="A116" s="193"/>
      <c r="B116" s="193"/>
      <c r="C116" s="193"/>
      <c r="D116" s="193"/>
      <c r="E116" s="193"/>
      <c r="F116" s="193"/>
      <c r="G116" s="193"/>
      <c r="H116" s="81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</row>
    <row r="117" spans="1:19" ht="15.6">
      <c r="A117" s="193"/>
      <c r="B117" s="193"/>
      <c r="C117" s="193"/>
      <c r="D117" s="193"/>
      <c r="E117" s="193"/>
      <c r="F117" s="193"/>
      <c r="G117" s="193"/>
      <c r="H117" s="81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</row>
    <row r="118" spans="1:19" ht="15.6">
      <c r="A118" s="193"/>
      <c r="B118" s="193"/>
      <c r="C118" s="193"/>
      <c r="D118" s="193"/>
      <c r="E118" s="193"/>
      <c r="F118" s="193"/>
      <c r="G118" s="193"/>
      <c r="H118" s="81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</row>
    <row r="119" spans="1:19" ht="15.6">
      <c r="A119" s="193"/>
      <c r="B119" s="193"/>
      <c r="C119" s="193"/>
      <c r="D119" s="193"/>
      <c r="E119" s="193"/>
      <c r="F119" s="193"/>
      <c r="G119" s="193"/>
      <c r="H119" s="81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</row>
    <row r="120" spans="1:19" ht="15.6">
      <c r="A120" s="193"/>
      <c r="B120" s="193"/>
      <c r="C120" s="193"/>
      <c r="D120" s="193"/>
      <c r="E120" s="193"/>
      <c r="F120" s="193"/>
      <c r="G120" s="193"/>
      <c r="H120" s="81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</row>
    <row r="121" spans="1:19" ht="15.6">
      <c r="A121" s="193"/>
      <c r="B121" s="193"/>
      <c r="C121" s="193"/>
      <c r="D121" s="193"/>
      <c r="E121" s="193"/>
      <c r="F121" s="193"/>
      <c r="G121" s="193"/>
      <c r="H121" s="81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</row>
    <row r="122" spans="1:19" ht="15.6">
      <c r="A122" s="193"/>
      <c r="B122" s="193"/>
      <c r="C122" s="193"/>
      <c r="D122" s="193"/>
      <c r="E122" s="193"/>
      <c r="F122" s="193"/>
      <c r="G122" s="193"/>
      <c r="H122" s="81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</row>
    <row r="123" spans="1:19" ht="15.6">
      <c r="A123" s="193"/>
      <c r="B123" s="193"/>
      <c r="C123" s="193"/>
      <c r="D123" s="193"/>
      <c r="E123" s="193"/>
      <c r="F123" s="193"/>
      <c r="G123" s="193"/>
      <c r="H123" s="81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</row>
    <row r="124" spans="1:19" ht="15.6">
      <c r="A124" s="193"/>
      <c r="B124" s="193"/>
      <c r="C124" s="193"/>
      <c r="D124" s="193"/>
      <c r="E124" s="193"/>
      <c r="F124" s="193"/>
      <c r="G124" s="193"/>
      <c r="H124" s="81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</row>
    <row r="125" spans="1:19" ht="15.6">
      <c r="A125" s="193"/>
      <c r="B125" s="193"/>
      <c r="C125" s="193"/>
      <c r="D125" s="193"/>
      <c r="E125" s="193"/>
      <c r="F125" s="193"/>
      <c r="G125" s="193"/>
      <c r="H125" s="81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</row>
    <row r="126" spans="1:19" ht="15.6">
      <c r="A126" s="193"/>
      <c r="B126" s="193"/>
      <c r="C126" s="193"/>
      <c r="D126" s="193"/>
      <c r="E126" s="193"/>
      <c r="F126" s="193"/>
      <c r="G126" s="193"/>
      <c r="H126" s="81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</row>
    <row r="127" spans="1:19" ht="15.6">
      <c r="A127" s="193"/>
      <c r="B127" s="193"/>
      <c r="C127" s="193"/>
      <c r="D127" s="193"/>
      <c r="E127" s="193"/>
      <c r="F127" s="193"/>
      <c r="G127" s="193"/>
      <c r="H127" s="81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</row>
    <row r="128" spans="1:19" ht="15.6">
      <c r="A128" s="193"/>
      <c r="B128" s="193"/>
      <c r="C128" s="193"/>
      <c r="D128" s="193"/>
      <c r="E128" s="193"/>
      <c r="F128" s="193"/>
      <c r="G128" s="193"/>
      <c r="H128" s="81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</row>
    <row r="129" spans="1:19" ht="15.6">
      <c r="A129" s="193"/>
      <c r="B129" s="193"/>
      <c r="C129" s="193"/>
      <c r="D129" s="193"/>
      <c r="E129" s="193"/>
      <c r="F129" s="193"/>
      <c r="G129" s="193"/>
      <c r="H129" s="81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</row>
    <row r="130" spans="1:19" ht="15.6">
      <c r="A130" s="193"/>
      <c r="B130" s="193"/>
      <c r="C130" s="193"/>
      <c r="D130" s="193"/>
      <c r="E130" s="193"/>
      <c r="F130" s="193"/>
      <c r="G130" s="193"/>
      <c r="H130" s="81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</row>
    <row r="131" spans="1:19" ht="15.6">
      <c r="A131" s="193"/>
      <c r="B131" s="193"/>
      <c r="C131" s="193"/>
      <c r="D131" s="193"/>
      <c r="E131" s="193"/>
      <c r="F131" s="193"/>
      <c r="G131" s="193"/>
      <c r="H131" s="81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</row>
    <row r="132" spans="1:19" ht="15.6">
      <c r="A132" s="193"/>
      <c r="B132" s="193"/>
      <c r="C132" s="193"/>
      <c r="D132" s="193"/>
      <c r="E132" s="193"/>
      <c r="F132" s="193"/>
      <c r="G132" s="193"/>
      <c r="H132" s="81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</row>
    <row r="133" spans="1:19" ht="15.6">
      <c r="A133" s="193"/>
      <c r="B133" s="193"/>
      <c r="C133" s="193"/>
      <c r="D133" s="193"/>
      <c r="E133" s="193"/>
      <c r="F133" s="193"/>
      <c r="G133" s="193"/>
      <c r="H133" s="81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</row>
    <row r="134" spans="1:19" ht="15.6">
      <c r="A134" s="193"/>
      <c r="B134" s="193"/>
      <c r="C134" s="193"/>
      <c r="D134" s="193"/>
      <c r="E134" s="193"/>
      <c r="F134" s="193"/>
      <c r="G134" s="193"/>
      <c r="H134" s="81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</row>
    <row r="135" spans="1:19" ht="15.6">
      <c r="A135" s="193"/>
      <c r="B135" s="193"/>
      <c r="C135" s="193"/>
      <c r="D135" s="193"/>
      <c r="E135" s="193"/>
      <c r="F135" s="193"/>
      <c r="G135" s="193"/>
      <c r="H135" s="81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</row>
    <row r="136" spans="1:19" ht="15.6">
      <c r="A136" s="193"/>
      <c r="B136" s="193"/>
      <c r="C136" s="193"/>
      <c r="D136" s="193"/>
      <c r="E136" s="193"/>
      <c r="F136" s="193"/>
      <c r="G136" s="193"/>
      <c r="H136" s="81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</row>
    <row r="137" spans="1:19" ht="15.6">
      <c r="A137" s="193"/>
      <c r="B137" s="193"/>
      <c r="C137" s="193"/>
      <c r="D137" s="193"/>
      <c r="E137" s="193"/>
      <c r="F137" s="193"/>
      <c r="G137" s="193"/>
      <c r="H137" s="81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</row>
    <row r="138" spans="1:19" ht="15.6">
      <c r="A138" s="193"/>
      <c r="B138" s="193"/>
      <c r="C138" s="193"/>
      <c r="D138" s="193"/>
      <c r="E138" s="193"/>
      <c r="F138" s="193"/>
      <c r="G138" s="193"/>
      <c r="H138" s="81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</row>
    <row r="139" spans="1:19" ht="15.6">
      <c r="A139" s="193"/>
      <c r="B139" s="193"/>
      <c r="C139" s="193"/>
      <c r="D139" s="193"/>
      <c r="E139" s="193"/>
      <c r="F139" s="193"/>
      <c r="G139" s="193"/>
      <c r="H139" s="81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</row>
    <row r="140" spans="1:19" ht="15.6">
      <c r="A140" s="193"/>
      <c r="B140" s="193"/>
      <c r="C140" s="193"/>
      <c r="D140" s="193"/>
      <c r="E140" s="193"/>
      <c r="F140" s="193"/>
      <c r="G140" s="193"/>
      <c r="H140" s="81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</row>
    <row r="141" spans="1:19" ht="15.6">
      <c r="A141" s="193"/>
      <c r="B141" s="193"/>
      <c r="C141" s="193"/>
      <c r="D141" s="193"/>
      <c r="E141" s="193"/>
      <c r="F141" s="193"/>
      <c r="G141" s="193"/>
      <c r="H141" s="81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</row>
    <row r="142" spans="1:19" ht="15.6">
      <c r="A142" s="193"/>
      <c r="B142" s="193"/>
      <c r="C142" s="193"/>
      <c r="D142" s="193"/>
      <c r="E142" s="193"/>
      <c r="F142" s="193"/>
      <c r="G142" s="193"/>
      <c r="H142" s="81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</row>
    <row r="143" spans="1:19" ht="15.6">
      <c r="A143" s="193"/>
      <c r="B143" s="193"/>
      <c r="C143" s="193"/>
      <c r="D143" s="193"/>
      <c r="E143" s="193"/>
      <c r="F143" s="193"/>
      <c r="G143" s="193"/>
      <c r="H143" s="81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</row>
    <row r="144" spans="1:19" ht="15.6">
      <c r="A144" s="193"/>
      <c r="B144" s="193"/>
      <c r="C144" s="193"/>
      <c r="D144" s="193"/>
      <c r="E144" s="193"/>
      <c r="F144" s="193"/>
      <c r="G144" s="193"/>
      <c r="H144" s="81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</row>
    <row r="145" spans="1:19" ht="15.6">
      <c r="A145" s="193"/>
      <c r="B145" s="193"/>
      <c r="C145" s="193"/>
      <c r="D145" s="193"/>
      <c r="E145" s="193"/>
      <c r="F145" s="193"/>
      <c r="G145" s="193"/>
      <c r="H145" s="81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</row>
    <row r="146" spans="1:19" ht="15.6">
      <c r="A146" s="193"/>
      <c r="B146" s="193"/>
      <c r="C146" s="193"/>
      <c r="D146" s="193"/>
      <c r="E146" s="193"/>
      <c r="F146" s="193"/>
      <c r="G146" s="193"/>
      <c r="H146" s="81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</row>
    <row r="147" spans="1:19" ht="15.6">
      <c r="A147" s="193"/>
      <c r="B147" s="193"/>
      <c r="C147" s="193"/>
      <c r="D147" s="193"/>
      <c r="E147" s="193"/>
      <c r="F147" s="193"/>
      <c r="G147" s="193"/>
      <c r="H147" s="81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</row>
    <row r="148" spans="1:19" ht="15.6">
      <c r="A148" s="193"/>
      <c r="B148" s="193"/>
      <c r="C148" s="193"/>
      <c r="D148" s="193"/>
      <c r="E148" s="193"/>
      <c r="F148" s="193"/>
      <c r="G148" s="193"/>
      <c r="H148" s="81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</row>
    <row r="149" spans="1:19" ht="15.6">
      <c r="A149" s="193"/>
      <c r="B149" s="193"/>
      <c r="C149" s="193"/>
      <c r="D149" s="193"/>
      <c r="E149" s="193"/>
      <c r="F149" s="193"/>
      <c r="G149" s="193"/>
      <c r="H149" s="81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</row>
    <row r="150" spans="1:19" ht="15.6">
      <c r="A150" s="193"/>
      <c r="B150" s="193"/>
      <c r="C150" s="193"/>
      <c r="D150" s="193"/>
      <c r="E150" s="193"/>
      <c r="F150" s="193"/>
      <c r="G150" s="193"/>
      <c r="H150" s="81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</row>
    <row r="151" spans="1:19" ht="15.6">
      <c r="A151" s="193"/>
      <c r="B151" s="193"/>
      <c r="C151" s="193"/>
      <c r="D151" s="193"/>
      <c r="E151" s="193"/>
      <c r="F151" s="193"/>
      <c r="G151" s="193"/>
      <c r="H151" s="81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</row>
    <row r="152" spans="1:19" ht="15.6">
      <c r="A152" s="193"/>
      <c r="B152" s="193"/>
      <c r="C152" s="193"/>
      <c r="D152" s="193"/>
      <c r="E152" s="193"/>
      <c r="F152" s="193"/>
      <c r="G152" s="193"/>
      <c r="H152" s="81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</row>
    <row r="153" spans="1:19" ht="15.6">
      <c r="A153" s="193"/>
      <c r="B153" s="193"/>
      <c r="C153" s="193"/>
      <c r="D153" s="193"/>
      <c r="E153" s="193"/>
      <c r="F153" s="193"/>
      <c r="G153" s="193"/>
      <c r="H153" s="81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</row>
    <row r="154" spans="1:19" ht="15.6">
      <c r="A154" s="193"/>
      <c r="B154" s="193"/>
      <c r="C154" s="193"/>
      <c r="D154" s="193"/>
      <c r="E154" s="193"/>
      <c r="F154" s="193"/>
      <c r="G154" s="193"/>
      <c r="H154" s="81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</row>
    <row r="155" spans="1:19" ht="15.6">
      <c r="A155" s="193"/>
      <c r="B155" s="193"/>
      <c r="C155" s="193"/>
      <c r="D155" s="193"/>
      <c r="E155" s="193"/>
      <c r="F155" s="193"/>
      <c r="G155" s="193"/>
      <c r="H155" s="81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</row>
    <row r="156" spans="1:19" ht="15.6">
      <c r="A156" s="193"/>
      <c r="B156" s="193"/>
      <c r="C156" s="193"/>
      <c r="D156" s="193"/>
      <c r="E156" s="193"/>
      <c r="F156" s="193"/>
      <c r="G156" s="193"/>
      <c r="H156" s="81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</row>
    <row r="157" spans="1:19" ht="15.6">
      <c r="A157" s="193"/>
      <c r="B157" s="193"/>
      <c r="C157" s="193"/>
      <c r="D157" s="193"/>
      <c r="E157" s="193"/>
      <c r="F157" s="193"/>
      <c r="G157" s="193"/>
      <c r="H157" s="81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</row>
    <row r="158" spans="1:19" ht="15.6">
      <c r="A158" s="193"/>
      <c r="B158" s="193"/>
      <c r="C158" s="193"/>
      <c r="D158" s="193"/>
      <c r="E158" s="193"/>
      <c r="F158" s="193"/>
      <c r="G158" s="193"/>
      <c r="H158" s="81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</row>
    <row r="159" spans="1:19" ht="15.6">
      <c r="A159" s="193"/>
      <c r="B159" s="193"/>
      <c r="C159" s="193"/>
      <c r="D159" s="193"/>
      <c r="E159" s="193"/>
      <c r="F159" s="193"/>
      <c r="G159" s="193"/>
      <c r="H159" s="81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</row>
    <row r="160" spans="1:19" ht="15.6">
      <c r="A160" s="193"/>
      <c r="B160" s="193"/>
      <c r="C160" s="193"/>
      <c r="D160" s="193"/>
      <c r="E160" s="193"/>
      <c r="F160" s="193"/>
      <c r="G160" s="193"/>
      <c r="H160" s="81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</row>
    <row r="161" spans="1:19" ht="15.6">
      <c r="A161" s="193"/>
      <c r="B161" s="193"/>
      <c r="C161" s="193"/>
      <c r="D161" s="193"/>
      <c r="E161" s="193"/>
      <c r="F161" s="193"/>
      <c r="G161" s="193"/>
      <c r="H161" s="81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</row>
    <row r="162" spans="1:19" ht="15.6">
      <c r="A162" s="193"/>
      <c r="B162" s="193"/>
      <c r="C162" s="193"/>
      <c r="D162" s="193"/>
      <c r="E162" s="193"/>
      <c r="F162" s="193"/>
      <c r="G162" s="193"/>
      <c r="H162" s="81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</row>
    <row r="163" spans="1:19" ht="15.6">
      <c r="A163" s="193"/>
      <c r="B163" s="193"/>
      <c r="C163" s="193"/>
      <c r="D163" s="193"/>
      <c r="E163" s="193"/>
      <c r="F163" s="193"/>
      <c r="G163" s="193"/>
      <c r="H163" s="81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</row>
    <row r="164" spans="1:19" ht="15.6">
      <c r="A164" s="193"/>
      <c r="B164" s="193"/>
      <c r="C164" s="193"/>
      <c r="D164" s="193"/>
      <c r="E164" s="193"/>
      <c r="F164" s="193"/>
      <c r="G164" s="193"/>
      <c r="H164" s="81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</row>
    <row r="165" spans="1:19" ht="15.6">
      <c r="A165" s="193"/>
      <c r="B165" s="193"/>
      <c r="C165" s="193"/>
      <c r="D165" s="193"/>
      <c r="E165" s="193"/>
      <c r="F165" s="193"/>
      <c r="G165" s="193"/>
      <c r="H165" s="81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</row>
    <row r="166" spans="1:19" ht="15.6">
      <c r="A166" s="193"/>
      <c r="B166" s="193"/>
      <c r="C166" s="193"/>
      <c r="D166" s="193"/>
      <c r="E166" s="193"/>
      <c r="F166" s="193"/>
      <c r="G166" s="193"/>
      <c r="H166" s="81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</row>
    <row r="167" spans="1:19" ht="15.6">
      <c r="A167" s="193"/>
      <c r="B167" s="193"/>
      <c r="C167" s="193"/>
      <c r="D167" s="193"/>
      <c r="E167" s="193"/>
      <c r="F167" s="193"/>
      <c r="G167" s="193"/>
      <c r="H167" s="81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</row>
    <row r="168" spans="1:19" ht="15.6">
      <c r="A168" s="193"/>
      <c r="B168" s="193"/>
      <c r="C168" s="193"/>
      <c r="D168" s="193"/>
      <c r="E168" s="193"/>
      <c r="F168" s="193"/>
      <c r="G168" s="193"/>
      <c r="H168" s="81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</row>
    <row r="169" spans="1:19" ht="15.6">
      <c r="A169" s="193"/>
      <c r="B169" s="193"/>
      <c r="C169" s="193"/>
      <c r="D169" s="193"/>
      <c r="E169" s="193"/>
      <c r="F169" s="193"/>
      <c r="G169" s="193"/>
      <c r="H169" s="81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</row>
    <row r="170" spans="1:19" ht="15.6">
      <c r="A170" s="193"/>
      <c r="B170" s="193"/>
      <c r="C170" s="193"/>
      <c r="D170" s="193"/>
      <c r="E170" s="193"/>
      <c r="F170" s="193"/>
      <c r="G170" s="193"/>
      <c r="H170" s="81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</row>
    <row r="171" spans="1:19" ht="15.6">
      <c r="A171" s="193"/>
      <c r="B171" s="193"/>
      <c r="C171" s="193"/>
      <c r="D171" s="193"/>
      <c r="E171" s="193"/>
      <c r="F171" s="193"/>
      <c r="G171" s="193"/>
      <c r="H171" s="81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</row>
    <row r="172" spans="1:19" ht="15.6">
      <c r="A172" s="193"/>
      <c r="B172" s="193"/>
      <c r="C172" s="193"/>
      <c r="D172" s="193"/>
      <c r="E172" s="193"/>
      <c r="F172" s="193"/>
      <c r="G172" s="193"/>
      <c r="H172" s="81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</row>
    <row r="173" spans="1:19" ht="15.6">
      <c r="A173" s="193"/>
      <c r="B173" s="193"/>
      <c r="C173" s="193"/>
      <c r="D173" s="193"/>
      <c r="E173" s="193"/>
      <c r="F173" s="193"/>
      <c r="G173" s="193"/>
      <c r="H173" s="81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</row>
    <row r="174" spans="1:19" ht="15.6">
      <c r="A174" s="193"/>
      <c r="B174" s="193"/>
      <c r="C174" s="193"/>
      <c r="D174" s="193"/>
      <c r="E174" s="193"/>
      <c r="F174" s="193"/>
      <c r="G174" s="193"/>
      <c r="H174" s="81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</row>
    <row r="175" spans="1:19" ht="15.6">
      <c r="A175" s="193"/>
      <c r="B175" s="193"/>
      <c r="C175" s="193"/>
      <c r="D175" s="193"/>
      <c r="E175" s="193"/>
      <c r="F175" s="193"/>
      <c r="G175" s="193"/>
      <c r="H175" s="81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</row>
    <row r="176" spans="1:19" ht="15.6">
      <c r="A176" s="193"/>
      <c r="B176" s="193"/>
      <c r="C176" s="193"/>
      <c r="D176" s="193"/>
      <c r="E176" s="193"/>
      <c r="F176" s="193"/>
      <c r="G176" s="193"/>
      <c r="H176" s="81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</row>
    <row r="177" spans="1:19" ht="15.6">
      <c r="A177" s="193"/>
      <c r="B177" s="193"/>
      <c r="C177" s="193"/>
      <c r="D177" s="193"/>
      <c r="E177" s="193"/>
      <c r="F177" s="193"/>
      <c r="G177" s="193"/>
      <c r="H177" s="81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</row>
    <row r="178" spans="1:19" ht="15.6">
      <c r="A178" s="193"/>
      <c r="B178" s="193"/>
      <c r="C178" s="193"/>
      <c r="D178" s="193"/>
      <c r="E178" s="193"/>
      <c r="F178" s="193"/>
      <c r="G178" s="193"/>
      <c r="H178" s="81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</row>
    <row r="179" spans="1:19" ht="15.6">
      <c r="A179" s="193"/>
      <c r="B179" s="193"/>
      <c r="C179" s="193"/>
      <c r="D179" s="193"/>
      <c r="E179" s="193"/>
      <c r="F179" s="193"/>
      <c r="G179" s="193"/>
      <c r="H179" s="81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</row>
    <row r="180" spans="1:19" ht="15.6">
      <c r="A180" s="193"/>
      <c r="B180" s="193"/>
      <c r="C180" s="193"/>
      <c r="D180" s="193"/>
      <c r="E180" s="193"/>
      <c r="F180" s="193"/>
      <c r="G180" s="193"/>
      <c r="H180" s="81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</row>
    <row r="181" spans="1:19" ht="15.6">
      <c r="A181" s="193"/>
      <c r="B181" s="193"/>
      <c r="C181" s="193"/>
      <c r="D181" s="193"/>
      <c r="E181" s="193"/>
      <c r="F181" s="193"/>
      <c r="G181" s="193"/>
      <c r="H181" s="81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</row>
    <row r="182" spans="1:19" ht="15.6">
      <c r="A182" s="193"/>
      <c r="B182" s="193"/>
      <c r="C182" s="193"/>
      <c r="D182" s="193"/>
      <c r="E182" s="193"/>
      <c r="F182" s="193"/>
      <c r="G182" s="193"/>
      <c r="H182" s="81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</row>
    <row r="183" spans="1:19" ht="15.6">
      <c r="A183" s="193"/>
      <c r="B183" s="193"/>
      <c r="C183" s="193"/>
      <c r="D183" s="193"/>
      <c r="E183" s="193"/>
      <c r="F183" s="193"/>
      <c r="G183" s="193"/>
      <c r="H183" s="81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</row>
    <row r="184" spans="1:19" ht="15.6">
      <c r="A184" s="193"/>
      <c r="B184" s="193"/>
      <c r="C184" s="193"/>
      <c r="D184" s="193"/>
      <c r="E184" s="193"/>
      <c r="F184" s="193"/>
      <c r="G184" s="193"/>
      <c r="H184" s="81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</row>
    <row r="185" spans="1:19" ht="15.6">
      <c r="A185" s="193"/>
      <c r="B185" s="193"/>
      <c r="C185" s="193"/>
      <c r="D185" s="193"/>
      <c r="E185" s="193"/>
      <c r="F185" s="193"/>
      <c r="G185" s="193"/>
      <c r="H185" s="81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</row>
    <row r="186" spans="1:19" ht="15.6">
      <c r="A186" s="193"/>
      <c r="B186" s="193"/>
      <c r="C186" s="193"/>
      <c r="D186" s="193"/>
      <c r="E186" s="193"/>
      <c r="F186" s="193"/>
      <c r="G186" s="193"/>
      <c r="H186" s="81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</row>
    <row r="187" spans="1:19" ht="15.6">
      <c r="A187" s="193"/>
      <c r="B187" s="193"/>
      <c r="C187" s="193"/>
      <c r="D187" s="193"/>
      <c r="E187" s="193"/>
      <c r="F187" s="193"/>
      <c r="G187" s="193"/>
      <c r="H187" s="81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</row>
    <row r="188" spans="1:19" ht="15.6">
      <c r="A188" s="193"/>
      <c r="B188" s="193"/>
      <c r="C188" s="193"/>
      <c r="D188" s="193"/>
      <c r="E188" s="193"/>
      <c r="F188" s="193"/>
      <c r="G188" s="193"/>
      <c r="H188" s="81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</row>
    <row r="189" spans="1:19" ht="15.6">
      <c r="A189" s="193"/>
      <c r="B189" s="193"/>
      <c r="C189" s="193"/>
      <c r="D189" s="193"/>
      <c r="E189" s="193"/>
      <c r="F189" s="193"/>
      <c r="G189" s="193"/>
      <c r="H189" s="81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</row>
    <row r="190" spans="1:19" ht="15.6">
      <c r="A190" s="193"/>
      <c r="B190" s="193"/>
      <c r="C190" s="193"/>
      <c r="D190" s="193"/>
      <c r="E190" s="193"/>
      <c r="F190" s="193"/>
      <c r="G190" s="193"/>
      <c r="H190" s="81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</row>
    <row r="191" spans="1:19" ht="15.6">
      <c r="A191" s="193"/>
      <c r="B191" s="193"/>
      <c r="C191" s="193"/>
      <c r="D191" s="193"/>
      <c r="E191" s="193"/>
      <c r="F191" s="193"/>
      <c r="G191" s="193"/>
      <c r="H191" s="81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</row>
    <row r="192" spans="1:19" ht="15.6">
      <c r="A192" s="193"/>
      <c r="B192" s="193"/>
      <c r="C192" s="193"/>
      <c r="D192" s="193"/>
      <c r="E192" s="193"/>
      <c r="F192" s="193"/>
      <c r="G192" s="193"/>
      <c r="H192" s="81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</row>
    <row r="193" spans="1:19" ht="15.6">
      <c r="A193" s="193"/>
      <c r="B193" s="193"/>
      <c r="C193" s="193"/>
      <c r="D193" s="193"/>
      <c r="E193" s="193"/>
      <c r="F193" s="193"/>
      <c r="G193" s="193"/>
      <c r="H193" s="81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</row>
    <row r="194" spans="1:19" ht="15.6">
      <c r="A194" s="193"/>
      <c r="B194" s="193"/>
      <c r="C194" s="193"/>
      <c r="D194" s="193"/>
      <c r="E194" s="193"/>
      <c r="F194" s="193"/>
      <c r="G194" s="193"/>
      <c r="H194" s="81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</row>
    <row r="195" spans="1:19" ht="15.6">
      <c r="A195" s="193"/>
      <c r="B195" s="193"/>
      <c r="C195" s="193"/>
      <c r="D195" s="193"/>
      <c r="E195" s="193"/>
      <c r="F195" s="193"/>
      <c r="G195" s="193"/>
      <c r="H195" s="81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</row>
    <row r="196" spans="1:19" ht="15.6">
      <c r="A196" s="193"/>
      <c r="B196" s="193"/>
      <c r="C196" s="193"/>
      <c r="D196" s="193"/>
      <c r="E196" s="193"/>
      <c r="F196" s="193"/>
      <c r="G196" s="193"/>
      <c r="H196" s="81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</row>
    <row r="197" spans="1:19" ht="15.6">
      <c r="A197" s="193"/>
      <c r="B197" s="193"/>
      <c r="C197" s="193"/>
      <c r="D197" s="193"/>
      <c r="E197" s="193"/>
      <c r="F197" s="193"/>
      <c r="G197" s="193"/>
      <c r="H197" s="81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</row>
    <row r="198" spans="1:19" ht="15.6">
      <c r="A198" s="193"/>
      <c r="B198" s="193"/>
      <c r="C198" s="193"/>
      <c r="D198" s="193"/>
      <c r="E198" s="193"/>
      <c r="F198" s="193"/>
      <c r="G198" s="193"/>
      <c r="H198" s="81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</row>
    <row r="199" spans="1:19" ht="15.6">
      <c r="A199" s="193"/>
      <c r="B199" s="193"/>
      <c r="C199" s="193"/>
      <c r="D199" s="193"/>
      <c r="E199" s="193"/>
      <c r="F199" s="193"/>
      <c r="G199" s="193"/>
      <c r="H199" s="81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</row>
    <row r="200" spans="1:19" ht="15.6">
      <c r="A200" s="193"/>
      <c r="B200" s="193"/>
      <c r="C200" s="193"/>
      <c r="D200" s="193"/>
      <c r="E200" s="193"/>
      <c r="F200" s="193"/>
      <c r="G200" s="193"/>
      <c r="H200" s="81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</row>
    <row r="201" spans="1:19" ht="15.6">
      <c r="A201" s="193"/>
      <c r="B201" s="193"/>
      <c r="C201" s="193"/>
      <c r="D201" s="193"/>
      <c r="E201" s="193"/>
      <c r="F201" s="193"/>
      <c r="G201" s="193"/>
      <c r="H201" s="81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</row>
    <row r="202" spans="1:19" ht="15.6">
      <c r="A202" s="193"/>
      <c r="B202" s="193"/>
      <c r="C202" s="193"/>
      <c r="D202" s="193"/>
      <c r="E202" s="193"/>
      <c r="F202" s="193"/>
      <c r="G202" s="193"/>
      <c r="H202" s="81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</row>
    <row r="203" spans="1:19" ht="15.6">
      <c r="A203" s="193"/>
      <c r="B203" s="193"/>
      <c r="C203" s="193"/>
      <c r="D203" s="193"/>
      <c r="E203" s="193"/>
      <c r="F203" s="193"/>
      <c r="G203" s="193"/>
      <c r="H203" s="81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</row>
    <row r="204" spans="1:19" ht="15.6">
      <c r="A204" s="193"/>
      <c r="B204" s="193"/>
      <c r="C204" s="193"/>
      <c r="D204" s="193"/>
      <c r="E204" s="193"/>
      <c r="F204" s="193"/>
      <c r="G204" s="193"/>
      <c r="H204" s="81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</row>
    <row r="205" spans="1:19" ht="15.6">
      <c r="A205" s="193"/>
      <c r="B205" s="193"/>
      <c r="C205" s="193"/>
      <c r="D205" s="193"/>
      <c r="E205" s="193"/>
      <c r="F205" s="193"/>
      <c r="G205" s="193"/>
      <c r="H205" s="81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</row>
    <row r="206" spans="1:19" ht="15.6">
      <c r="A206" s="193"/>
      <c r="B206" s="193"/>
      <c r="C206" s="193"/>
      <c r="D206" s="193"/>
      <c r="E206" s="193"/>
      <c r="F206" s="193"/>
      <c r="G206" s="193"/>
      <c r="H206" s="81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</row>
    <row r="207" spans="1:19" ht="15.6">
      <c r="A207" s="193"/>
      <c r="B207" s="193"/>
      <c r="C207" s="193"/>
      <c r="D207" s="193"/>
      <c r="E207" s="193"/>
      <c r="F207" s="193"/>
      <c r="G207" s="193"/>
      <c r="H207" s="81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</row>
    <row r="208" spans="1:19" ht="15.6">
      <c r="A208" s="193"/>
      <c r="B208" s="193"/>
      <c r="C208" s="193"/>
      <c r="D208" s="193"/>
      <c r="E208" s="193"/>
      <c r="F208" s="193"/>
      <c r="G208" s="193"/>
      <c r="H208" s="81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</row>
    <row r="209" spans="1:19" ht="15.6">
      <c r="A209" s="193"/>
      <c r="B209" s="193"/>
      <c r="C209" s="193"/>
      <c r="D209" s="193"/>
      <c r="E209" s="193"/>
      <c r="F209" s="193"/>
      <c r="G209" s="193"/>
      <c r="H209" s="81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</row>
    <row r="210" spans="1:19" ht="15.6">
      <c r="A210" s="193"/>
      <c r="B210" s="193"/>
      <c r="C210" s="193"/>
      <c r="D210" s="193"/>
      <c r="E210" s="193"/>
      <c r="F210" s="193"/>
      <c r="G210" s="193"/>
      <c r="H210" s="81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</row>
    <row r="211" spans="1:19" ht="15.6">
      <c r="A211" s="193"/>
      <c r="B211" s="193"/>
      <c r="C211" s="193"/>
      <c r="D211" s="193"/>
      <c r="E211" s="193"/>
      <c r="F211" s="193"/>
      <c r="G211" s="193"/>
      <c r="H211" s="81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</row>
    <row r="212" spans="1:19" ht="15.6">
      <c r="A212" s="193"/>
      <c r="B212" s="193"/>
      <c r="C212" s="193"/>
      <c r="D212" s="193"/>
      <c r="E212" s="193"/>
      <c r="F212" s="193"/>
      <c r="G212" s="193"/>
      <c r="H212" s="81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</row>
    <row r="213" spans="1:19" ht="15.6">
      <c r="A213" s="193"/>
      <c r="B213" s="193"/>
      <c r="C213" s="193"/>
      <c r="D213" s="193"/>
      <c r="E213" s="193"/>
      <c r="F213" s="193"/>
      <c r="G213" s="193"/>
      <c r="H213" s="81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</row>
    <row r="214" spans="1:19" ht="15.6">
      <c r="A214" s="193"/>
      <c r="B214" s="193"/>
      <c r="C214" s="193"/>
      <c r="D214" s="193"/>
      <c r="E214" s="193"/>
      <c r="F214" s="193"/>
      <c r="G214" s="193"/>
      <c r="H214" s="81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</row>
    <row r="215" spans="1:19" ht="15.6">
      <c r="A215" s="193"/>
      <c r="B215" s="193"/>
      <c r="C215" s="193"/>
      <c r="D215" s="193"/>
      <c r="E215" s="193"/>
      <c r="F215" s="193"/>
      <c r="G215" s="193"/>
      <c r="H215" s="81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</row>
    <row r="216" spans="1:19" ht="15.6">
      <c r="A216" s="193"/>
      <c r="B216" s="193"/>
      <c r="C216" s="193"/>
      <c r="D216" s="193"/>
      <c r="E216" s="193"/>
      <c r="F216" s="193"/>
      <c r="G216" s="193"/>
      <c r="H216" s="81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</row>
    <row r="217" spans="1:19" ht="15.6">
      <c r="A217" s="193"/>
      <c r="B217" s="193"/>
      <c r="C217" s="193"/>
      <c r="D217" s="193"/>
      <c r="E217" s="193"/>
      <c r="F217" s="193"/>
      <c r="G217" s="193"/>
      <c r="H217" s="81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</row>
    <row r="218" spans="1:19" ht="15.6">
      <c r="A218" s="193"/>
      <c r="B218" s="193"/>
      <c r="C218" s="193"/>
      <c r="D218" s="193"/>
      <c r="E218" s="193"/>
      <c r="F218" s="193"/>
      <c r="G218" s="193"/>
      <c r="H218" s="81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</row>
    <row r="219" spans="1:19" ht="15.6">
      <c r="A219" s="193"/>
      <c r="B219" s="193"/>
      <c r="C219" s="193"/>
      <c r="D219" s="193"/>
      <c r="E219" s="193"/>
      <c r="F219" s="193"/>
      <c r="G219" s="193"/>
      <c r="H219" s="81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</row>
    <row r="220" spans="1:19" ht="15.6">
      <c r="A220" s="193"/>
      <c r="B220" s="193"/>
      <c r="C220" s="193"/>
      <c r="D220" s="193"/>
      <c r="E220" s="193"/>
      <c r="F220" s="193"/>
      <c r="G220" s="193"/>
      <c r="H220" s="81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</row>
    <row r="221" spans="1:19" ht="15.6">
      <c r="A221" s="193"/>
      <c r="B221" s="193"/>
      <c r="C221" s="193"/>
      <c r="D221" s="193"/>
      <c r="E221" s="193"/>
      <c r="F221" s="193"/>
      <c r="G221" s="193"/>
      <c r="H221" s="81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</row>
    <row r="222" spans="1:19" ht="15.6">
      <c r="A222" s="193"/>
      <c r="B222" s="193"/>
      <c r="C222" s="193"/>
      <c r="D222" s="193"/>
      <c r="E222" s="193"/>
      <c r="F222" s="193"/>
      <c r="G222" s="193"/>
      <c r="H222" s="81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</row>
    <row r="223" spans="1:19" ht="15.6">
      <c r="A223" s="193"/>
      <c r="B223" s="193"/>
      <c r="C223" s="193"/>
      <c r="D223" s="193"/>
      <c r="E223" s="193"/>
      <c r="F223" s="193"/>
      <c r="G223" s="193"/>
      <c r="H223" s="81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</row>
    <row r="224" spans="1:19" ht="15.6">
      <c r="A224" s="193"/>
      <c r="B224" s="193"/>
      <c r="C224" s="193"/>
      <c r="D224" s="193"/>
      <c r="E224" s="193"/>
      <c r="F224" s="193"/>
      <c r="G224" s="193"/>
      <c r="H224" s="81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</row>
    <row r="225" spans="1:19" ht="15.6">
      <c r="A225" s="193"/>
      <c r="B225" s="193"/>
      <c r="C225" s="193"/>
      <c r="D225" s="193"/>
      <c r="E225" s="193"/>
      <c r="F225" s="193"/>
      <c r="G225" s="193"/>
      <c r="H225" s="81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</row>
    <row r="226" spans="1:19" ht="15.6">
      <c r="A226" s="193"/>
      <c r="B226" s="193"/>
      <c r="C226" s="193"/>
      <c r="D226" s="193"/>
      <c r="E226" s="193"/>
      <c r="F226" s="193"/>
      <c r="G226" s="193"/>
      <c r="H226" s="81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</row>
    <row r="227" spans="1:19" ht="15.6">
      <c r="A227" s="193"/>
      <c r="B227" s="193"/>
      <c r="C227" s="193"/>
      <c r="D227" s="193"/>
      <c r="E227" s="193"/>
      <c r="F227" s="193"/>
      <c r="G227" s="193"/>
      <c r="H227" s="81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</row>
    <row r="228" spans="1:19" ht="15.6">
      <c r="A228" s="193"/>
      <c r="B228" s="193"/>
      <c r="C228" s="193"/>
      <c r="D228" s="193"/>
      <c r="E228" s="193"/>
      <c r="F228" s="193"/>
      <c r="G228" s="193"/>
      <c r="H228" s="81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</row>
    <row r="229" spans="1:19" ht="15.6">
      <c r="A229" s="193"/>
      <c r="B229" s="193"/>
      <c r="C229" s="193"/>
      <c r="D229" s="193"/>
      <c r="E229" s="193"/>
      <c r="F229" s="193"/>
      <c r="G229" s="193"/>
      <c r="H229" s="81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</row>
    <row r="230" spans="1:19" ht="15.6">
      <c r="A230" s="193"/>
      <c r="B230" s="193"/>
      <c r="C230" s="193"/>
      <c r="D230" s="193"/>
      <c r="E230" s="193"/>
      <c r="F230" s="193"/>
      <c r="G230" s="193"/>
      <c r="H230" s="81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</row>
    <row r="231" spans="1:19" ht="15.6">
      <c r="A231" s="193"/>
      <c r="B231" s="193"/>
      <c r="C231" s="193"/>
      <c r="D231" s="193"/>
      <c r="E231" s="193"/>
      <c r="F231" s="193"/>
      <c r="G231" s="193"/>
      <c r="H231" s="81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</row>
    <row r="232" spans="1:19" ht="15.6">
      <c r="A232" s="193"/>
      <c r="B232" s="193"/>
      <c r="C232" s="193"/>
      <c r="D232" s="193"/>
      <c r="E232" s="193"/>
      <c r="F232" s="193"/>
      <c r="G232" s="193"/>
      <c r="H232" s="81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</row>
    <row r="233" spans="1:19" ht="15.6">
      <c r="A233" s="193"/>
      <c r="B233" s="193"/>
      <c r="C233" s="193"/>
      <c r="D233" s="193"/>
      <c r="E233" s="193"/>
      <c r="F233" s="193"/>
      <c r="G233" s="193"/>
      <c r="H233" s="81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</row>
    <row r="234" spans="1:19" ht="15.6">
      <c r="A234" s="193"/>
      <c r="B234" s="193"/>
      <c r="C234" s="193"/>
      <c r="D234" s="193"/>
      <c r="E234" s="193"/>
      <c r="F234" s="193"/>
      <c r="G234" s="193"/>
      <c r="H234" s="81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</row>
    <row r="235" spans="1:19" ht="15.6">
      <c r="A235" s="193"/>
      <c r="B235" s="193"/>
      <c r="C235" s="193"/>
      <c r="D235" s="193"/>
      <c r="E235" s="193"/>
      <c r="F235" s="193"/>
      <c r="G235" s="193"/>
      <c r="H235" s="81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</row>
    <row r="236" spans="1:19" ht="15.6">
      <c r="A236" s="193"/>
      <c r="B236" s="193"/>
      <c r="C236" s="193"/>
      <c r="D236" s="193"/>
      <c r="E236" s="193"/>
      <c r="F236" s="193"/>
      <c r="G236" s="193"/>
      <c r="H236" s="81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</row>
    <row r="237" spans="1:19" ht="15.6">
      <c r="A237" s="193"/>
      <c r="B237" s="193"/>
      <c r="C237" s="193"/>
      <c r="D237" s="193"/>
      <c r="E237" s="193"/>
      <c r="F237" s="193"/>
      <c r="G237" s="193"/>
      <c r="H237" s="81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</row>
    <row r="238" spans="1:19" ht="15.6">
      <c r="A238" s="193"/>
      <c r="B238" s="193"/>
      <c r="C238" s="193"/>
      <c r="D238" s="193"/>
      <c r="E238" s="193"/>
      <c r="F238" s="193"/>
      <c r="G238" s="193"/>
      <c r="H238" s="81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</row>
    <row r="239" spans="1:19" ht="15.6">
      <c r="A239" s="193"/>
      <c r="B239" s="193"/>
      <c r="C239" s="193"/>
      <c r="D239" s="193"/>
      <c r="E239" s="193"/>
      <c r="F239" s="193"/>
      <c r="G239" s="193"/>
      <c r="H239" s="81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</row>
    <row r="240" spans="1:19" ht="15.6">
      <c r="A240" s="193"/>
      <c r="B240" s="193"/>
      <c r="C240" s="193"/>
      <c r="D240" s="193"/>
      <c r="E240" s="193"/>
      <c r="F240" s="193"/>
      <c r="G240" s="193"/>
      <c r="H240" s="81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</row>
    <row r="241" spans="1:19" ht="15.6">
      <c r="A241" s="193"/>
      <c r="B241" s="193"/>
      <c r="C241" s="193"/>
      <c r="D241" s="193"/>
      <c r="E241" s="193"/>
      <c r="F241" s="193"/>
      <c r="G241" s="193"/>
      <c r="H241" s="81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</row>
    <row r="242" spans="1:19" ht="15.6">
      <c r="A242" s="193"/>
      <c r="B242" s="193"/>
      <c r="C242" s="193"/>
      <c r="D242" s="193"/>
      <c r="E242" s="193"/>
      <c r="F242" s="193"/>
      <c r="G242" s="193"/>
      <c r="H242" s="81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</row>
    <row r="243" spans="1:19" ht="15.6">
      <c r="A243" s="193"/>
      <c r="B243" s="193"/>
      <c r="C243" s="193"/>
      <c r="D243" s="193"/>
      <c r="E243" s="193"/>
      <c r="F243" s="193"/>
      <c r="G243" s="193"/>
      <c r="H243" s="81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</row>
    <row r="244" spans="1:19" ht="15.6">
      <c r="A244" s="193"/>
      <c r="B244" s="193"/>
      <c r="C244" s="193"/>
      <c r="D244" s="193"/>
      <c r="E244" s="193"/>
      <c r="F244" s="193"/>
      <c r="G244" s="193"/>
      <c r="H244" s="81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</row>
    <row r="245" spans="1:19" ht="15.6">
      <c r="A245" s="193"/>
      <c r="B245" s="193"/>
      <c r="C245" s="193"/>
      <c r="D245" s="193"/>
      <c r="E245" s="193"/>
      <c r="F245" s="193"/>
      <c r="G245" s="193"/>
      <c r="H245" s="81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</row>
    <row r="246" spans="1:19" ht="15.6">
      <c r="A246" s="193"/>
      <c r="B246" s="193"/>
      <c r="C246" s="193"/>
      <c r="D246" s="193"/>
      <c r="E246" s="193"/>
      <c r="F246" s="193"/>
      <c r="G246" s="193"/>
      <c r="H246" s="81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</row>
    <row r="247" spans="1:19" ht="15.6">
      <c r="A247" s="193"/>
      <c r="B247" s="193"/>
      <c r="C247" s="193"/>
      <c r="D247" s="193"/>
      <c r="E247" s="193"/>
      <c r="F247" s="193"/>
      <c r="G247" s="193"/>
      <c r="H247" s="81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</row>
    <row r="248" spans="1:19" ht="15.6">
      <c r="A248" s="193"/>
      <c r="B248" s="193"/>
      <c r="C248" s="193"/>
      <c r="D248" s="193"/>
      <c r="E248" s="193"/>
      <c r="F248" s="193"/>
      <c r="G248" s="193"/>
      <c r="H248" s="81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</row>
    <row r="249" spans="1:19" ht="15.6">
      <c r="A249" s="193"/>
      <c r="B249" s="193"/>
      <c r="C249" s="193"/>
      <c r="D249" s="193"/>
      <c r="E249" s="193"/>
      <c r="F249" s="193"/>
      <c r="G249" s="193"/>
      <c r="H249" s="81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</row>
    <row r="250" spans="1:19" ht="15.6">
      <c r="A250" s="193"/>
      <c r="B250" s="193"/>
      <c r="C250" s="193"/>
      <c r="D250" s="193"/>
      <c r="E250" s="193"/>
      <c r="F250" s="193"/>
      <c r="G250" s="193"/>
      <c r="H250" s="81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</row>
    <row r="251" spans="1:19" ht="15.6">
      <c r="A251" s="193"/>
      <c r="B251" s="193"/>
      <c r="C251" s="193"/>
      <c r="D251" s="193"/>
      <c r="E251" s="193"/>
      <c r="F251" s="193"/>
      <c r="G251" s="193"/>
      <c r="H251" s="81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</row>
    <row r="252" spans="1:19" ht="15.6">
      <c r="A252" s="193"/>
      <c r="B252" s="193"/>
      <c r="C252" s="193"/>
      <c r="D252" s="193"/>
      <c r="E252" s="193"/>
      <c r="F252" s="193"/>
      <c r="G252" s="193"/>
      <c r="H252" s="81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</row>
    <row r="253" spans="1:19" ht="15.6">
      <c r="A253" s="193"/>
      <c r="B253" s="193"/>
      <c r="C253" s="193"/>
      <c r="D253" s="193"/>
      <c r="E253" s="193"/>
      <c r="F253" s="193"/>
      <c r="G253" s="193"/>
      <c r="H253" s="81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</row>
    <row r="254" spans="1:19" ht="15.6">
      <c r="A254" s="193"/>
      <c r="B254" s="193"/>
      <c r="C254" s="193"/>
      <c r="D254" s="193"/>
      <c r="E254" s="193"/>
      <c r="F254" s="193"/>
      <c r="G254" s="193"/>
      <c r="H254" s="81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</row>
    <row r="255" spans="1:19" ht="15.6">
      <c r="A255" s="193"/>
      <c r="B255" s="193"/>
      <c r="C255" s="193"/>
      <c r="D255" s="193"/>
      <c r="E255" s="193"/>
      <c r="F255" s="193"/>
      <c r="G255" s="193"/>
      <c r="H255" s="81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</row>
    <row r="256" spans="1:19" ht="15.6">
      <c r="A256" s="193"/>
      <c r="B256" s="193"/>
      <c r="C256" s="193"/>
      <c r="D256" s="193"/>
      <c r="E256" s="193"/>
      <c r="F256" s="193"/>
      <c r="G256" s="193"/>
      <c r="H256" s="81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</row>
    <row r="257" spans="1:19" ht="15.6">
      <c r="A257" s="193"/>
      <c r="B257" s="193"/>
      <c r="C257" s="193"/>
      <c r="D257" s="193"/>
      <c r="E257" s="193"/>
      <c r="F257" s="193"/>
      <c r="G257" s="193"/>
      <c r="H257" s="81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</row>
    <row r="258" spans="1:19" ht="15.6">
      <c r="A258" s="193"/>
      <c r="B258" s="193"/>
      <c r="C258" s="193"/>
      <c r="D258" s="193"/>
      <c r="E258" s="193"/>
      <c r="F258" s="193"/>
      <c r="G258" s="193"/>
      <c r="H258" s="81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</row>
    <row r="259" spans="1:19" ht="15.6">
      <c r="A259" s="193"/>
      <c r="B259" s="193"/>
      <c r="C259" s="193"/>
      <c r="D259" s="193"/>
      <c r="E259" s="193"/>
      <c r="F259" s="193"/>
      <c r="G259" s="193"/>
      <c r="H259" s="81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</row>
    <row r="260" spans="1:19" ht="15.6">
      <c r="A260" s="193"/>
      <c r="B260" s="193"/>
      <c r="C260" s="193"/>
      <c r="D260" s="193"/>
      <c r="E260" s="193"/>
      <c r="F260" s="193"/>
      <c r="G260" s="193"/>
      <c r="H260" s="81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</row>
    <row r="261" spans="1:19" ht="15.6">
      <c r="A261" s="193"/>
      <c r="B261" s="193"/>
      <c r="C261" s="193"/>
      <c r="D261" s="193"/>
      <c r="E261" s="193"/>
      <c r="F261" s="193"/>
      <c r="G261" s="193"/>
      <c r="H261" s="81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</row>
    <row r="262" spans="1:19" ht="15.6">
      <c r="A262" s="193"/>
      <c r="B262" s="193"/>
      <c r="C262" s="193"/>
      <c r="D262" s="193"/>
      <c r="E262" s="193"/>
      <c r="F262" s="193"/>
      <c r="G262" s="193"/>
      <c r="H262" s="81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</row>
    <row r="263" spans="1:19" ht="15.6">
      <c r="A263" s="193"/>
      <c r="B263" s="193"/>
      <c r="C263" s="193"/>
      <c r="D263" s="193"/>
      <c r="E263" s="193"/>
      <c r="F263" s="193"/>
      <c r="G263" s="193"/>
      <c r="H263" s="81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</row>
    <row r="264" spans="1:19" ht="15.6">
      <c r="A264" s="193"/>
      <c r="B264" s="193"/>
      <c r="C264" s="193"/>
      <c r="D264" s="193"/>
      <c r="E264" s="193"/>
      <c r="F264" s="193"/>
      <c r="G264" s="193"/>
      <c r="H264" s="81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</row>
    <row r="265" spans="1:19" ht="15.6">
      <c r="A265" s="193"/>
      <c r="B265" s="193"/>
      <c r="C265" s="193"/>
      <c r="D265" s="193"/>
      <c r="E265" s="193"/>
      <c r="F265" s="193"/>
      <c r="G265" s="193"/>
      <c r="H265" s="81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</row>
    <row r="266" spans="1:19" ht="15.6">
      <c r="A266" s="193"/>
      <c r="B266" s="193"/>
      <c r="C266" s="193"/>
      <c r="D266" s="193"/>
      <c r="E266" s="193"/>
      <c r="F266" s="193"/>
      <c r="G266" s="193"/>
      <c r="H266" s="81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</row>
    <row r="267" spans="1:19" ht="15.6">
      <c r="A267" s="193"/>
      <c r="B267" s="193"/>
      <c r="C267" s="193"/>
      <c r="D267" s="193"/>
      <c r="E267" s="193"/>
      <c r="F267" s="193"/>
      <c r="G267" s="193"/>
      <c r="H267" s="81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</row>
    <row r="268" spans="1:19" ht="15.6">
      <c r="A268" s="193"/>
      <c r="B268" s="193"/>
      <c r="C268" s="193"/>
      <c r="D268" s="193"/>
      <c r="E268" s="193"/>
      <c r="F268" s="193"/>
      <c r="G268" s="193"/>
      <c r="H268" s="81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</row>
    <row r="269" spans="1:19" ht="15.6">
      <c r="A269" s="193"/>
      <c r="B269" s="193"/>
      <c r="C269" s="193"/>
      <c r="D269" s="193"/>
      <c r="E269" s="193"/>
      <c r="F269" s="193"/>
      <c r="G269" s="193"/>
      <c r="H269" s="81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</row>
    <row r="270" spans="1:19" ht="15.6">
      <c r="A270" s="193"/>
      <c r="B270" s="193"/>
      <c r="C270" s="193"/>
      <c r="D270" s="193"/>
      <c r="E270" s="193"/>
      <c r="F270" s="193"/>
      <c r="G270" s="193"/>
      <c r="H270" s="81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</row>
    <row r="271" spans="1:19" ht="15.6">
      <c r="A271" s="193"/>
      <c r="B271" s="193"/>
      <c r="C271" s="193"/>
      <c r="D271" s="193"/>
      <c r="E271" s="193"/>
      <c r="F271" s="193"/>
      <c r="G271" s="193"/>
      <c r="H271" s="81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</row>
    <row r="272" spans="1:19" ht="15.6">
      <c r="A272" s="193"/>
      <c r="B272" s="193"/>
      <c r="C272" s="193"/>
      <c r="D272" s="193"/>
      <c r="E272" s="193"/>
      <c r="F272" s="193"/>
      <c r="G272" s="193"/>
      <c r="H272" s="81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</row>
    <row r="273" spans="1:19" ht="15.6">
      <c r="A273" s="193"/>
      <c r="B273" s="193"/>
      <c r="C273" s="193"/>
      <c r="D273" s="193"/>
      <c r="E273" s="193"/>
      <c r="F273" s="193"/>
      <c r="G273" s="193"/>
      <c r="H273" s="81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</row>
    <row r="274" spans="1:19" ht="15.6">
      <c r="A274" s="193"/>
      <c r="B274" s="193"/>
      <c r="C274" s="193"/>
      <c r="D274" s="193"/>
      <c r="E274" s="193"/>
      <c r="F274" s="193"/>
      <c r="G274" s="193"/>
      <c r="H274" s="81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</row>
    <row r="275" spans="1:19" ht="15.6">
      <c r="A275" s="193"/>
      <c r="B275" s="193"/>
      <c r="C275" s="193"/>
      <c r="D275" s="193"/>
      <c r="E275" s="193"/>
      <c r="F275" s="193"/>
      <c r="G275" s="193"/>
      <c r="H275" s="81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</row>
    <row r="276" spans="1:19" ht="15.6">
      <c r="A276" s="193"/>
      <c r="B276" s="193"/>
      <c r="C276" s="193"/>
      <c r="D276" s="193"/>
      <c r="E276" s="193"/>
      <c r="F276" s="193"/>
      <c r="G276" s="193"/>
      <c r="H276" s="81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</row>
    <row r="277" spans="1:19" ht="15.6">
      <c r="A277" s="193"/>
      <c r="B277" s="193"/>
      <c r="C277" s="193"/>
      <c r="D277" s="193"/>
      <c r="E277" s="193"/>
      <c r="F277" s="193"/>
      <c r="G277" s="193"/>
      <c r="H277" s="81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</row>
    <row r="278" spans="1:19" ht="15.6">
      <c r="A278" s="193"/>
      <c r="B278" s="193"/>
      <c r="C278" s="193"/>
      <c r="D278" s="193"/>
      <c r="E278" s="193"/>
      <c r="F278" s="193"/>
      <c r="G278" s="193"/>
      <c r="H278" s="81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</row>
    <row r="279" spans="1:19" ht="15.6">
      <c r="A279" s="193"/>
      <c r="B279" s="193"/>
      <c r="C279" s="193"/>
      <c r="D279" s="193"/>
      <c r="E279" s="193"/>
      <c r="F279" s="193"/>
      <c r="G279" s="193"/>
      <c r="H279" s="81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</row>
    <row r="280" spans="1:19" ht="15.6">
      <c r="A280" s="193"/>
      <c r="B280" s="193"/>
      <c r="C280" s="193"/>
      <c r="D280" s="193"/>
      <c r="E280" s="193"/>
      <c r="F280" s="193"/>
      <c r="G280" s="193"/>
      <c r="H280" s="81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</row>
    <row r="281" spans="1:19" ht="15.6">
      <c r="A281" s="193"/>
      <c r="B281" s="193"/>
      <c r="C281" s="193"/>
      <c r="D281" s="193"/>
      <c r="E281" s="193"/>
      <c r="F281" s="193"/>
      <c r="G281" s="193"/>
      <c r="H281" s="81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</row>
    <row r="282" spans="1:19" ht="15.6">
      <c r="A282" s="193"/>
      <c r="B282" s="193"/>
      <c r="C282" s="193"/>
      <c r="D282" s="193"/>
      <c r="E282" s="193"/>
      <c r="F282" s="193"/>
      <c r="G282" s="193"/>
      <c r="H282" s="81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</row>
    <row r="283" spans="1:19" ht="15.6">
      <c r="A283" s="193"/>
      <c r="B283" s="193"/>
      <c r="C283" s="193"/>
      <c r="D283" s="193"/>
      <c r="E283" s="193"/>
      <c r="F283" s="193"/>
      <c r="G283" s="193"/>
      <c r="H283" s="81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</row>
    <row r="284" spans="1:19" ht="15.6">
      <c r="A284" s="193"/>
      <c r="B284" s="193"/>
      <c r="C284" s="193"/>
      <c r="D284" s="193"/>
      <c r="E284" s="193"/>
      <c r="F284" s="193"/>
      <c r="G284" s="193"/>
      <c r="H284" s="81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</row>
    <row r="285" spans="1:19" ht="15.6">
      <c r="A285" s="193"/>
      <c r="B285" s="193"/>
      <c r="C285" s="193"/>
      <c r="D285" s="193"/>
      <c r="E285" s="193"/>
      <c r="F285" s="193"/>
      <c r="G285" s="193"/>
      <c r="H285" s="81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</row>
    <row r="286" spans="1:19" ht="15.6">
      <c r="A286" s="193"/>
      <c r="B286" s="193"/>
      <c r="C286" s="193"/>
      <c r="D286" s="193"/>
      <c r="E286" s="193"/>
      <c r="F286" s="193"/>
      <c r="G286" s="193"/>
      <c r="H286" s="81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</row>
    <row r="287" spans="1:19" ht="15.6">
      <c r="A287" s="193"/>
      <c r="B287" s="193"/>
      <c r="C287" s="193"/>
      <c r="D287" s="193"/>
      <c r="E287" s="193"/>
      <c r="F287" s="193"/>
      <c r="G287" s="193"/>
      <c r="H287" s="81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</row>
    <row r="288" spans="1:19" ht="15.6">
      <c r="A288" s="193"/>
      <c r="B288" s="193"/>
      <c r="C288" s="193"/>
      <c r="D288" s="193"/>
      <c r="E288" s="193"/>
      <c r="F288" s="193"/>
      <c r="G288" s="193"/>
      <c r="H288" s="81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</row>
    <row r="289" spans="1:19" ht="15.6">
      <c r="A289" s="193"/>
      <c r="B289" s="193"/>
      <c r="C289" s="193"/>
      <c r="D289" s="193"/>
      <c r="E289" s="193"/>
      <c r="F289" s="193"/>
      <c r="G289" s="193"/>
      <c r="H289" s="81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</row>
    <row r="290" spans="1:19" ht="15.6">
      <c r="A290" s="193"/>
      <c r="B290" s="193"/>
      <c r="C290" s="193"/>
      <c r="D290" s="193"/>
      <c r="E290" s="193"/>
      <c r="F290" s="193"/>
      <c r="G290" s="193"/>
      <c r="H290" s="81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</row>
    <row r="291" spans="1:19" ht="15.6">
      <c r="A291" s="193"/>
      <c r="B291" s="193"/>
      <c r="C291" s="193"/>
      <c r="D291" s="193"/>
      <c r="E291" s="193"/>
      <c r="F291" s="193"/>
      <c r="G291" s="193"/>
      <c r="H291" s="81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</row>
    <row r="292" spans="1:19" ht="15.6">
      <c r="A292" s="193"/>
      <c r="B292" s="193"/>
      <c r="C292" s="193"/>
      <c r="D292" s="193"/>
      <c r="E292" s="193"/>
      <c r="F292" s="193"/>
      <c r="G292" s="193"/>
      <c r="H292" s="81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</row>
    <row r="293" spans="1:19" ht="15.6">
      <c r="A293" s="193"/>
      <c r="B293" s="193"/>
      <c r="C293" s="193"/>
      <c r="D293" s="193"/>
      <c r="E293" s="193"/>
      <c r="F293" s="193"/>
      <c r="G293" s="193"/>
      <c r="H293" s="81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</row>
    <row r="294" spans="1:19" ht="15.6">
      <c r="A294" s="193"/>
      <c r="B294" s="193"/>
      <c r="C294" s="193"/>
      <c r="D294" s="193"/>
      <c r="E294" s="193"/>
      <c r="F294" s="193"/>
      <c r="G294" s="193"/>
      <c r="H294" s="81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</row>
    <row r="295" spans="1:19" ht="15.6">
      <c r="A295" s="193"/>
      <c r="B295" s="193"/>
      <c r="C295" s="193"/>
      <c r="D295" s="193"/>
      <c r="E295" s="193"/>
      <c r="F295" s="193"/>
      <c r="G295" s="193"/>
      <c r="H295" s="81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</row>
    <row r="296" spans="1:19" ht="15.6">
      <c r="A296" s="193"/>
      <c r="B296" s="193"/>
      <c r="C296" s="193"/>
      <c r="D296" s="193"/>
      <c r="E296" s="193"/>
      <c r="F296" s="193"/>
      <c r="G296" s="193"/>
      <c r="H296" s="81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</row>
    <row r="297" spans="1:19" ht="15.6">
      <c r="A297" s="193"/>
      <c r="B297" s="193"/>
      <c r="C297" s="193"/>
      <c r="D297" s="193"/>
      <c r="E297" s="193"/>
      <c r="F297" s="193"/>
      <c r="G297" s="193"/>
      <c r="H297" s="81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</row>
    <row r="298" spans="1:19" ht="15.6">
      <c r="A298" s="193"/>
      <c r="B298" s="193"/>
      <c r="C298" s="193"/>
      <c r="D298" s="193"/>
      <c r="E298" s="193"/>
      <c r="F298" s="193"/>
      <c r="G298" s="193"/>
      <c r="H298" s="81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</row>
    <row r="299" spans="1:19" ht="15.6">
      <c r="A299" s="193"/>
      <c r="B299" s="193"/>
      <c r="C299" s="193"/>
      <c r="D299" s="193"/>
      <c r="E299" s="193"/>
      <c r="F299" s="193"/>
      <c r="G299" s="193"/>
      <c r="H299" s="81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</row>
    <row r="300" spans="1:19" ht="15.6">
      <c r="A300" s="193"/>
      <c r="B300" s="193"/>
      <c r="C300" s="193"/>
      <c r="D300" s="193"/>
      <c r="E300" s="193"/>
      <c r="F300" s="193"/>
      <c r="G300" s="193"/>
      <c r="H300" s="81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</row>
    <row r="301" spans="1:19" ht="15.6">
      <c r="A301" s="193"/>
      <c r="B301" s="193"/>
      <c r="C301" s="193"/>
      <c r="D301" s="193"/>
      <c r="E301" s="193"/>
      <c r="F301" s="193"/>
      <c r="G301" s="193"/>
      <c r="H301" s="81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</row>
    <row r="302" spans="1:19" ht="15.6">
      <c r="A302" s="193"/>
      <c r="B302" s="193"/>
      <c r="C302" s="193"/>
      <c r="D302" s="193"/>
      <c r="E302" s="193"/>
      <c r="F302" s="193"/>
      <c r="G302" s="193"/>
      <c r="H302" s="81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</row>
    <row r="303" spans="1:19" ht="15.6">
      <c r="A303" s="193"/>
      <c r="B303" s="193"/>
      <c r="C303" s="193"/>
      <c r="D303" s="193"/>
      <c r="E303" s="193"/>
      <c r="F303" s="193"/>
      <c r="G303" s="193"/>
      <c r="H303" s="81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</row>
    <row r="304" spans="1:19" ht="15.6">
      <c r="A304" s="193"/>
      <c r="B304" s="193"/>
      <c r="C304" s="193"/>
      <c r="D304" s="193"/>
      <c r="E304" s="193"/>
      <c r="F304" s="193"/>
      <c r="G304" s="193"/>
      <c r="H304" s="81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</row>
    <row r="305" spans="1:19" ht="15.6">
      <c r="A305" s="193"/>
      <c r="B305" s="193"/>
      <c r="C305" s="193"/>
      <c r="D305" s="193"/>
      <c r="E305" s="193"/>
      <c r="F305" s="193"/>
      <c r="G305" s="193"/>
      <c r="H305" s="81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</row>
    <row r="306" spans="1:19" ht="15.6">
      <c r="A306" s="193"/>
      <c r="B306" s="193"/>
      <c r="C306" s="193"/>
      <c r="D306" s="193"/>
      <c r="E306" s="193"/>
      <c r="F306" s="193"/>
      <c r="G306" s="193"/>
      <c r="H306" s="81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</row>
    <row r="307" spans="1:19" ht="15.6">
      <c r="A307" s="193"/>
      <c r="B307" s="193"/>
      <c r="C307" s="193"/>
      <c r="D307" s="193"/>
      <c r="E307" s="193"/>
      <c r="F307" s="193"/>
      <c r="G307" s="193"/>
      <c r="H307" s="81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</row>
    <row r="308" spans="1:19" ht="15.6">
      <c r="A308" s="193"/>
      <c r="B308" s="193"/>
      <c r="C308" s="193"/>
      <c r="D308" s="193"/>
      <c r="E308" s="193"/>
      <c r="F308" s="193"/>
      <c r="G308" s="193"/>
      <c r="H308" s="81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</row>
    <row r="309" spans="1:19" ht="15.6">
      <c r="A309" s="193"/>
      <c r="B309" s="193"/>
      <c r="C309" s="193"/>
      <c r="D309" s="193"/>
      <c r="E309" s="193"/>
      <c r="F309" s="193"/>
      <c r="G309" s="193"/>
      <c r="H309" s="81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</row>
    <row r="310" spans="1:19" ht="15.6">
      <c r="A310" s="193"/>
      <c r="B310" s="193"/>
      <c r="C310" s="193"/>
      <c r="D310" s="193"/>
      <c r="E310" s="193"/>
      <c r="F310" s="193"/>
      <c r="G310" s="193"/>
      <c r="H310" s="81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</row>
    <row r="311" spans="1:19" ht="15.6">
      <c r="A311" s="193"/>
      <c r="B311" s="193"/>
      <c r="C311" s="193"/>
      <c r="D311" s="193"/>
      <c r="E311" s="193"/>
      <c r="F311" s="193"/>
      <c r="G311" s="193"/>
      <c r="H311" s="81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</row>
    <row r="312" spans="1:19" ht="15.6">
      <c r="A312" s="193"/>
      <c r="B312" s="193"/>
      <c r="C312" s="193"/>
      <c r="D312" s="193"/>
      <c r="E312" s="193"/>
      <c r="F312" s="193"/>
      <c r="G312" s="193"/>
      <c r="H312" s="81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</row>
    <row r="313" spans="1:19" ht="15.6">
      <c r="A313" s="193"/>
      <c r="B313" s="193"/>
      <c r="C313" s="193"/>
      <c r="D313" s="193"/>
      <c r="E313" s="193"/>
      <c r="F313" s="193"/>
      <c r="G313" s="193"/>
      <c r="H313" s="81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</row>
    <row r="314" spans="1:19" ht="15.6">
      <c r="A314" s="193"/>
      <c r="B314" s="193"/>
      <c r="C314" s="193"/>
      <c r="D314" s="193"/>
      <c r="E314" s="193"/>
      <c r="F314" s="193"/>
      <c r="G314" s="193"/>
      <c r="H314" s="81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</row>
    <row r="315" spans="1:19" ht="15.6">
      <c r="A315" s="193"/>
      <c r="B315" s="193"/>
      <c r="C315" s="193"/>
      <c r="D315" s="193"/>
      <c r="E315" s="193"/>
      <c r="F315" s="193"/>
      <c r="G315" s="193"/>
      <c r="H315" s="81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</row>
    <row r="316" spans="1:19" ht="15.6">
      <c r="A316" s="193"/>
      <c r="B316" s="193"/>
      <c r="C316" s="193"/>
      <c r="D316" s="193"/>
      <c r="E316" s="193"/>
      <c r="F316" s="193"/>
      <c r="G316" s="193"/>
      <c r="H316" s="81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</row>
    <row r="317" spans="1:19" ht="15.6">
      <c r="A317" s="193"/>
      <c r="B317" s="193"/>
      <c r="C317" s="193"/>
      <c r="D317" s="193"/>
      <c r="E317" s="193"/>
      <c r="F317" s="193"/>
      <c r="G317" s="193"/>
      <c r="H317" s="81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</row>
    <row r="318" spans="1:19" ht="15.6">
      <c r="A318" s="193"/>
      <c r="B318" s="193"/>
      <c r="C318" s="193"/>
      <c r="D318" s="193"/>
      <c r="E318" s="193"/>
      <c r="F318" s="193"/>
      <c r="G318" s="193"/>
      <c r="H318" s="81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</row>
    <row r="319" spans="1:19" ht="15.6">
      <c r="A319" s="193"/>
      <c r="B319" s="193"/>
      <c r="C319" s="193"/>
      <c r="D319" s="193"/>
      <c r="E319" s="193"/>
      <c r="F319" s="193"/>
      <c r="G319" s="193"/>
      <c r="H319" s="81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</row>
    <row r="320" spans="1:19" ht="15.6">
      <c r="A320" s="193"/>
      <c r="B320" s="193"/>
      <c r="C320" s="193"/>
      <c r="D320" s="193"/>
      <c r="E320" s="193"/>
      <c r="F320" s="193"/>
      <c r="G320" s="193"/>
      <c r="H320" s="81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</row>
    <row r="321" spans="1:19" ht="15.6">
      <c r="A321" s="193"/>
      <c r="B321" s="193"/>
      <c r="C321" s="193"/>
      <c r="D321" s="193"/>
      <c r="E321" s="193"/>
      <c r="F321" s="193"/>
      <c r="G321" s="193"/>
      <c r="H321" s="81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</row>
    <row r="322" spans="1:19" ht="15.6">
      <c r="A322" s="193"/>
      <c r="B322" s="193"/>
      <c r="C322" s="193"/>
      <c r="D322" s="193"/>
      <c r="E322" s="193"/>
      <c r="F322" s="193"/>
      <c r="G322" s="193"/>
      <c r="H322" s="81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</row>
    <row r="323" spans="1:19" ht="15.6">
      <c r="A323" s="193"/>
      <c r="B323" s="193"/>
      <c r="C323" s="193"/>
      <c r="D323" s="193"/>
      <c r="E323" s="193"/>
      <c r="F323" s="193"/>
      <c r="G323" s="193"/>
      <c r="H323" s="81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</row>
    <row r="324" spans="1:19" ht="15.6">
      <c r="A324" s="193"/>
      <c r="B324" s="193"/>
      <c r="C324" s="193"/>
      <c r="D324" s="193"/>
      <c r="E324" s="193"/>
      <c r="F324" s="193"/>
      <c r="G324" s="193"/>
      <c r="H324" s="81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</row>
    <row r="325" spans="1:19" ht="15.6">
      <c r="A325" s="193"/>
      <c r="B325" s="193"/>
      <c r="C325" s="193"/>
      <c r="D325" s="193"/>
      <c r="E325" s="193"/>
      <c r="F325" s="193"/>
      <c r="G325" s="193"/>
      <c r="H325" s="81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</row>
    <row r="326" spans="1:19" ht="15.6">
      <c r="A326" s="193"/>
      <c r="B326" s="193"/>
      <c r="C326" s="193"/>
      <c r="D326" s="193"/>
      <c r="E326" s="193"/>
      <c r="F326" s="193"/>
      <c r="G326" s="193"/>
      <c r="H326" s="81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</row>
    <row r="327" spans="1:19" ht="15.6">
      <c r="A327" s="193"/>
      <c r="B327" s="193"/>
      <c r="C327" s="193"/>
      <c r="D327" s="193"/>
      <c r="E327" s="193"/>
      <c r="F327" s="193"/>
      <c r="G327" s="193"/>
      <c r="H327" s="81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</row>
    <row r="328" spans="1:19" ht="15.6">
      <c r="A328" s="193"/>
      <c r="B328" s="193"/>
      <c r="C328" s="193"/>
      <c r="D328" s="193"/>
      <c r="E328" s="193"/>
      <c r="F328" s="193"/>
      <c r="G328" s="193"/>
      <c r="H328" s="81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</row>
    <row r="329" spans="1:19" ht="15.6">
      <c r="A329" s="193"/>
      <c r="B329" s="193"/>
      <c r="C329" s="193"/>
      <c r="D329" s="193"/>
      <c r="E329" s="193"/>
      <c r="F329" s="193"/>
      <c r="G329" s="193"/>
      <c r="H329" s="81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</row>
    <row r="330" spans="1:19" ht="15.6">
      <c r="A330" s="193"/>
      <c r="B330" s="193"/>
      <c r="C330" s="193"/>
      <c r="D330" s="193"/>
      <c r="E330" s="193"/>
      <c r="F330" s="193"/>
      <c r="G330" s="193"/>
      <c r="H330" s="81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</row>
    <row r="331" spans="1:19" ht="15.6">
      <c r="A331" s="193"/>
      <c r="B331" s="193"/>
      <c r="C331" s="193"/>
      <c r="D331" s="193"/>
      <c r="E331" s="193"/>
      <c r="F331" s="193"/>
      <c r="G331" s="193"/>
      <c r="H331" s="81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</row>
    <row r="332" spans="1:19" ht="15.6">
      <c r="A332" s="193"/>
      <c r="B332" s="193"/>
      <c r="C332" s="193"/>
      <c r="D332" s="193"/>
      <c r="E332" s="193"/>
      <c r="F332" s="193"/>
      <c r="G332" s="193"/>
      <c r="H332" s="81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</row>
    <row r="333" spans="1:19" ht="15.6">
      <c r="A333" s="193"/>
      <c r="B333" s="193"/>
      <c r="C333" s="193"/>
      <c r="D333" s="193"/>
      <c r="E333" s="193"/>
      <c r="F333" s="193"/>
      <c r="G333" s="193"/>
      <c r="H333" s="81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</row>
    <row r="334" spans="1:19" ht="15.6">
      <c r="A334" s="193"/>
      <c r="B334" s="193"/>
      <c r="C334" s="193"/>
      <c r="D334" s="193"/>
      <c r="E334" s="193"/>
      <c r="F334" s="193"/>
      <c r="G334" s="193"/>
      <c r="H334" s="81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</row>
    <row r="335" spans="1:19" ht="15.6">
      <c r="A335" s="193"/>
      <c r="B335" s="193"/>
      <c r="C335" s="193"/>
      <c r="D335" s="193"/>
      <c r="E335" s="193"/>
      <c r="F335" s="193"/>
      <c r="G335" s="193"/>
      <c r="H335" s="81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</row>
    <row r="336" spans="1:19" ht="15.6">
      <c r="A336" s="193"/>
      <c r="B336" s="193"/>
      <c r="C336" s="193"/>
      <c r="D336" s="193"/>
      <c r="E336" s="193"/>
      <c r="F336" s="193"/>
      <c r="G336" s="193"/>
      <c r="H336" s="81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</row>
    <row r="337" spans="1:19" ht="15.6">
      <c r="A337" s="193"/>
      <c r="B337" s="193"/>
      <c r="C337" s="193"/>
      <c r="D337" s="193"/>
      <c r="E337" s="193"/>
      <c r="F337" s="193"/>
      <c r="G337" s="193"/>
      <c r="H337" s="81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</row>
    <row r="338" spans="1:19" ht="15.6">
      <c r="A338" s="193"/>
      <c r="B338" s="193"/>
      <c r="C338" s="193"/>
      <c r="D338" s="193"/>
      <c r="E338" s="193"/>
      <c r="F338" s="193"/>
      <c r="G338" s="193"/>
      <c r="H338" s="81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</row>
    <row r="339" spans="1:19" ht="15.6">
      <c r="A339" s="193"/>
      <c r="B339" s="193"/>
      <c r="C339" s="193"/>
      <c r="D339" s="193"/>
      <c r="E339" s="193"/>
      <c r="F339" s="193"/>
      <c r="G339" s="193"/>
      <c r="H339" s="81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</row>
    <row r="340" spans="1:19" ht="15.6">
      <c r="A340" s="193"/>
      <c r="B340" s="193"/>
      <c r="C340" s="193"/>
      <c r="D340" s="193"/>
      <c r="E340" s="193"/>
      <c r="F340" s="193"/>
      <c r="G340" s="193"/>
      <c r="H340" s="81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</row>
    <row r="341" spans="1:19" ht="15.6">
      <c r="A341" s="193"/>
      <c r="B341" s="193"/>
      <c r="C341" s="193"/>
      <c r="D341" s="193"/>
      <c r="E341" s="193"/>
      <c r="F341" s="193"/>
      <c r="G341" s="193"/>
      <c r="H341" s="81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</row>
    <row r="342" spans="1:19" ht="15.6">
      <c r="A342" s="193"/>
      <c r="B342" s="193"/>
      <c r="C342" s="193"/>
      <c r="D342" s="193"/>
      <c r="E342" s="193"/>
      <c r="F342" s="193"/>
      <c r="G342" s="193"/>
      <c r="H342" s="81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</row>
    <row r="343" spans="1:19" ht="15.6">
      <c r="A343" s="193"/>
      <c r="B343" s="193"/>
      <c r="C343" s="193"/>
      <c r="D343" s="193"/>
      <c r="E343" s="193"/>
      <c r="F343" s="193"/>
      <c r="G343" s="193"/>
      <c r="H343" s="81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</row>
    <row r="344" spans="1:19" ht="15.6">
      <c r="A344" s="193"/>
      <c r="B344" s="193"/>
      <c r="C344" s="193"/>
      <c r="D344" s="193"/>
      <c r="E344" s="193"/>
      <c r="F344" s="193"/>
      <c r="G344" s="193"/>
      <c r="H344" s="81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</row>
    <row r="345" spans="1:19" ht="15.6">
      <c r="A345" s="193"/>
      <c r="B345" s="193"/>
      <c r="C345" s="193"/>
      <c r="D345" s="193"/>
      <c r="E345" s="193"/>
      <c r="F345" s="193"/>
      <c r="G345" s="193"/>
      <c r="H345" s="81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</row>
    <row r="346" spans="1:19" ht="15.6">
      <c r="A346" s="193"/>
      <c r="B346" s="193"/>
      <c r="C346" s="193"/>
      <c r="D346" s="193"/>
      <c r="E346" s="193"/>
      <c r="F346" s="193"/>
      <c r="G346" s="193"/>
      <c r="H346" s="81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</row>
    <row r="347" spans="1:19" ht="15.6">
      <c r="A347" s="193"/>
      <c r="B347" s="193"/>
      <c r="C347" s="193"/>
      <c r="D347" s="193"/>
      <c r="E347" s="193"/>
      <c r="F347" s="193"/>
      <c r="G347" s="193"/>
      <c r="H347" s="81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</row>
    <row r="348" spans="1:19" ht="15.6">
      <c r="A348" s="193"/>
      <c r="B348" s="193"/>
      <c r="C348" s="193"/>
      <c r="D348" s="193"/>
      <c r="E348" s="193"/>
      <c r="F348" s="193"/>
      <c r="G348" s="193"/>
      <c r="H348" s="81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</row>
    <row r="349" spans="1:19" ht="15.6">
      <c r="A349" s="193"/>
      <c r="B349" s="193"/>
      <c r="C349" s="193"/>
      <c r="D349" s="193"/>
      <c r="E349" s="193"/>
      <c r="F349" s="193"/>
      <c r="G349" s="193"/>
      <c r="H349" s="81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</row>
    <row r="350" spans="1:19" ht="15.6">
      <c r="A350" s="193"/>
      <c r="B350" s="193"/>
      <c r="C350" s="193"/>
      <c r="D350" s="193"/>
      <c r="E350" s="193"/>
      <c r="F350" s="193"/>
      <c r="G350" s="193"/>
      <c r="H350" s="81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</row>
    <row r="351" spans="1:19" ht="15.6">
      <c r="A351" s="193"/>
      <c r="B351" s="193"/>
      <c r="C351" s="193"/>
      <c r="D351" s="193"/>
      <c r="E351" s="193"/>
      <c r="F351" s="193"/>
      <c r="G351" s="193"/>
      <c r="H351" s="81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</row>
    <row r="352" spans="1:19" ht="15.6">
      <c r="A352" s="193"/>
      <c r="B352" s="193"/>
      <c r="C352" s="193"/>
      <c r="D352" s="193"/>
      <c r="E352" s="193"/>
      <c r="F352" s="193"/>
      <c r="G352" s="193"/>
      <c r="H352" s="81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</row>
    <row r="353" spans="1:19" ht="15.6">
      <c r="A353" s="193"/>
      <c r="B353" s="193"/>
      <c r="C353" s="193"/>
      <c r="D353" s="193"/>
      <c r="E353" s="193"/>
      <c r="F353" s="193"/>
      <c r="G353" s="193"/>
      <c r="H353" s="81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</row>
    <row r="354" spans="1:19" ht="15.6">
      <c r="A354" s="193"/>
      <c r="B354" s="193"/>
      <c r="C354" s="193"/>
      <c r="D354" s="193"/>
      <c r="E354" s="193"/>
      <c r="F354" s="193"/>
      <c r="G354" s="193"/>
      <c r="H354" s="81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</row>
    <row r="355" spans="1:19" ht="15.6">
      <c r="A355" s="193"/>
      <c r="B355" s="193"/>
      <c r="C355" s="193"/>
      <c r="D355" s="193"/>
      <c r="E355" s="193"/>
      <c r="F355" s="193"/>
      <c r="G355" s="193"/>
      <c r="H355" s="81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</row>
    <row r="356" spans="1:19" ht="15.6">
      <c r="A356" s="193"/>
      <c r="B356" s="193"/>
      <c r="C356" s="193"/>
      <c r="D356" s="193"/>
      <c r="E356" s="193"/>
      <c r="F356" s="193"/>
      <c r="G356" s="193"/>
      <c r="H356" s="81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</row>
    <row r="357" spans="1:19" ht="15.6">
      <c r="A357" s="193"/>
      <c r="B357" s="193"/>
      <c r="C357" s="193"/>
      <c r="D357" s="193"/>
      <c r="E357" s="193"/>
      <c r="F357" s="193"/>
      <c r="G357" s="193"/>
      <c r="H357" s="81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</row>
    <row r="358" spans="1:19" ht="15.6">
      <c r="A358" s="193"/>
      <c r="B358" s="193"/>
      <c r="C358" s="193"/>
      <c r="D358" s="193"/>
      <c r="E358" s="193"/>
      <c r="F358" s="193"/>
      <c r="G358" s="193"/>
      <c r="H358" s="81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</row>
    <row r="359" spans="1:19" ht="15.6">
      <c r="A359" s="193"/>
      <c r="B359" s="193"/>
      <c r="C359" s="193"/>
      <c r="D359" s="193"/>
      <c r="E359" s="193"/>
      <c r="F359" s="193"/>
      <c r="G359" s="193"/>
      <c r="H359" s="81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</row>
    <row r="360" spans="1:19" ht="15.6">
      <c r="A360" s="193"/>
      <c r="B360" s="193"/>
      <c r="C360" s="193"/>
      <c r="D360" s="193"/>
      <c r="E360" s="193"/>
      <c r="F360" s="193"/>
      <c r="G360" s="193"/>
      <c r="H360" s="81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</row>
    <row r="361" spans="1:19" ht="15.6">
      <c r="A361" s="193"/>
      <c r="B361" s="193"/>
      <c r="C361" s="193"/>
      <c r="D361" s="193"/>
      <c r="E361" s="193"/>
      <c r="F361" s="193"/>
      <c r="G361" s="193"/>
      <c r="H361" s="81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</row>
    <row r="362" spans="1:19" ht="15.6">
      <c r="A362" s="193"/>
      <c r="B362" s="193"/>
      <c r="C362" s="193"/>
      <c r="D362" s="193"/>
      <c r="E362" s="193"/>
      <c r="F362" s="193"/>
      <c r="G362" s="193"/>
      <c r="H362" s="81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</row>
    <row r="363" spans="1:19" ht="15.6">
      <c r="A363" s="193"/>
      <c r="B363" s="193"/>
      <c r="C363" s="193"/>
      <c r="D363" s="193"/>
      <c r="E363" s="193"/>
      <c r="F363" s="193"/>
      <c r="G363" s="193"/>
      <c r="H363" s="81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</row>
    <row r="364" spans="1:19" ht="15.6">
      <c r="A364" s="193"/>
      <c r="B364" s="193"/>
      <c r="C364" s="193"/>
      <c r="D364" s="193"/>
      <c r="E364" s="193"/>
      <c r="F364" s="193"/>
      <c r="G364" s="193"/>
      <c r="H364" s="81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</row>
    <row r="365" spans="1:19" ht="15.6">
      <c r="A365" s="193"/>
      <c r="B365" s="193"/>
      <c r="C365" s="193"/>
      <c r="D365" s="193"/>
      <c r="E365" s="193"/>
      <c r="F365" s="193"/>
      <c r="G365" s="193"/>
      <c r="H365" s="81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</row>
    <row r="366" spans="1:19" ht="15.6">
      <c r="A366" s="193"/>
      <c r="B366" s="193"/>
      <c r="C366" s="193"/>
      <c r="D366" s="193"/>
      <c r="E366" s="193"/>
      <c r="F366" s="193"/>
      <c r="G366" s="193"/>
      <c r="H366" s="81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</row>
    <row r="367" spans="1:19" ht="15.6">
      <c r="A367" s="193"/>
      <c r="B367" s="193"/>
      <c r="C367" s="193"/>
      <c r="D367" s="193"/>
      <c r="E367" s="193"/>
      <c r="F367" s="193"/>
      <c r="G367" s="193"/>
      <c r="H367" s="81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</row>
    <row r="368" spans="1:19" ht="15.6">
      <c r="A368" s="193"/>
      <c r="B368" s="193"/>
      <c r="C368" s="193"/>
      <c r="D368" s="193"/>
      <c r="E368" s="193"/>
      <c r="F368" s="193"/>
      <c r="G368" s="193"/>
      <c r="H368" s="81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</row>
    <row r="369" spans="1:19" ht="15.6">
      <c r="A369" s="193"/>
      <c r="B369" s="193"/>
      <c r="C369" s="193"/>
      <c r="D369" s="193"/>
      <c r="E369" s="193"/>
      <c r="F369" s="193"/>
      <c r="G369" s="193"/>
      <c r="H369" s="81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</row>
    <row r="370" spans="1:19" ht="15.6">
      <c r="A370" s="193"/>
      <c r="B370" s="193"/>
      <c r="C370" s="193"/>
      <c r="D370" s="193"/>
      <c r="E370" s="193"/>
      <c r="F370" s="193"/>
      <c r="G370" s="193"/>
      <c r="H370" s="81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</row>
    <row r="371" spans="1:19" ht="15.6">
      <c r="A371" s="193"/>
      <c r="B371" s="193"/>
      <c r="C371" s="193"/>
      <c r="D371" s="193"/>
      <c r="E371" s="193"/>
      <c r="F371" s="193"/>
      <c r="G371" s="193"/>
      <c r="H371" s="81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</row>
    <row r="372" spans="1:19" ht="15.6">
      <c r="A372" s="193"/>
      <c r="B372" s="193"/>
      <c r="C372" s="193"/>
      <c r="D372" s="193"/>
      <c r="E372" s="193"/>
      <c r="F372" s="193"/>
      <c r="G372" s="193"/>
      <c r="H372" s="81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</row>
    <row r="373" spans="1:19" ht="15.6">
      <c r="A373" s="193"/>
      <c r="B373" s="193"/>
      <c r="C373" s="193"/>
      <c r="D373" s="193"/>
      <c r="E373" s="193"/>
      <c r="F373" s="193"/>
      <c r="G373" s="193"/>
      <c r="H373" s="81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</row>
    <row r="374" spans="1:19" ht="15.6">
      <c r="A374" s="193"/>
      <c r="B374" s="193"/>
      <c r="C374" s="193"/>
      <c r="D374" s="193"/>
      <c r="E374" s="193"/>
      <c r="F374" s="193"/>
      <c r="G374" s="193"/>
      <c r="H374" s="81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</row>
    <row r="375" spans="1:19" ht="15.6">
      <c r="A375" s="193"/>
      <c r="B375" s="193"/>
      <c r="C375" s="193"/>
      <c r="D375" s="193"/>
      <c r="E375" s="193"/>
      <c r="F375" s="193"/>
      <c r="G375" s="193"/>
      <c r="H375" s="81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</row>
    <row r="376" spans="1:19" ht="15.6">
      <c r="A376" s="193"/>
      <c r="B376" s="193"/>
      <c r="C376" s="193"/>
      <c r="D376" s="193"/>
      <c r="E376" s="193"/>
      <c r="F376" s="193"/>
      <c r="G376" s="193"/>
      <c r="H376" s="81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</row>
    <row r="377" spans="1:19" ht="15.6">
      <c r="A377" s="193"/>
      <c r="B377" s="193"/>
      <c r="C377" s="193"/>
      <c r="D377" s="193"/>
      <c r="E377" s="193"/>
      <c r="F377" s="193"/>
      <c r="G377" s="193"/>
      <c r="H377" s="81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</row>
    <row r="378" spans="1:19" ht="15.6">
      <c r="A378" s="193"/>
      <c r="B378" s="193"/>
      <c r="C378" s="193"/>
      <c r="D378" s="193"/>
      <c r="E378" s="193"/>
      <c r="F378" s="193"/>
      <c r="G378" s="193"/>
      <c r="H378" s="81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</row>
    <row r="379" spans="1:19" ht="15.6">
      <c r="A379" s="193"/>
      <c r="B379" s="193"/>
      <c r="C379" s="193"/>
      <c r="D379" s="193"/>
      <c r="E379" s="193"/>
      <c r="F379" s="193"/>
      <c r="G379" s="193"/>
      <c r="H379" s="81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</row>
    <row r="380" spans="1:19" ht="15.6">
      <c r="A380" s="193"/>
      <c r="B380" s="193"/>
      <c r="C380" s="193"/>
      <c r="D380" s="193"/>
      <c r="E380" s="193"/>
      <c r="F380" s="193"/>
      <c r="G380" s="193"/>
      <c r="H380" s="81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</row>
    <row r="381" spans="1:19" ht="15.6">
      <c r="A381" s="193"/>
      <c r="B381" s="193"/>
      <c r="C381" s="193"/>
      <c r="D381" s="193"/>
      <c r="E381" s="193"/>
      <c r="F381" s="193"/>
      <c r="G381" s="193"/>
      <c r="H381" s="81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</row>
    <row r="382" spans="1:19" ht="15.6">
      <c r="A382" s="193"/>
      <c r="B382" s="193"/>
      <c r="C382" s="193"/>
      <c r="D382" s="193"/>
      <c r="E382" s="193"/>
      <c r="F382" s="193"/>
      <c r="G382" s="193"/>
      <c r="H382" s="81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</row>
    <row r="383" spans="1:19" ht="15.6">
      <c r="A383" s="193"/>
      <c r="B383" s="193"/>
      <c r="C383" s="193"/>
      <c r="D383" s="193"/>
      <c r="E383" s="193"/>
      <c r="F383" s="193"/>
      <c r="G383" s="193"/>
      <c r="H383" s="81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</row>
    <row r="384" spans="1:19" ht="15.6">
      <c r="A384" s="193"/>
      <c r="B384" s="193"/>
      <c r="C384" s="193"/>
      <c r="D384" s="193"/>
      <c r="E384" s="193"/>
      <c r="F384" s="193"/>
      <c r="G384" s="193"/>
      <c r="H384" s="81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</row>
    <row r="385" spans="1:19" ht="15.6">
      <c r="A385" s="193"/>
      <c r="B385" s="193"/>
      <c r="C385" s="193"/>
      <c r="D385" s="193"/>
      <c r="E385" s="193"/>
      <c r="F385" s="193"/>
      <c r="G385" s="193"/>
      <c r="H385" s="81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</row>
    <row r="386" spans="1:19" ht="15.6">
      <c r="A386" s="193"/>
      <c r="B386" s="193"/>
      <c r="C386" s="193"/>
      <c r="D386" s="193"/>
      <c r="E386" s="193"/>
      <c r="F386" s="193"/>
      <c r="G386" s="193"/>
      <c r="H386" s="81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</row>
    <row r="387" spans="1:19" ht="15.6">
      <c r="A387" s="193"/>
      <c r="B387" s="193"/>
      <c r="C387" s="193"/>
      <c r="D387" s="193"/>
      <c r="E387" s="193"/>
      <c r="F387" s="193"/>
      <c r="G387" s="193"/>
      <c r="H387" s="81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</row>
    <row r="388" spans="1:19" ht="15.6">
      <c r="A388" s="193"/>
      <c r="B388" s="193"/>
      <c r="C388" s="193"/>
      <c r="D388" s="193"/>
      <c r="E388" s="193"/>
      <c r="F388" s="193"/>
      <c r="G388" s="193"/>
      <c r="H388" s="81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</row>
    <row r="389" spans="1:19" ht="15.6">
      <c r="A389" s="193"/>
      <c r="B389" s="193"/>
      <c r="C389" s="193"/>
      <c r="D389" s="193"/>
      <c r="E389" s="193"/>
      <c r="F389" s="193"/>
      <c r="G389" s="193"/>
      <c r="H389" s="81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</row>
    <row r="390" spans="1:19" ht="15.6">
      <c r="A390" s="193"/>
      <c r="B390" s="193"/>
      <c r="C390" s="193"/>
      <c r="D390" s="193"/>
      <c r="E390" s="193"/>
      <c r="F390" s="193"/>
      <c r="G390" s="193"/>
      <c r="H390" s="81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</row>
    <row r="391" spans="1:19" ht="15.6">
      <c r="A391" s="193"/>
      <c r="B391" s="193"/>
      <c r="C391" s="193"/>
      <c r="D391" s="193"/>
      <c r="E391" s="193"/>
      <c r="F391" s="193"/>
      <c r="G391" s="193"/>
      <c r="H391" s="81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</row>
    <row r="392" spans="1:19" ht="15.6">
      <c r="A392" s="193"/>
      <c r="B392" s="193"/>
      <c r="C392" s="193"/>
      <c r="D392" s="193"/>
      <c r="E392" s="193"/>
      <c r="F392" s="193"/>
      <c r="G392" s="193"/>
      <c r="H392" s="81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</row>
    <row r="393" spans="1:19" ht="15.6">
      <c r="A393" s="193"/>
      <c r="B393" s="193"/>
      <c r="C393" s="193"/>
      <c r="D393" s="193"/>
      <c r="E393" s="193"/>
      <c r="F393" s="193"/>
      <c r="G393" s="193"/>
      <c r="H393" s="81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</row>
    <row r="394" spans="1:19" ht="15.6">
      <c r="A394" s="193"/>
      <c r="B394" s="193"/>
      <c r="C394" s="193"/>
      <c r="D394" s="193"/>
      <c r="E394" s="193"/>
      <c r="F394" s="193"/>
      <c r="G394" s="193"/>
      <c r="H394" s="81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</row>
    <row r="395" spans="1:19" ht="15.6">
      <c r="A395" s="193"/>
      <c r="B395" s="193"/>
      <c r="C395" s="193"/>
      <c r="D395" s="193"/>
      <c r="E395" s="193"/>
      <c r="F395" s="193"/>
      <c r="G395" s="193"/>
      <c r="H395" s="81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</row>
    <row r="396" spans="1:19" ht="15.6">
      <c r="A396" s="193"/>
      <c r="B396" s="193"/>
      <c r="C396" s="193"/>
      <c r="D396" s="193"/>
      <c r="E396" s="193"/>
      <c r="F396" s="193"/>
      <c r="G396" s="193"/>
      <c r="H396" s="81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</row>
    <row r="397" spans="1:19" ht="15.6">
      <c r="A397" s="193"/>
      <c r="B397" s="193"/>
      <c r="C397" s="193"/>
      <c r="D397" s="193"/>
      <c r="E397" s="193"/>
      <c r="F397" s="193"/>
      <c r="G397" s="193"/>
      <c r="H397" s="81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</row>
    <row r="398" spans="1:19" ht="15.6">
      <c r="A398" s="193"/>
      <c r="B398" s="193"/>
      <c r="C398" s="193"/>
      <c r="D398" s="193"/>
      <c r="E398" s="193"/>
      <c r="F398" s="193"/>
      <c r="G398" s="193"/>
      <c r="H398" s="81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</row>
    <row r="399" spans="1:19" ht="15.6">
      <c r="A399" s="193"/>
      <c r="B399" s="193"/>
      <c r="C399" s="193"/>
      <c r="D399" s="193"/>
      <c r="E399" s="193"/>
      <c r="F399" s="193"/>
      <c r="G399" s="193"/>
      <c r="H399" s="81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</row>
    <row r="400" spans="1:19" ht="15.6">
      <c r="A400" s="193"/>
      <c r="B400" s="193"/>
      <c r="C400" s="193"/>
      <c r="D400" s="193"/>
      <c r="E400" s="193"/>
      <c r="F400" s="193"/>
      <c r="G400" s="193"/>
      <c r="H400" s="81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</row>
    <row r="401" spans="1:19" ht="15.6">
      <c r="A401" s="193"/>
      <c r="B401" s="193"/>
      <c r="C401" s="193"/>
      <c r="D401" s="193"/>
      <c r="E401" s="193"/>
      <c r="F401" s="193"/>
      <c r="G401" s="193"/>
      <c r="H401" s="81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</row>
    <row r="402" spans="1:19" ht="15.6">
      <c r="A402" s="193"/>
      <c r="B402" s="193"/>
      <c r="C402" s="193"/>
      <c r="D402" s="193"/>
      <c r="E402" s="193"/>
      <c r="F402" s="193"/>
      <c r="G402" s="193"/>
      <c r="H402" s="81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</row>
    <row r="403" spans="1:19" ht="15.6">
      <c r="A403" s="193"/>
      <c r="B403" s="193"/>
      <c r="C403" s="193"/>
      <c r="D403" s="193"/>
      <c r="E403" s="193"/>
      <c r="F403" s="193"/>
      <c r="G403" s="193"/>
      <c r="H403" s="81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</row>
    <row r="404" spans="1:19" ht="15.6">
      <c r="A404" s="193"/>
      <c r="B404" s="193"/>
      <c r="C404" s="193"/>
      <c r="D404" s="193"/>
      <c r="E404" s="193"/>
      <c r="F404" s="193"/>
      <c r="G404" s="193"/>
      <c r="H404" s="81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</row>
    <row r="405" spans="1:19" ht="15.6">
      <c r="A405" s="193"/>
      <c r="B405" s="193"/>
      <c r="C405" s="193"/>
      <c r="D405" s="193"/>
      <c r="E405" s="193"/>
      <c r="F405" s="193"/>
      <c r="G405" s="193"/>
      <c r="H405" s="81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</row>
    <row r="406" spans="1:19" ht="15.6">
      <c r="A406" s="193"/>
      <c r="B406" s="193"/>
      <c r="C406" s="193"/>
      <c r="D406" s="193"/>
      <c r="E406" s="193"/>
      <c r="F406" s="193"/>
      <c r="G406" s="193"/>
      <c r="H406" s="81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</row>
    <row r="407" spans="1:19" ht="15.6">
      <c r="A407" s="193"/>
      <c r="B407" s="193"/>
      <c r="C407" s="193"/>
      <c r="D407" s="193"/>
      <c r="E407" s="193"/>
      <c r="F407" s="193"/>
      <c r="G407" s="193"/>
      <c r="H407" s="81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</row>
    <row r="408" spans="1:19" ht="15.6">
      <c r="A408" s="193"/>
      <c r="B408" s="193"/>
      <c r="C408" s="193"/>
      <c r="D408" s="193"/>
      <c r="E408" s="193"/>
      <c r="F408" s="193"/>
      <c r="G408" s="193"/>
      <c r="H408" s="81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</row>
    <row r="409" spans="1:19" ht="15.6">
      <c r="A409" s="193"/>
      <c r="B409" s="193"/>
      <c r="C409" s="193"/>
      <c r="D409" s="193"/>
      <c r="E409" s="193"/>
      <c r="F409" s="193"/>
      <c r="G409" s="193"/>
      <c r="H409" s="81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</row>
    <row r="410" spans="1:19" ht="15.6">
      <c r="A410" s="193"/>
      <c r="B410" s="193"/>
      <c r="C410" s="193"/>
      <c r="D410" s="193"/>
      <c r="E410" s="193"/>
      <c r="F410" s="193"/>
      <c r="G410" s="193"/>
      <c r="H410" s="81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</row>
    <row r="411" spans="1:19" ht="15.6">
      <c r="A411" s="193"/>
      <c r="B411" s="193"/>
      <c r="C411" s="193"/>
      <c r="D411" s="193"/>
      <c r="E411" s="193"/>
      <c r="F411" s="193"/>
      <c r="G411" s="193"/>
      <c r="H411" s="81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</row>
    <row r="412" spans="1:19" ht="15.6">
      <c r="A412" s="193"/>
      <c r="B412" s="193"/>
      <c r="C412" s="193"/>
      <c r="D412" s="193"/>
      <c r="E412" s="193"/>
      <c r="F412" s="193"/>
      <c r="G412" s="193"/>
      <c r="H412" s="81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</row>
    <row r="413" spans="1:19" ht="15.6">
      <c r="A413" s="193"/>
      <c r="B413" s="193"/>
      <c r="C413" s="193"/>
      <c r="D413" s="193"/>
      <c r="E413" s="193"/>
      <c r="F413" s="193"/>
      <c r="G413" s="193"/>
      <c r="H413" s="81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</row>
    <row r="414" spans="1:19" ht="15.6">
      <c r="A414" s="193"/>
      <c r="B414" s="193"/>
      <c r="C414" s="193"/>
      <c r="D414" s="193"/>
      <c r="E414" s="193"/>
      <c r="F414" s="193"/>
      <c r="G414" s="193"/>
      <c r="H414" s="81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</row>
    <row r="415" spans="1:19" ht="15.6">
      <c r="A415" s="193"/>
      <c r="B415" s="193"/>
      <c r="C415" s="193"/>
      <c r="D415" s="193"/>
      <c r="E415" s="193"/>
      <c r="F415" s="193"/>
      <c r="G415" s="193"/>
      <c r="H415" s="81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</row>
    <row r="416" spans="1:19" ht="15.6">
      <c r="A416" s="193"/>
      <c r="B416" s="193"/>
      <c r="C416" s="193"/>
      <c r="D416" s="193"/>
      <c r="E416" s="193"/>
      <c r="F416" s="193"/>
      <c r="G416" s="193"/>
      <c r="H416" s="81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</row>
    <row r="417" spans="1:19" ht="15.6">
      <c r="A417" s="193"/>
      <c r="B417" s="193"/>
      <c r="C417" s="193"/>
      <c r="D417" s="193"/>
      <c r="E417" s="193"/>
      <c r="F417" s="193"/>
      <c r="G417" s="193"/>
      <c r="H417" s="81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</row>
    <row r="418" spans="1:19" ht="15.6">
      <c r="A418" s="193"/>
      <c r="B418" s="193"/>
      <c r="C418" s="193"/>
      <c r="D418" s="193"/>
      <c r="E418" s="193"/>
      <c r="F418" s="193"/>
      <c r="G418" s="193"/>
      <c r="H418" s="81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</row>
    <row r="419" spans="1:19" ht="15.6">
      <c r="A419" s="193"/>
      <c r="B419" s="193"/>
      <c r="C419" s="193"/>
      <c r="D419" s="193"/>
      <c r="E419" s="193"/>
      <c r="F419" s="193"/>
      <c r="G419" s="193"/>
      <c r="H419" s="81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</row>
    <row r="420" spans="1:19" ht="15.6">
      <c r="A420" s="193"/>
      <c r="B420" s="193"/>
      <c r="C420" s="193"/>
      <c r="D420" s="193"/>
      <c r="E420" s="193"/>
      <c r="F420" s="193"/>
      <c r="G420" s="193"/>
      <c r="H420" s="81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</row>
    <row r="421" spans="1:19" ht="15.6">
      <c r="A421" s="193"/>
      <c r="B421" s="193"/>
      <c r="C421" s="193"/>
      <c r="D421" s="193"/>
      <c r="E421" s="193"/>
      <c r="F421" s="193"/>
      <c r="G421" s="193"/>
      <c r="H421" s="81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</row>
    <row r="422" spans="1:19" ht="15.6">
      <c r="A422" s="193"/>
      <c r="B422" s="193"/>
      <c r="C422" s="193"/>
      <c r="D422" s="193"/>
      <c r="E422" s="193"/>
      <c r="F422" s="193"/>
      <c r="G422" s="193"/>
      <c r="H422" s="81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</row>
    <row r="423" spans="1:19" ht="15.6">
      <c r="A423" s="193"/>
      <c r="B423" s="193"/>
      <c r="C423" s="193"/>
      <c r="D423" s="193"/>
      <c r="E423" s="193"/>
      <c r="F423" s="193"/>
      <c r="G423" s="193"/>
      <c r="H423" s="81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</row>
    <row r="424" spans="1:19" ht="15.6">
      <c r="A424" s="193"/>
      <c r="B424" s="193"/>
      <c r="C424" s="193"/>
      <c r="D424" s="193"/>
      <c r="E424" s="193"/>
      <c r="F424" s="193"/>
      <c r="G424" s="193"/>
      <c r="H424" s="81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</row>
    <row r="425" spans="1:19" ht="15.6">
      <c r="A425" s="193"/>
      <c r="B425" s="193"/>
      <c r="C425" s="193"/>
      <c r="D425" s="193"/>
      <c r="E425" s="193"/>
      <c r="F425" s="193"/>
      <c r="G425" s="193"/>
      <c r="H425" s="81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</row>
    <row r="426" spans="1:19" ht="15.6">
      <c r="A426" s="193"/>
      <c r="B426" s="193"/>
      <c r="C426" s="193"/>
      <c r="D426" s="193"/>
      <c r="E426" s="193"/>
      <c r="F426" s="193"/>
      <c r="G426" s="193"/>
      <c r="H426" s="81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</row>
    <row r="427" spans="1:19" ht="15.6">
      <c r="A427" s="193"/>
      <c r="B427" s="193"/>
      <c r="C427" s="193"/>
      <c r="D427" s="193"/>
      <c r="E427" s="193"/>
      <c r="F427" s="193"/>
      <c r="G427" s="193"/>
      <c r="H427" s="81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</row>
    <row r="428" spans="1:19" ht="15.6">
      <c r="A428" s="193"/>
      <c r="B428" s="193"/>
      <c r="C428" s="193"/>
      <c r="D428" s="193"/>
      <c r="E428" s="193"/>
      <c r="F428" s="193"/>
      <c r="G428" s="193"/>
      <c r="H428" s="81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</row>
    <row r="429" spans="1:19" ht="15.6">
      <c r="A429" s="193"/>
      <c r="B429" s="193"/>
      <c r="C429" s="193"/>
      <c r="D429" s="193"/>
      <c r="E429" s="193"/>
      <c r="F429" s="193"/>
      <c r="G429" s="193"/>
      <c r="H429" s="81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</row>
    <row r="430" spans="1:19" ht="15.6">
      <c r="A430" s="193"/>
      <c r="B430" s="193"/>
      <c r="C430" s="193"/>
      <c r="D430" s="193"/>
      <c r="E430" s="193"/>
      <c r="F430" s="193"/>
      <c r="G430" s="193"/>
      <c r="H430" s="81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</row>
    <row r="431" spans="1:19" ht="15.6">
      <c r="A431" s="193"/>
      <c r="B431" s="193"/>
      <c r="C431" s="193"/>
      <c r="D431" s="193"/>
      <c r="E431" s="193"/>
      <c r="F431" s="193"/>
      <c r="G431" s="193"/>
      <c r="H431" s="81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</row>
    <row r="432" spans="1:19" ht="15.6">
      <c r="A432" s="193"/>
      <c r="B432" s="193"/>
      <c r="C432" s="193"/>
      <c r="D432" s="193"/>
      <c r="E432" s="193"/>
      <c r="F432" s="193"/>
      <c r="G432" s="193"/>
      <c r="H432" s="81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</row>
    <row r="433" spans="1:19" ht="15.6">
      <c r="A433" s="193"/>
      <c r="B433" s="193"/>
      <c r="C433" s="193"/>
      <c r="D433" s="193"/>
      <c r="E433" s="193"/>
      <c r="F433" s="193"/>
      <c r="G433" s="193"/>
      <c r="H433" s="81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</row>
    <row r="434" spans="1:19" ht="15.6">
      <c r="A434" s="193"/>
      <c r="B434" s="193"/>
      <c r="C434" s="193"/>
      <c r="D434" s="193"/>
      <c r="E434" s="193"/>
      <c r="F434" s="193"/>
      <c r="G434" s="193"/>
      <c r="H434" s="81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</row>
    <row r="435" spans="1:19" ht="15.6">
      <c r="A435" s="193"/>
      <c r="B435" s="193"/>
      <c r="C435" s="193"/>
      <c r="D435" s="193"/>
      <c r="E435" s="193"/>
      <c r="F435" s="193"/>
      <c r="G435" s="193"/>
      <c r="H435" s="81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</row>
    <row r="436" spans="1:19" ht="15.6">
      <c r="A436" s="193"/>
      <c r="B436" s="193"/>
      <c r="C436" s="193"/>
      <c r="D436" s="193"/>
      <c r="E436" s="193"/>
      <c r="F436" s="193"/>
      <c r="G436" s="193"/>
      <c r="H436" s="81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</row>
    <row r="437" spans="1:19" ht="15.6">
      <c r="A437" s="193"/>
      <c r="B437" s="193"/>
      <c r="C437" s="193"/>
      <c r="D437" s="193"/>
      <c r="E437" s="193"/>
      <c r="F437" s="193"/>
      <c r="G437" s="193"/>
      <c r="H437" s="81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</row>
    <row r="438" spans="1:19" ht="15.6">
      <c r="A438" s="193"/>
      <c r="B438" s="193"/>
      <c r="C438" s="193"/>
      <c r="D438" s="193"/>
      <c r="E438" s="193"/>
      <c r="F438" s="193"/>
      <c r="G438" s="193"/>
      <c r="H438" s="81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</row>
    <row r="439" spans="1:19" ht="15.6">
      <c r="A439" s="193"/>
      <c r="B439" s="193"/>
      <c r="C439" s="193"/>
      <c r="D439" s="193"/>
      <c r="E439" s="193"/>
      <c r="F439" s="193"/>
      <c r="G439" s="193"/>
      <c r="H439" s="81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</row>
    <row r="440" spans="1:19" ht="15.6">
      <c r="A440" s="193"/>
      <c r="B440" s="193"/>
      <c r="C440" s="193"/>
      <c r="D440" s="193"/>
      <c r="E440" s="193"/>
      <c r="F440" s="193"/>
      <c r="G440" s="193"/>
      <c r="H440" s="81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</row>
    <row r="441" spans="1:19" ht="15.6">
      <c r="A441" s="193"/>
      <c r="B441" s="193"/>
      <c r="C441" s="193"/>
      <c r="D441" s="193"/>
      <c r="E441" s="193"/>
      <c r="F441" s="193"/>
      <c r="G441" s="193"/>
      <c r="H441" s="81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</row>
    <row r="442" spans="1:19" ht="15.6">
      <c r="A442" s="193"/>
      <c r="B442" s="193"/>
      <c r="C442" s="193"/>
      <c r="D442" s="193"/>
      <c r="E442" s="193"/>
      <c r="F442" s="193"/>
      <c r="G442" s="193"/>
      <c r="H442" s="81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</row>
    <row r="443" spans="1:19" ht="15.6">
      <c r="A443" s="193"/>
      <c r="B443" s="193"/>
      <c r="C443" s="193"/>
      <c r="D443" s="193"/>
      <c r="E443" s="193"/>
      <c r="F443" s="193"/>
      <c r="G443" s="193"/>
      <c r="H443" s="81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</row>
    <row r="444" spans="1:19" ht="15.6">
      <c r="A444" s="193"/>
      <c r="B444" s="193"/>
      <c r="C444" s="193"/>
      <c r="D444" s="193"/>
      <c r="E444" s="193"/>
      <c r="F444" s="193"/>
      <c r="G444" s="193"/>
      <c r="H444" s="81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</row>
    <row r="445" spans="1:19" ht="15.6">
      <c r="A445" s="193"/>
      <c r="B445" s="193"/>
      <c r="C445" s="193"/>
      <c r="D445" s="193"/>
      <c r="E445" s="193"/>
      <c r="F445" s="193"/>
      <c r="G445" s="193"/>
      <c r="H445" s="81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</row>
    <row r="446" spans="1:19" ht="15.6">
      <c r="A446" s="193"/>
      <c r="B446" s="193"/>
      <c r="C446" s="193"/>
      <c r="D446" s="193"/>
      <c r="E446" s="193"/>
      <c r="F446" s="193"/>
      <c r="G446" s="193"/>
      <c r="H446" s="81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</row>
    <row r="447" spans="1:19" ht="15.6">
      <c r="A447" s="193"/>
      <c r="B447" s="193"/>
      <c r="C447" s="193"/>
      <c r="D447" s="193"/>
      <c r="E447" s="193"/>
      <c r="F447" s="193"/>
      <c r="G447" s="193"/>
      <c r="H447" s="81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</row>
    <row r="448" spans="1:19" ht="15.6">
      <c r="A448" s="193"/>
      <c r="B448" s="193"/>
      <c r="C448" s="193"/>
      <c r="D448" s="193"/>
      <c r="E448" s="193"/>
      <c r="F448" s="193"/>
      <c r="G448" s="193"/>
      <c r="H448" s="81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</row>
    <row r="449" spans="1:19" ht="15.6">
      <c r="A449" s="193"/>
      <c r="B449" s="193"/>
      <c r="C449" s="193"/>
      <c r="D449" s="193"/>
      <c r="E449" s="193"/>
      <c r="F449" s="193"/>
      <c r="G449" s="193"/>
      <c r="H449" s="81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</row>
    <row r="450" spans="1:19" ht="15.6">
      <c r="A450" s="193"/>
      <c r="B450" s="193"/>
      <c r="C450" s="193"/>
      <c r="D450" s="193"/>
      <c r="E450" s="193"/>
      <c r="F450" s="193"/>
      <c r="G450" s="193"/>
      <c r="H450" s="81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</row>
    <row r="451" spans="1:19" ht="15.6">
      <c r="A451" s="193"/>
      <c r="B451" s="193"/>
      <c r="C451" s="193"/>
      <c r="D451" s="193"/>
      <c r="E451" s="193"/>
      <c r="F451" s="193"/>
      <c r="G451" s="193"/>
      <c r="H451" s="81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</row>
    <row r="452" spans="1:19" ht="15.6">
      <c r="A452" s="193"/>
      <c r="B452" s="193"/>
      <c r="C452" s="193"/>
      <c r="D452" s="193"/>
      <c r="E452" s="193"/>
      <c r="F452" s="193"/>
      <c r="G452" s="193"/>
      <c r="H452" s="81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</row>
    <row r="453" spans="1:19" ht="15.6">
      <c r="A453" s="193"/>
      <c r="B453" s="193"/>
      <c r="C453" s="193"/>
      <c r="D453" s="193"/>
      <c r="E453" s="193"/>
      <c r="F453" s="193"/>
      <c r="G453" s="193"/>
      <c r="H453" s="81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</row>
    <row r="454" spans="1:19" ht="15.6">
      <c r="A454" s="193"/>
      <c r="B454" s="193"/>
      <c r="C454" s="193"/>
      <c r="D454" s="193"/>
      <c r="E454" s="193"/>
      <c r="F454" s="193"/>
      <c r="G454" s="193"/>
      <c r="H454" s="81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</row>
    <row r="455" spans="1:19" ht="15.6">
      <c r="A455" s="193"/>
      <c r="B455" s="193"/>
      <c r="C455" s="193"/>
      <c r="D455" s="193"/>
      <c r="E455" s="193"/>
      <c r="F455" s="193"/>
      <c r="G455" s="193"/>
      <c r="H455" s="81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</row>
    <row r="456" spans="1:19" ht="15.6">
      <c r="A456" s="193"/>
      <c r="B456" s="193"/>
      <c r="C456" s="193"/>
      <c r="D456" s="193"/>
      <c r="E456" s="193"/>
      <c r="F456" s="193"/>
      <c r="G456" s="193"/>
      <c r="H456" s="81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</row>
    <row r="457" spans="1:19" ht="15.6">
      <c r="A457" s="193"/>
      <c r="B457" s="193"/>
      <c r="C457" s="193"/>
      <c r="D457" s="193"/>
      <c r="E457" s="193"/>
      <c r="F457" s="193"/>
      <c r="G457" s="193"/>
      <c r="H457" s="81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</row>
    <row r="458" spans="1:19" ht="15.6">
      <c r="A458" s="193"/>
      <c r="B458" s="193"/>
      <c r="C458" s="193"/>
      <c r="D458" s="193"/>
      <c r="E458" s="193"/>
      <c r="F458" s="193"/>
      <c r="G458" s="193"/>
      <c r="H458" s="81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</row>
    <row r="459" spans="1:19" ht="15.6">
      <c r="A459" s="193"/>
      <c r="B459" s="193"/>
      <c r="C459" s="193"/>
      <c r="D459" s="193"/>
      <c r="E459" s="193"/>
      <c r="F459" s="193"/>
      <c r="G459" s="193"/>
      <c r="H459" s="81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</row>
    <row r="460" spans="1:19" ht="15.6">
      <c r="A460" s="193"/>
      <c r="B460" s="193"/>
      <c r="C460" s="193"/>
      <c r="D460" s="193"/>
      <c r="E460" s="193"/>
      <c r="F460" s="193"/>
      <c r="G460" s="193"/>
      <c r="H460" s="81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</row>
    <row r="461" spans="1:19" ht="15.6">
      <c r="A461" s="193"/>
      <c r="B461" s="193"/>
      <c r="C461" s="193"/>
      <c r="D461" s="193"/>
      <c r="E461" s="193"/>
      <c r="F461" s="193"/>
      <c r="G461" s="193"/>
      <c r="H461" s="81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</row>
    <row r="462" spans="1:19" ht="15.6">
      <c r="A462" s="193"/>
      <c r="B462" s="193"/>
      <c r="C462" s="193"/>
      <c r="D462" s="193"/>
      <c r="E462" s="193"/>
      <c r="F462" s="193"/>
      <c r="G462" s="193"/>
      <c r="H462" s="81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</row>
    <row r="463" spans="1:19" ht="15.6">
      <c r="A463" s="193"/>
      <c r="B463" s="193"/>
      <c r="C463" s="193"/>
      <c r="D463" s="193"/>
      <c r="E463" s="193"/>
      <c r="F463" s="193"/>
      <c r="G463" s="193"/>
      <c r="H463" s="81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</row>
    <row r="464" spans="1:19" ht="15.6">
      <c r="A464" s="193"/>
      <c r="B464" s="193"/>
      <c r="C464" s="193"/>
      <c r="D464" s="193"/>
      <c r="E464" s="193"/>
      <c r="F464" s="193"/>
      <c r="G464" s="193"/>
      <c r="H464" s="81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</row>
    <row r="465" spans="1:19" ht="15.6">
      <c r="A465" s="193"/>
      <c r="B465" s="193"/>
      <c r="C465" s="193"/>
      <c r="D465" s="193"/>
      <c r="E465" s="193"/>
      <c r="F465" s="193"/>
      <c r="G465" s="193"/>
      <c r="H465" s="81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</row>
    <row r="466" spans="1:19" ht="15.6">
      <c r="A466" s="193"/>
      <c r="B466" s="193"/>
      <c r="C466" s="193"/>
      <c r="D466" s="193"/>
      <c r="E466" s="193"/>
      <c r="F466" s="193"/>
      <c r="G466" s="193"/>
      <c r="H466" s="81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</row>
    <row r="467" spans="1:19" ht="15.6">
      <c r="A467" s="193"/>
      <c r="B467" s="193"/>
      <c r="C467" s="193"/>
      <c r="D467" s="193"/>
      <c r="E467" s="193"/>
      <c r="F467" s="193"/>
      <c r="G467" s="193"/>
      <c r="H467" s="81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</row>
    <row r="468" spans="1:19" ht="15.6">
      <c r="A468" s="193"/>
      <c r="B468" s="193"/>
      <c r="C468" s="193"/>
      <c r="D468" s="193"/>
      <c r="E468" s="193"/>
      <c r="F468" s="193"/>
      <c r="G468" s="193"/>
      <c r="H468" s="81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</row>
    <row r="469" spans="1:19" ht="15.6">
      <c r="A469" s="193"/>
      <c r="B469" s="193"/>
      <c r="C469" s="193"/>
      <c r="D469" s="193"/>
      <c r="E469" s="193"/>
      <c r="F469" s="193"/>
      <c r="G469" s="193"/>
      <c r="H469" s="81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</row>
    <row r="470" spans="1:19" ht="15.6">
      <c r="A470" s="193"/>
      <c r="B470" s="193"/>
      <c r="C470" s="193"/>
      <c r="D470" s="193"/>
      <c r="E470" s="193"/>
      <c r="F470" s="193"/>
      <c r="G470" s="193"/>
      <c r="H470" s="81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</row>
    <row r="471" spans="1:19" ht="15.6">
      <c r="A471" s="193"/>
      <c r="B471" s="193"/>
      <c r="C471" s="193"/>
      <c r="D471" s="193"/>
      <c r="E471" s="193"/>
      <c r="F471" s="193"/>
      <c r="G471" s="193"/>
      <c r="H471" s="81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</row>
    <row r="472" spans="1:19" ht="15.6">
      <c r="A472" s="193"/>
      <c r="B472" s="193"/>
      <c r="C472" s="193"/>
      <c r="D472" s="193"/>
      <c r="E472" s="193"/>
      <c r="F472" s="193"/>
      <c r="G472" s="193"/>
      <c r="H472" s="81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</row>
    <row r="473" spans="1:19" ht="15.6">
      <c r="A473" s="193"/>
      <c r="B473" s="193"/>
      <c r="C473" s="193"/>
      <c r="D473" s="193"/>
      <c r="E473" s="193"/>
      <c r="F473" s="193"/>
      <c r="G473" s="193"/>
      <c r="H473" s="81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</row>
    <row r="474" spans="1:19" ht="15.6">
      <c r="A474" s="193"/>
      <c r="B474" s="193"/>
      <c r="C474" s="193"/>
      <c r="D474" s="193"/>
      <c r="E474" s="193"/>
      <c r="F474" s="193"/>
      <c r="G474" s="193"/>
      <c r="H474" s="81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</row>
    <row r="475" spans="1:19" ht="15.6">
      <c r="A475" s="193"/>
      <c r="B475" s="193"/>
      <c r="C475" s="193"/>
      <c r="D475" s="193"/>
      <c r="E475" s="193"/>
      <c r="F475" s="193"/>
      <c r="G475" s="193"/>
      <c r="H475" s="81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</row>
    <row r="476" spans="1:19" ht="15.6">
      <c r="A476" s="193"/>
      <c r="B476" s="193"/>
      <c r="C476" s="193"/>
      <c r="D476" s="193"/>
      <c r="E476" s="193"/>
      <c r="F476" s="193"/>
      <c r="G476" s="193"/>
      <c r="H476" s="81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</row>
    <row r="477" spans="1:19" ht="15.6">
      <c r="A477" s="193"/>
      <c r="B477" s="193"/>
      <c r="C477" s="193"/>
      <c r="D477" s="193"/>
      <c r="E477" s="193"/>
      <c r="F477" s="193"/>
      <c r="G477" s="193"/>
      <c r="H477" s="81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</row>
    <row r="478" spans="1:19" ht="15.6">
      <c r="A478" s="193"/>
      <c r="B478" s="193"/>
      <c r="C478" s="193"/>
      <c r="D478" s="193"/>
      <c r="E478" s="193"/>
      <c r="F478" s="193"/>
      <c r="G478" s="193"/>
      <c r="H478" s="81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</row>
    <row r="479" spans="1:19" ht="15.6">
      <c r="A479" s="193"/>
      <c r="B479" s="193"/>
      <c r="C479" s="193"/>
      <c r="D479" s="193"/>
      <c r="E479" s="193"/>
      <c r="F479" s="193"/>
      <c r="G479" s="193"/>
      <c r="H479" s="81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</row>
    <row r="480" spans="1:19" ht="15.6">
      <c r="A480" s="193"/>
      <c r="B480" s="193"/>
      <c r="C480" s="193"/>
      <c r="D480" s="193"/>
      <c r="E480" s="193"/>
      <c r="F480" s="193"/>
      <c r="G480" s="193"/>
      <c r="H480" s="81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</row>
    <row r="481" spans="1:19" ht="15.6">
      <c r="A481" s="193"/>
      <c r="B481" s="193"/>
      <c r="C481" s="193"/>
      <c r="D481" s="193"/>
      <c r="E481" s="193"/>
      <c r="F481" s="193"/>
      <c r="G481" s="193"/>
      <c r="H481" s="81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</row>
    <row r="482" spans="1:19" ht="15.6">
      <c r="A482" s="193"/>
      <c r="B482" s="193"/>
      <c r="C482" s="193"/>
      <c r="D482" s="193"/>
      <c r="E482" s="193"/>
      <c r="F482" s="193"/>
      <c r="G482" s="193"/>
      <c r="H482" s="81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</row>
    <row r="483" spans="1:19" ht="15.6">
      <c r="A483" s="193"/>
      <c r="B483" s="193"/>
      <c r="C483" s="193"/>
      <c r="D483" s="193"/>
      <c r="E483" s="193"/>
      <c r="F483" s="193"/>
      <c r="G483" s="193"/>
      <c r="H483" s="81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</row>
    <row r="484" spans="1:19" ht="15.6">
      <c r="A484" s="193"/>
      <c r="B484" s="193"/>
      <c r="C484" s="193"/>
      <c r="D484" s="193"/>
      <c r="E484" s="193"/>
      <c r="F484" s="193"/>
      <c r="G484" s="193"/>
      <c r="H484" s="81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</row>
    <row r="485" spans="1:19" ht="15.6">
      <c r="A485" s="193"/>
      <c r="B485" s="193"/>
      <c r="C485" s="193"/>
      <c r="D485" s="193"/>
      <c r="E485" s="193"/>
      <c r="F485" s="193"/>
      <c r="G485" s="193"/>
      <c r="H485" s="81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</row>
    <row r="486" spans="1:19" ht="15.6">
      <c r="A486" s="193"/>
      <c r="B486" s="193"/>
      <c r="C486" s="193"/>
      <c r="D486" s="193"/>
      <c r="E486" s="193"/>
      <c r="F486" s="193"/>
      <c r="G486" s="193"/>
      <c r="H486" s="81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</row>
    <row r="487" spans="1:19" ht="15.6">
      <c r="A487" s="193"/>
      <c r="B487" s="193"/>
      <c r="C487" s="193"/>
      <c r="D487" s="193"/>
      <c r="E487" s="193"/>
      <c r="F487" s="193"/>
      <c r="G487" s="193"/>
      <c r="H487" s="81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</row>
    <row r="488" spans="1:19" ht="15.6">
      <c r="A488" s="193"/>
      <c r="B488" s="193"/>
      <c r="C488" s="193"/>
      <c r="D488" s="193"/>
      <c r="E488" s="193"/>
      <c r="F488" s="193"/>
      <c r="G488" s="193"/>
      <c r="H488" s="81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</row>
    <row r="489" spans="1:19" ht="15.6">
      <c r="A489" s="193"/>
      <c r="B489" s="193"/>
      <c r="C489" s="193"/>
      <c r="D489" s="193"/>
      <c r="E489" s="193"/>
      <c r="F489" s="193"/>
      <c r="G489" s="193"/>
      <c r="H489" s="81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</row>
    <row r="490" spans="1:19" ht="15.6">
      <c r="A490" s="193"/>
      <c r="B490" s="193"/>
      <c r="C490" s="193"/>
      <c r="D490" s="193"/>
      <c r="E490" s="193"/>
      <c r="F490" s="193"/>
      <c r="G490" s="193"/>
      <c r="H490" s="81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</row>
    <row r="491" spans="1:19" ht="15.6">
      <c r="A491" s="193"/>
      <c r="B491" s="193"/>
      <c r="C491" s="193"/>
      <c r="D491" s="193"/>
      <c r="E491" s="193"/>
      <c r="F491" s="193"/>
      <c r="G491" s="193"/>
      <c r="H491" s="81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</row>
    <row r="492" spans="1:19" ht="15.6">
      <c r="A492" s="193"/>
      <c r="B492" s="193"/>
      <c r="C492" s="193"/>
      <c r="D492" s="193"/>
      <c r="E492" s="193"/>
      <c r="F492" s="193"/>
      <c r="G492" s="193"/>
      <c r="H492" s="81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</row>
    <row r="493" spans="1:19" ht="15.6">
      <c r="A493" s="193"/>
      <c r="B493" s="193"/>
      <c r="C493" s="193"/>
      <c r="D493" s="193"/>
      <c r="E493" s="193"/>
      <c r="F493" s="193"/>
      <c r="G493" s="193"/>
      <c r="H493" s="81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</row>
    <row r="494" spans="1:19" ht="15.6">
      <c r="A494" s="193"/>
      <c r="B494" s="193"/>
      <c r="C494" s="193"/>
      <c r="D494" s="193"/>
      <c r="E494" s="193"/>
      <c r="F494" s="193"/>
      <c r="G494" s="193"/>
      <c r="H494" s="81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</row>
    <row r="495" spans="1:19" ht="15.6">
      <c r="A495" s="193"/>
      <c r="B495" s="193"/>
      <c r="C495" s="193"/>
      <c r="D495" s="193"/>
      <c r="E495" s="193"/>
      <c r="F495" s="193"/>
      <c r="G495" s="193"/>
      <c r="H495" s="81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</row>
    <row r="496" spans="1:19" ht="15.6">
      <c r="A496" s="193"/>
      <c r="B496" s="193"/>
      <c r="C496" s="193"/>
      <c r="D496" s="193"/>
      <c r="E496" s="193"/>
      <c r="F496" s="193"/>
      <c r="G496" s="193"/>
      <c r="H496" s="81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</row>
    <row r="497" spans="1:19" ht="15.6">
      <c r="A497" s="193"/>
      <c r="B497" s="193"/>
      <c r="C497" s="193"/>
      <c r="D497" s="193"/>
      <c r="E497" s="193"/>
      <c r="F497" s="193"/>
      <c r="G497" s="193"/>
      <c r="H497" s="81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</row>
    <row r="498" spans="1:19" ht="15.6">
      <c r="A498" s="193"/>
      <c r="B498" s="193"/>
      <c r="C498" s="193"/>
      <c r="D498" s="193"/>
      <c r="E498" s="193"/>
      <c r="F498" s="193"/>
      <c r="G498" s="193"/>
      <c r="H498" s="81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</row>
    <row r="499" spans="1:19" ht="15.6">
      <c r="A499" s="193"/>
      <c r="B499" s="193"/>
      <c r="C499" s="193"/>
      <c r="D499" s="193"/>
      <c r="E499" s="193"/>
      <c r="F499" s="193"/>
      <c r="G499" s="193"/>
      <c r="H499" s="81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</row>
    <row r="500" spans="1:19" ht="15.6">
      <c r="A500" s="193"/>
      <c r="B500" s="193"/>
      <c r="C500" s="193"/>
      <c r="D500" s="193"/>
      <c r="E500" s="193"/>
      <c r="F500" s="193"/>
      <c r="G500" s="193"/>
      <c r="H500" s="81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</row>
    <row r="501" spans="1:19" ht="15.6">
      <c r="A501" s="193"/>
      <c r="B501" s="193"/>
      <c r="C501" s="193"/>
      <c r="D501" s="193"/>
      <c r="E501" s="193"/>
      <c r="F501" s="193"/>
      <c r="G501" s="193"/>
      <c r="H501" s="81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</row>
    <row r="502" spans="1:19" ht="15.6">
      <c r="A502" s="193"/>
      <c r="B502" s="193"/>
      <c r="C502" s="193"/>
      <c r="D502" s="193"/>
      <c r="E502" s="193"/>
      <c r="F502" s="193"/>
      <c r="G502" s="193"/>
      <c r="H502" s="81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</row>
    <row r="503" spans="1:19" ht="15.6">
      <c r="A503" s="193"/>
      <c r="B503" s="193"/>
      <c r="C503" s="193"/>
      <c r="D503" s="193"/>
      <c r="E503" s="193"/>
      <c r="F503" s="193"/>
      <c r="G503" s="193"/>
      <c r="H503" s="81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</row>
    <row r="504" spans="1:19" ht="15.6">
      <c r="A504" s="193"/>
      <c r="B504" s="193"/>
      <c r="C504" s="193"/>
      <c r="D504" s="193"/>
      <c r="E504" s="193"/>
      <c r="F504" s="193"/>
      <c r="G504" s="193"/>
      <c r="H504" s="81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</row>
    <row r="505" spans="1:19" ht="15.6">
      <c r="A505" s="193"/>
      <c r="B505" s="193"/>
      <c r="C505" s="193"/>
      <c r="D505" s="193"/>
      <c r="E505" s="193"/>
      <c r="F505" s="193"/>
      <c r="G505" s="193"/>
      <c r="H505" s="81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</row>
    <row r="506" spans="1:19" ht="15.6">
      <c r="A506" s="193"/>
      <c r="B506" s="193"/>
      <c r="C506" s="193"/>
      <c r="D506" s="193"/>
      <c r="E506" s="193"/>
      <c r="F506" s="193"/>
      <c r="G506" s="193"/>
      <c r="H506" s="81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</row>
    <row r="507" spans="1:19" ht="15.6">
      <c r="A507" s="193"/>
      <c r="B507" s="193"/>
      <c r="C507" s="193"/>
      <c r="D507" s="193"/>
      <c r="E507" s="193"/>
      <c r="F507" s="193"/>
      <c r="G507" s="193"/>
      <c r="H507" s="81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</row>
    <row r="508" spans="1:19" ht="15.6">
      <c r="A508" s="193"/>
      <c r="B508" s="193"/>
      <c r="C508" s="193"/>
      <c r="D508" s="193"/>
      <c r="E508" s="193"/>
      <c r="F508" s="193"/>
      <c r="G508" s="193"/>
      <c r="H508" s="81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</row>
    <row r="509" spans="1:19" ht="15.6">
      <c r="A509" s="193"/>
      <c r="B509" s="193"/>
      <c r="C509" s="193"/>
      <c r="D509" s="193"/>
      <c r="E509" s="193"/>
      <c r="F509" s="193"/>
      <c r="G509" s="193"/>
      <c r="H509" s="81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</row>
    <row r="510" spans="1:19" ht="15.6">
      <c r="A510" s="193"/>
      <c r="B510" s="193"/>
      <c r="C510" s="193"/>
      <c r="D510" s="193"/>
      <c r="E510" s="193"/>
      <c r="F510" s="193"/>
      <c r="G510" s="193"/>
      <c r="H510" s="81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</row>
    <row r="511" spans="1:19" ht="15.6">
      <c r="A511" s="193"/>
      <c r="B511" s="193"/>
      <c r="C511" s="193"/>
      <c r="D511" s="193"/>
      <c r="E511" s="193"/>
      <c r="F511" s="193"/>
      <c r="G511" s="193"/>
      <c r="H511" s="81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</row>
    <row r="512" spans="1:19" ht="15.6">
      <c r="A512" s="193"/>
      <c r="B512" s="193"/>
      <c r="C512" s="193"/>
      <c r="D512" s="193"/>
      <c r="E512" s="193"/>
      <c r="F512" s="193"/>
      <c r="G512" s="193"/>
      <c r="H512" s="81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</row>
    <row r="513" spans="1:19" ht="15.6">
      <c r="A513" s="193"/>
      <c r="B513" s="193"/>
      <c r="C513" s="193"/>
      <c r="D513" s="193"/>
      <c r="E513" s="193"/>
      <c r="F513" s="193"/>
      <c r="G513" s="193"/>
      <c r="H513" s="81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</row>
    <row r="514" spans="1:19" ht="15.6">
      <c r="A514" s="193"/>
      <c r="B514" s="193"/>
      <c r="C514" s="193"/>
      <c r="D514" s="193"/>
      <c r="E514" s="193"/>
      <c r="F514" s="193"/>
      <c r="G514" s="193"/>
      <c r="H514" s="81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</row>
    <row r="515" spans="1:19" ht="15.6">
      <c r="A515" s="193"/>
      <c r="B515" s="193"/>
      <c r="C515" s="193"/>
      <c r="D515" s="193"/>
      <c r="E515" s="193"/>
      <c r="F515" s="193"/>
      <c r="G515" s="193"/>
      <c r="H515" s="81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</row>
    <row r="516" spans="1:19" ht="15.6">
      <c r="A516" s="193"/>
      <c r="B516" s="193"/>
      <c r="C516" s="193"/>
      <c r="D516" s="193"/>
      <c r="E516" s="193"/>
      <c r="F516" s="193"/>
      <c r="G516" s="193"/>
      <c r="H516" s="81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</row>
    <row r="517" spans="1:19" ht="15.6">
      <c r="A517" s="193"/>
      <c r="B517" s="193"/>
      <c r="C517" s="193"/>
      <c r="D517" s="193"/>
      <c r="E517" s="193"/>
      <c r="F517" s="193"/>
      <c r="G517" s="193"/>
      <c r="H517" s="81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</row>
    <row r="518" spans="1:19" ht="15.6">
      <c r="A518" s="193"/>
      <c r="B518" s="193"/>
      <c r="C518" s="193"/>
      <c r="D518" s="193"/>
      <c r="E518" s="193"/>
      <c r="F518" s="193"/>
      <c r="G518" s="193"/>
      <c r="H518" s="81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</row>
    <row r="519" spans="1:19" ht="15.6">
      <c r="A519" s="193"/>
      <c r="B519" s="193"/>
      <c r="C519" s="193"/>
      <c r="D519" s="193"/>
      <c r="E519" s="193"/>
      <c r="F519" s="193"/>
      <c r="G519" s="193"/>
      <c r="H519" s="81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</row>
    <row r="520" spans="1:19" ht="15.6">
      <c r="A520" s="193"/>
      <c r="B520" s="193"/>
      <c r="C520" s="193"/>
      <c r="D520" s="193"/>
      <c r="E520" s="193"/>
      <c r="F520" s="193"/>
      <c r="G520" s="193"/>
      <c r="H520" s="81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</row>
    <row r="521" spans="1:19" ht="15.6">
      <c r="A521" s="193"/>
      <c r="B521" s="193"/>
      <c r="C521" s="193"/>
      <c r="D521" s="193"/>
      <c r="E521" s="193"/>
      <c r="F521" s="193"/>
      <c r="G521" s="193"/>
      <c r="H521" s="81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</row>
    <row r="522" spans="1:19" ht="15.6">
      <c r="A522" s="193"/>
      <c r="B522" s="193"/>
      <c r="C522" s="193"/>
      <c r="D522" s="193"/>
      <c r="E522" s="193"/>
      <c r="F522" s="193"/>
      <c r="G522" s="193"/>
      <c r="H522" s="81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</row>
    <row r="523" spans="1:19" ht="15.6">
      <c r="A523" s="193"/>
      <c r="B523" s="193"/>
      <c r="C523" s="193"/>
      <c r="D523" s="193"/>
      <c r="E523" s="193"/>
      <c r="F523" s="193"/>
      <c r="G523" s="193"/>
      <c r="H523" s="81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</row>
    <row r="524" spans="1:19" ht="15.6">
      <c r="A524" s="193"/>
      <c r="B524" s="193"/>
      <c r="C524" s="193"/>
      <c r="D524" s="193"/>
      <c r="E524" s="193"/>
      <c r="F524" s="193"/>
      <c r="G524" s="193"/>
      <c r="H524" s="81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</row>
    <row r="525" spans="1:19" ht="15.6">
      <c r="A525" s="193"/>
      <c r="B525" s="193"/>
      <c r="C525" s="193"/>
      <c r="D525" s="193"/>
      <c r="E525" s="193"/>
      <c r="F525" s="193"/>
      <c r="G525" s="193"/>
      <c r="H525" s="81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</row>
    <row r="526" spans="1:19" ht="15.6">
      <c r="A526" s="193"/>
      <c r="B526" s="193"/>
      <c r="C526" s="193"/>
      <c r="D526" s="193"/>
      <c r="E526" s="193"/>
      <c r="F526" s="193"/>
      <c r="G526" s="193"/>
      <c r="H526" s="81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</row>
    <row r="527" spans="1:19" ht="15.6">
      <c r="A527" s="193"/>
      <c r="B527" s="193"/>
      <c r="C527" s="193"/>
      <c r="D527" s="193"/>
      <c r="E527" s="193"/>
      <c r="F527" s="193"/>
      <c r="G527" s="193"/>
      <c r="H527" s="81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</row>
    <row r="528" spans="1:19" ht="15.6">
      <c r="A528" s="193"/>
      <c r="B528" s="193"/>
      <c r="C528" s="193"/>
      <c r="D528" s="193"/>
      <c r="E528" s="193"/>
      <c r="F528" s="193"/>
      <c r="G528" s="193"/>
      <c r="H528" s="81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</row>
    <row r="529" spans="1:19" ht="15.6">
      <c r="A529" s="193"/>
      <c r="B529" s="193"/>
      <c r="C529" s="193"/>
      <c r="D529" s="193"/>
      <c r="E529" s="193"/>
      <c r="F529" s="193"/>
      <c r="G529" s="193"/>
      <c r="H529" s="81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</row>
    <row r="530" spans="1:19" ht="15.6">
      <c r="A530" s="193"/>
      <c r="B530" s="193"/>
      <c r="C530" s="193"/>
      <c r="D530" s="193"/>
      <c r="E530" s="193"/>
      <c r="F530" s="193"/>
      <c r="G530" s="193"/>
      <c r="H530" s="81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</row>
    <row r="531" spans="1:19" ht="15.6">
      <c r="A531" s="193"/>
      <c r="B531" s="193"/>
      <c r="C531" s="193"/>
      <c r="D531" s="193"/>
      <c r="E531" s="193"/>
      <c r="F531" s="193"/>
      <c r="G531" s="193"/>
      <c r="H531" s="81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</row>
    <row r="532" spans="1:19" ht="15.6">
      <c r="A532" s="193"/>
      <c r="B532" s="193"/>
      <c r="C532" s="193"/>
      <c r="D532" s="193"/>
      <c r="E532" s="193"/>
      <c r="F532" s="193"/>
      <c r="G532" s="193"/>
      <c r="H532" s="81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</row>
    <row r="533" spans="1:19" ht="15.6">
      <c r="A533" s="193"/>
      <c r="B533" s="193"/>
      <c r="C533" s="193"/>
      <c r="D533" s="193"/>
      <c r="E533" s="193"/>
      <c r="F533" s="193"/>
      <c r="G533" s="193"/>
      <c r="H533" s="81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</row>
    <row r="534" spans="1:19" ht="15.6">
      <c r="A534" s="193"/>
      <c r="B534" s="193"/>
      <c r="C534" s="193"/>
      <c r="D534" s="193"/>
      <c r="E534" s="193"/>
      <c r="F534" s="193"/>
      <c r="G534" s="193"/>
      <c r="H534" s="81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</row>
    <row r="535" spans="1:19" ht="15.6">
      <c r="A535" s="193"/>
      <c r="B535" s="193"/>
      <c r="C535" s="193"/>
      <c r="D535" s="193"/>
      <c r="E535" s="193"/>
      <c r="F535" s="193"/>
      <c r="G535" s="193"/>
      <c r="H535" s="81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</row>
    <row r="536" spans="1:19" ht="15.6">
      <c r="A536" s="193"/>
      <c r="B536" s="193"/>
      <c r="C536" s="193"/>
      <c r="D536" s="193"/>
      <c r="E536" s="193"/>
      <c r="F536" s="193"/>
      <c r="G536" s="193"/>
      <c r="H536" s="81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</row>
    <row r="537" spans="1:19" ht="15.6">
      <c r="A537" s="193"/>
      <c r="B537" s="193"/>
      <c r="C537" s="193"/>
      <c r="D537" s="193"/>
      <c r="E537" s="193"/>
      <c r="F537" s="193"/>
      <c r="G537" s="193"/>
      <c r="H537" s="81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</row>
    <row r="538" spans="1:19" ht="15.6">
      <c r="A538" s="193"/>
      <c r="B538" s="193"/>
      <c r="C538" s="193"/>
      <c r="D538" s="193"/>
      <c r="E538" s="193"/>
      <c r="F538" s="193"/>
      <c r="G538" s="193"/>
      <c r="H538" s="81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</row>
    <row r="539" spans="1:19" ht="15.6">
      <c r="A539" s="193"/>
      <c r="B539" s="193"/>
      <c r="C539" s="193"/>
      <c r="D539" s="193"/>
      <c r="E539" s="193"/>
      <c r="F539" s="193"/>
      <c r="G539" s="193"/>
      <c r="H539" s="81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</row>
    <row r="540" spans="1:19" ht="15.6">
      <c r="A540" s="193"/>
      <c r="B540" s="193"/>
      <c r="C540" s="193"/>
      <c r="D540" s="193"/>
      <c r="E540" s="193"/>
      <c r="F540" s="193"/>
      <c r="G540" s="193"/>
      <c r="H540" s="81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</row>
    <row r="541" spans="1:19" ht="15.6">
      <c r="A541" s="193"/>
      <c r="B541" s="193"/>
      <c r="C541" s="193"/>
      <c r="D541" s="193"/>
      <c r="E541" s="193"/>
      <c r="F541" s="193"/>
      <c r="G541" s="193"/>
      <c r="H541" s="81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</row>
    <row r="542" spans="1:19" ht="15.6">
      <c r="A542" s="193"/>
      <c r="B542" s="193"/>
      <c r="C542" s="193"/>
      <c r="D542" s="193"/>
      <c r="E542" s="193"/>
      <c r="F542" s="193"/>
      <c r="G542" s="193"/>
      <c r="H542" s="81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</row>
    <row r="543" spans="1:19" ht="15.6">
      <c r="A543" s="193"/>
      <c r="B543" s="193"/>
      <c r="C543" s="193"/>
      <c r="D543" s="193"/>
      <c r="E543" s="193"/>
      <c r="F543" s="193"/>
      <c r="G543" s="193"/>
      <c r="H543" s="81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</row>
    <row r="544" spans="1:19" ht="15.6">
      <c r="A544" s="193"/>
      <c r="B544" s="193"/>
      <c r="C544" s="193"/>
      <c r="D544" s="193"/>
      <c r="E544" s="193"/>
      <c r="F544" s="193"/>
      <c r="G544" s="193"/>
      <c r="H544" s="81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</row>
    <row r="545" spans="1:19" ht="15.6">
      <c r="A545" s="193"/>
      <c r="B545" s="193"/>
      <c r="C545" s="193"/>
      <c r="D545" s="193"/>
      <c r="E545" s="193"/>
      <c r="F545" s="193"/>
      <c r="G545" s="193"/>
      <c r="H545" s="81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</row>
    <row r="546" spans="1:19" ht="15.6">
      <c r="A546" s="193"/>
      <c r="B546" s="193"/>
      <c r="C546" s="193"/>
      <c r="D546" s="193"/>
      <c r="E546" s="193"/>
      <c r="F546" s="193"/>
      <c r="G546" s="193"/>
      <c r="H546" s="81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</row>
    <row r="547" spans="1:19" ht="15.6">
      <c r="A547" s="193"/>
      <c r="B547" s="193"/>
      <c r="C547" s="193"/>
      <c r="D547" s="193"/>
      <c r="E547" s="193"/>
      <c r="F547" s="193"/>
      <c r="G547" s="193"/>
      <c r="H547" s="81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</row>
    <row r="548" spans="1:19" ht="15.6">
      <c r="A548" s="193"/>
      <c r="B548" s="193"/>
      <c r="C548" s="193"/>
      <c r="D548" s="193"/>
      <c r="E548" s="193"/>
      <c r="F548" s="193"/>
      <c r="G548" s="193"/>
      <c r="H548" s="81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</row>
    <row r="549" spans="1:19" ht="15.6">
      <c r="A549" s="193"/>
      <c r="B549" s="193"/>
      <c r="C549" s="193"/>
      <c r="D549" s="193"/>
      <c r="E549" s="193"/>
      <c r="F549" s="193"/>
      <c r="G549" s="193"/>
      <c r="H549" s="81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</row>
    <row r="550" spans="1:19" ht="15.6">
      <c r="A550" s="193"/>
      <c r="B550" s="193"/>
      <c r="C550" s="193"/>
      <c r="D550" s="193"/>
      <c r="E550" s="193"/>
      <c r="F550" s="193"/>
      <c r="G550" s="193"/>
      <c r="H550" s="81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</row>
    <row r="551" spans="1:19" ht="15.6">
      <c r="A551" s="193"/>
      <c r="B551" s="193"/>
      <c r="C551" s="193"/>
      <c r="D551" s="193"/>
      <c r="E551" s="193"/>
      <c r="F551" s="193"/>
      <c r="G551" s="193"/>
      <c r="H551" s="81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</row>
    <row r="552" spans="1:19" ht="15.6">
      <c r="A552" s="193"/>
      <c r="B552" s="193"/>
      <c r="C552" s="193"/>
      <c r="D552" s="193"/>
      <c r="E552" s="193"/>
      <c r="F552" s="193"/>
      <c r="G552" s="193"/>
      <c r="H552" s="81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</row>
    <row r="553" spans="1:19" ht="15.6">
      <c r="A553" s="193"/>
      <c r="B553" s="193"/>
      <c r="C553" s="193"/>
      <c r="D553" s="193"/>
      <c r="E553" s="193"/>
      <c r="F553" s="193"/>
      <c r="G553" s="193"/>
      <c r="H553" s="81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</row>
    <row r="554" spans="1:19" ht="15.6">
      <c r="A554" s="193"/>
      <c r="B554" s="193"/>
      <c r="C554" s="193"/>
      <c r="D554" s="193"/>
      <c r="E554" s="193"/>
      <c r="F554" s="193"/>
      <c r="G554" s="193"/>
      <c r="H554" s="81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</row>
    <row r="555" spans="1:19" ht="15.6">
      <c r="A555" s="193"/>
      <c r="B555" s="193"/>
      <c r="C555" s="193"/>
      <c r="D555" s="193"/>
      <c r="E555" s="193"/>
      <c r="F555" s="193"/>
      <c r="G555" s="193"/>
      <c r="H555" s="81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</row>
    <row r="556" spans="1:19" ht="15.6">
      <c r="A556" s="193"/>
      <c r="B556" s="193"/>
      <c r="C556" s="193"/>
      <c r="D556" s="193"/>
      <c r="E556" s="193"/>
      <c r="F556" s="193"/>
      <c r="G556" s="193"/>
      <c r="H556" s="81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</row>
    <row r="557" spans="1:19" ht="15.6">
      <c r="A557" s="193"/>
      <c r="B557" s="193"/>
      <c r="C557" s="193"/>
      <c r="D557" s="193"/>
      <c r="E557" s="193"/>
      <c r="F557" s="193"/>
      <c r="G557" s="193"/>
      <c r="H557" s="81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</row>
    <row r="558" spans="1:19" ht="15.6">
      <c r="A558" s="193"/>
      <c r="B558" s="193"/>
      <c r="C558" s="193"/>
      <c r="D558" s="193"/>
      <c r="E558" s="193"/>
      <c r="F558" s="193"/>
      <c r="G558" s="193"/>
      <c r="H558" s="81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</row>
    <row r="559" spans="1:19" ht="15.6">
      <c r="A559" s="193"/>
      <c r="B559" s="193"/>
      <c r="C559" s="193"/>
      <c r="D559" s="193"/>
      <c r="E559" s="193"/>
      <c r="F559" s="193"/>
      <c r="G559" s="193"/>
      <c r="H559" s="81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</row>
    <row r="560" spans="1:19" ht="15.6">
      <c r="A560" s="193"/>
      <c r="B560" s="193"/>
      <c r="C560" s="193"/>
      <c r="D560" s="193"/>
      <c r="E560" s="193"/>
      <c r="F560" s="193"/>
      <c r="G560" s="193"/>
      <c r="H560" s="81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</row>
    <row r="561" spans="1:19" ht="15.6">
      <c r="A561" s="193"/>
      <c r="B561" s="193"/>
      <c r="C561" s="193"/>
      <c r="D561" s="193"/>
      <c r="E561" s="193"/>
      <c r="F561" s="193"/>
      <c r="G561" s="193"/>
      <c r="H561" s="81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</row>
    <row r="562" spans="1:19" ht="15.6">
      <c r="A562" s="193"/>
      <c r="B562" s="193"/>
      <c r="C562" s="193"/>
      <c r="D562" s="193"/>
      <c r="E562" s="193"/>
      <c r="F562" s="193"/>
      <c r="G562" s="193"/>
      <c r="H562" s="81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</row>
    <row r="563" spans="1:19" ht="15.6">
      <c r="A563" s="193"/>
      <c r="B563" s="193"/>
      <c r="C563" s="193"/>
      <c r="D563" s="193"/>
      <c r="E563" s="193"/>
      <c r="F563" s="193"/>
      <c r="G563" s="193"/>
      <c r="H563" s="81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</row>
    <row r="564" spans="1:19" ht="15.6">
      <c r="A564" s="193"/>
      <c r="B564" s="193"/>
      <c r="C564" s="193"/>
      <c r="D564" s="193"/>
      <c r="E564" s="193"/>
      <c r="F564" s="193"/>
      <c r="G564" s="193"/>
      <c r="H564" s="81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</row>
    <row r="565" spans="1:19" ht="15.6">
      <c r="A565" s="193"/>
      <c r="B565" s="193"/>
      <c r="C565" s="193"/>
      <c r="D565" s="193"/>
      <c r="E565" s="193"/>
      <c r="F565" s="193"/>
      <c r="G565" s="193"/>
      <c r="H565" s="81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</row>
    <row r="566" spans="1:19" ht="15.6">
      <c r="A566" s="193"/>
      <c r="B566" s="193"/>
      <c r="C566" s="193"/>
      <c r="D566" s="193"/>
      <c r="E566" s="193"/>
      <c r="F566" s="193"/>
      <c r="G566" s="193"/>
      <c r="H566" s="81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</row>
    <row r="567" spans="1:19" ht="15.6">
      <c r="A567" s="193"/>
      <c r="B567" s="193"/>
      <c r="C567" s="193"/>
      <c r="D567" s="193"/>
      <c r="E567" s="193"/>
      <c r="F567" s="193"/>
      <c r="G567" s="193"/>
      <c r="H567" s="81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</row>
    <row r="568" spans="1:19" ht="15.6">
      <c r="A568" s="193"/>
      <c r="B568" s="193"/>
      <c r="C568" s="193"/>
      <c r="D568" s="193"/>
      <c r="E568" s="193"/>
      <c r="F568" s="193"/>
      <c r="G568" s="193"/>
      <c r="H568" s="81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</row>
    <row r="569" spans="1:19" ht="15.6">
      <c r="A569" s="193"/>
      <c r="B569" s="193"/>
      <c r="C569" s="193"/>
      <c r="D569" s="193"/>
      <c r="E569" s="193"/>
      <c r="F569" s="193"/>
      <c r="G569" s="193"/>
      <c r="H569" s="81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</row>
    <row r="570" spans="1:19" ht="15.6">
      <c r="A570" s="193"/>
      <c r="B570" s="193"/>
      <c r="C570" s="193"/>
      <c r="D570" s="193"/>
      <c r="E570" s="193"/>
      <c r="F570" s="193"/>
      <c r="G570" s="193"/>
      <c r="H570" s="81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</row>
    <row r="571" spans="1:19" ht="15.6">
      <c r="A571" s="193"/>
      <c r="B571" s="193"/>
      <c r="C571" s="193"/>
      <c r="D571" s="193"/>
      <c r="E571" s="193"/>
      <c r="F571" s="193"/>
      <c r="G571" s="193"/>
      <c r="H571" s="81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</row>
    <row r="572" spans="1:19" ht="15.6">
      <c r="A572" s="193"/>
      <c r="B572" s="193"/>
      <c r="C572" s="193"/>
      <c r="D572" s="193"/>
      <c r="E572" s="193"/>
      <c r="F572" s="193"/>
      <c r="G572" s="193"/>
      <c r="H572" s="81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</row>
    <row r="573" spans="1:19" ht="15.6">
      <c r="A573" s="193"/>
      <c r="B573" s="193"/>
      <c r="C573" s="193"/>
      <c r="D573" s="193"/>
      <c r="E573" s="193"/>
      <c r="F573" s="193"/>
      <c r="G573" s="193"/>
      <c r="H573" s="81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</row>
    <row r="574" spans="1:19" ht="15.6">
      <c r="A574" s="193"/>
      <c r="B574" s="193"/>
      <c r="C574" s="193"/>
      <c r="D574" s="193"/>
      <c r="E574" s="193"/>
      <c r="F574" s="193"/>
      <c r="G574" s="193"/>
      <c r="H574" s="81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</row>
    <row r="575" spans="1:19" ht="15.6">
      <c r="A575" s="193"/>
      <c r="B575" s="193"/>
      <c r="C575" s="193"/>
      <c r="D575" s="193"/>
      <c r="E575" s="193"/>
      <c r="F575" s="193"/>
      <c r="G575" s="193"/>
      <c r="H575" s="81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</row>
    <row r="576" spans="1:19" ht="15.6">
      <c r="A576" s="193"/>
      <c r="B576" s="193"/>
      <c r="C576" s="193"/>
      <c r="D576" s="193"/>
      <c r="E576" s="193"/>
      <c r="F576" s="193"/>
      <c r="G576" s="193"/>
      <c r="H576" s="81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</row>
    <row r="577" spans="1:19" ht="15.6">
      <c r="A577" s="193"/>
      <c r="B577" s="193"/>
      <c r="C577" s="193"/>
      <c r="D577" s="193"/>
      <c r="E577" s="193"/>
      <c r="F577" s="193"/>
      <c r="G577" s="193"/>
      <c r="H577" s="81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</row>
    <row r="578" spans="1:19" ht="15.6">
      <c r="A578" s="193"/>
      <c r="B578" s="193"/>
      <c r="C578" s="193"/>
      <c r="D578" s="193"/>
      <c r="E578" s="193"/>
      <c r="F578" s="193"/>
      <c r="G578" s="193"/>
      <c r="H578" s="81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</row>
    <row r="579" spans="1:19" ht="15.6">
      <c r="A579" s="193"/>
      <c r="B579" s="193"/>
      <c r="C579" s="193"/>
      <c r="D579" s="193"/>
      <c r="E579" s="193"/>
      <c r="F579" s="193"/>
      <c r="G579" s="193"/>
      <c r="H579" s="81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</row>
    <row r="580" spans="1:19" ht="15.6">
      <c r="A580" s="193"/>
      <c r="B580" s="193"/>
      <c r="C580" s="193"/>
      <c r="D580" s="193"/>
      <c r="E580" s="193"/>
      <c r="F580" s="193"/>
      <c r="G580" s="193"/>
      <c r="H580" s="81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</row>
    <row r="581" spans="1:19" ht="15.6">
      <c r="A581" s="193"/>
      <c r="B581" s="193"/>
      <c r="C581" s="193"/>
      <c r="D581" s="193"/>
      <c r="E581" s="193"/>
      <c r="F581" s="193"/>
      <c r="G581" s="193"/>
      <c r="H581" s="81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</row>
    <row r="582" spans="1:19" ht="15.6">
      <c r="A582" s="193"/>
      <c r="B582" s="193"/>
      <c r="C582" s="193"/>
      <c r="D582" s="193"/>
      <c r="E582" s="193"/>
      <c r="F582" s="193"/>
      <c r="G582" s="193"/>
      <c r="H582" s="81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</row>
    <row r="583" spans="1:19" ht="15.6">
      <c r="A583" s="193"/>
      <c r="B583" s="193"/>
      <c r="C583" s="193"/>
      <c r="D583" s="193"/>
      <c r="E583" s="193"/>
      <c r="F583" s="193"/>
      <c r="G583" s="193"/>
      <c r="H583" s="81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</row>
    <row r="584" spans="1:19" ht="15.6">
      <c r="A584" s="193"/>
      <c r="B584" s="193"/>
      <c r="C584" s="193"/>
      <c r="D584" s="193"/>
      <c r="E584" s="193"/>
      <c r="F584" s="193"/>
      <c r="G584" s="193"/>
      <c r="H584" s="81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</row>
    <row r="585" spans="1:19" ht="15.6">
      <c r="A585" s="193"/>
      <c r="B585" s="193"/>
      <c r="C585" s="193"/>
      <c r="D585" s="193"/>
      <c r="E585" s="193"/>
      <c r="F585" s="193"/>
      <c r="G585" s="193"/>
      <c r="H585" s="81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</row>
    <row r="586" spans="1:19" ht="15.6">
      <c r="A586" s="193"/>
      <c r="B586" s="193"/>
      <c r="C586" s="193"/>
      <c r="D586" s="193"/>
      <c r="E586" s="193"/>
      <c r="F586" s="193"/>
      <c r="G586" s="193"/>
      <c r="H586" s="81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</row>
    <row r="587" spans="1:19" ht="15.6">
      <c r="A587" s="193"/>
      <c r="B587" s="193"/>
      <c r="C587" s="193"/>
      <c r="D587" s="193"/>
      <c r="E587" s="193"/>
      <c r="F587" s="193"/>
      <c r="G587" s="193"/>
      <c r="H587" s="81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</row>
    <row r="588" spans="1:19" ht="15.6">
      <c r="A588" s="193"/>
      <c r="B588" s="193"/>
      <c r="C588" s="193"/>
      <c r="D588" s="193"/>
      <c r="E588" s="193"/>
      <c r="F588" s="193"/>
      <c r="G588" s="193"/>
      <c r="H588" s="81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</row>
    <row r="589" spans="1:19" ht="15.6">
      <c r="A589" s="193"/>
      <c r="B589" s="193"/>
      <c r="C589" s="193"/>
      <c r="D589" s="193"/>
      <c r="E589" s="193"/>
      <c r="F589" s="193"/>
      <c r="G589" s="193"/>
      <c r="H589" s="81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</row>
    <row r="590" spans="1:19" ht="15.6">
      <c r="A590" s="193"/>
      <c r="B590" s="193"/>
      <c r="C590" s="193"/>
      <c r="D590" s="193"/>
      <c r="E590" s="193"/>
      <c r="F590" s="193"/>
      <c r="G590" s="193"/>
      <c r="H590" s="81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</row>
    <row r="591" spans="1:19" ht="15.6">
      <c r="A591" s="193"/>
      <c r="B591" s="193"/>
      <c r="C591" s="193"/>
      <c r="D591" s="193"/>
      <c r="E591" s="193"/>
      <c r="F591" s="193"/>
      <c r="G591" s="193"/>
      <c r="H591" s="81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</row>
    <row r="592" spans="1:19" ht="15.6">
      <c r="A592" s="193"/>
      <c r="B592" s="193"/>
      <c r="C592" s="193"/>
      <c r="D592" s="193"/>
      <c r="E592" s="193"/>
      <c r="F592" s="193"/>
      <c r="G592" s="193"/>
      <c r="H592" s="81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</row>
    <row r="593" spans="1:19" ht="15.6">
      <c r="A593" s="193"/>
      <c r="B593" s="193"/>
      <c r="C593" s="193"/>
      <c r="D593" s="193"/>
      <c r="E593" s="193"/>
      <c r="F593" s="193"/>
      <c r="G593" s="193"/>
      <c r="H593" s="81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</row>
    <row r="594" spans="1:19" ht="15.6">
      <c r="A594" s="193"/>
      <c r="B594" s="193"/>
      <c r="C594" s="193"/>
      <c r="D594" s="193"/>
      <c r="E594" s="193"/>
      <c r="F594" s="193"/>
      <c r="G594" s="193"/>
      <c r="H594" s="81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</row>
    <row r="595" spans="1:19" ht="15.6">
      <c r="A595" s="193"/>
      <c r="B595" s="193"/>
      <c r="C595" s="193"/>
      <c r="D595" s="193"/>
      <c r="E595" s="193"/>
      <c r="F595" s="193"/>
      <c r="G595" s="193"/>
      <c r="H595" s="81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</row>
    <row r="596" spans="1:19" ht="15.6">
      <c r="A596" s="193"/>
      <c r="B596" s="193"/>
      <c r="C596" s="193"/>
      <c r="D596" s="193"/>
      <c r="E596" s="193"/>
      <c r="F596" s="193"/>
      <c r="G596" s="193"/>
      <c r="H596" s="81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</row>
    <row r="597" spans="1:19" ht="15.6">
      <c r="A597" s="193"/>
      <c r="B597" s="193"/>
      <c r="C597" s="193"/>
      <c r="D597" s="193"/>
      <c r="E597" s="193"/>
      <c r="F597" s="193"/>
      <c r="G597" s="193"/>
      <c r="H597" s="81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</row>
    <row r="598" spans="1:19" ht="15.6">
      <c r="A598" s="193"/>
      <c r="B598" s="193"/>
      <c r="C598" s="193"/>
      <c r="D598" s="193"/>
      <c r="E598" s="193"/>
      <c r="F598" s="193"/>
      <c r="G598" s="193"/>
      <c r="H598" s="81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</row>
    <row r="599" spans="1:19" ht="15.6">
      <c r="A599" s="193"/>
      <c r="B599" s="193"/>
      <c r="C599" s="193"/>
      <c r="D599" s="193"/>
      <c r="E599" s="193"/>
      <c r="F599" s="193"/>
      <c r="G599" s="193"/>
      <c r="H599" s="81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</row>
    <row r="600" spans="1:19" ht="15.6">
      <c r="A600" s="193"/>
      <c r="B600" s="193"/>
      <c r="C600" s="193"/>
      <c r="D600" s="193"/>
      <c r="E600" s="193"/>
      <c r="F600" s="193"/>
      <c r="G600" s="193"/>
      <c r="H600" s="81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</row>
    <row r="601" spans="1:19" ht="15.6">
      <c r="A601" s="193"/>
      <c r="B601" s="193"/>
      <c r="C601" s="193"/>
      <c r="D601" s="193"/>
      <c r="E601" s="193"/>
      <c r="F601" s="193"/>
      <c r="G601" s="193"/>
      <c r="H601" s="81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</row>
    <row r="602" spans="1:19" ht="15.6">
      <c r="A602" s="193"/>
      <c r="B602" s="193"/>
      <c r="C602" s="193"/>
      <c r="D602" s="193"/>
      <c r="E602" s="193"/>
      <c r="F602" s="193"/>
      <c r="G602" s="193"/>
      <c r="H602" s="81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</row>
    <row r="603" spans="1:19" ht="15.6">
      <c r="A603" s="193"/>
      <c r="B603" s="193"/>
      <c r="C603" s="193"/>
      <c r="D603" s="193"/>
      <c r="E603" s="193"/>
      <c r="F603" s="193"/>
      <c r="G603" s="193"/>
      <c r="H603" s="81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</row>
    <row r="604" spans="1:19" ht="15.6">
      <c r="A604" s="193"/>
      <c r="B604" s="193"/>
      <c r="C604" s="193"/>
      <c r="D604" s="193"/>
      <c r="E604" s="193"/>
      <c r="F604" s="193"/>
      <c r="G604" s="193"/>
      <c r="H604" s="81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</row>
    <row r="605" spans="1:19" ht="15.6">
      <c r="A605" s="193"/>
      <c r="B605" s="193"/>
      <c r="C605" s="193"/>
      <c r="D605" s="193"/>
      <c r="E605" s="193"/>
      <c r="F605" s="193"/>
      <c r="G605" s="193"/>
      <c r="H605" s="81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</row>
    <row r="606" spans="1:19" ht="15.6">
      <c r="A606" s="193"/>
      <c r="B606" s="193"/>
      <c r="C606" s="193"/>
      <c r="D606" s="193"/>
      <c r="E606" s="193"/>
      <c r="F606" s="193"/>
      <c r="G606" s="193"/>
      <c r="H606" s="81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</row>
    <row r="607" spans="1:19" ht="15.6">
      <c r="A607" s="193"/>
      <c r="B607" s="193"/>
      <c r="C607" s="193"/>
      <c r="D607" s="193"/>
      <c r="E607" s="193"/>
      <c r="F607" s="193"/>
      <c r="G607" s="193"/>
      <c r="H607" s="81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</row>
    <row r="608" spans="1:19" ht="15.6">
      <c r="A608" s="193"/>
      <c r="B608" s="193"/>
      <c r="C608" s="193"/>
      <c r="D608" s="193"/>
      <c r="E608" s="193"/>
      <c r="F608" s="193"/>
      <c r="G608" s="193"/>
      <c r="H608" s="81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</row>
    <row r="609" spans="1:19" ht="15.6">
      <c r="A609" s="193"/>
      <c r="B609" s="193"/>
      <c r="C609" s="193"/>
      <c r="D609" s="193"/>
      <c r="E609" s="193"/>
      <c r="F609" s="193"/>
      <c r="G609" s="193"/>
      <c r="H609" s="81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</row>
    <row r="610" spans="1:19" ht="15.6">
      <c r="A610" s="193"/>
      <c r="B610" s="193"/>
      <c r="C610" s="193"/>
      <c r="D610" s="193"/>
      <c r="E610" s="193"/>
      <c r="F610" s="193"/>
      <c r="G610" s="193"/>
      <c r="H610" s="81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</row>
    <row r="611" spans="1:19" ht="15.6">
      <c r="A611" s="193"/>
      <c r="B611" s="193"/>
      <c r="C611" s="193"/>
      <c r="D611" s="193"/>
      <c r="E611" s="193"/>
      <c r="F611" s="193"/>
      <c r="G611" s="193"/>
      <c r="H611" s="81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</row>
    <row r="612" spans="1:19" ht="15.6">
      <c r="A612" s="193"/>
      <c r="B612" s="193"/>
      <c r="C612" s="193"/>
      <c r="D612" s="193"/>
      <c r="E612" s="193"/>
      <c r="F612" s="193"/>
      <c r="G612" s="193"/>
      <c r="H612" s="81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</row>
    <row r="613" spans="1:19" ht="15.6">
      <c r="A613" s="193"/>
      <c r="B613" s="193"/>
      <c r="C613" s="193"/>
      <c r="D613" s="193"/>
      <c r="E613" s="193"/>
      <c r="F613" s="193"/>
      <c r="G613" s="193"/>
      <c r="H613" s="81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</row>
    <row r="614" spans="1:19" ht="15.6">
      <c r="A614" s="193"/>
      <c r="B614" s="193"/>
      <c r="C614" s="193"/>
      <c r="D614" s="193"/>
      <c r="E614" s="193"/>
      <c r="F614" s="193"/>
      <c r="G614" s="193"/>
      <c r="H614" s="81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</row>
    <row r="615" spans="1:19" ht="15.6">
      <c r="A615" s="193"/>
      <c r="B615" s="193"/>
      <c r="C615" s="193"/>
      <c r="D615" s="193"/>
      <c r="E615" s="193"/>
      <c r="F615" s="193"/>
      <c r="G615" s="193"/>
      <c r="H615" s="81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</row>
    <row r="616" spans="1:19" ht="15.6">
      <c r="A616" s="193"/>
      <c r="B616" s="193"/>
      <c r="C616" s="193"/>
      <c r="D616" s="193"/>
      <c r="E616" s="193"/>
      <c r="F616" s="193"/>
      <c r="G616" s="193"/>
      <c r="H616" s="81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</row>
    <row r="617" spans="1:19" ht="15.6">
      <c r="A617" s="193"/>
      <c r="B617" s="193"/>
      <c r="C617" s="193"/>
      <c r="D617" s="193"/>
      <c r="E617" s="193"/>
      <c r="F617" s="193"/>
      <c r="G617" s="193"/>
      <c r="H617" s="81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</row>
    <row r="618" spans="1:19" ht="15.6">
      <c r="A618" s="193"/>
      <c r="B618" s="193"/>
      <c r="C618" s="193"/>
      <c r="D618" s="193"/>
      <c r="E618" s="193"/>
      <c r="F618" s="193"/>
      <c r="G618" s="193"/>
      <c r="H618" s="81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</row>
    <row r="619" spans="1:19" ht="15.6">
      <c r="A619" s="193"/>
      <c r="B619" s="193"/>
      <c r="C619" s="193"/>
      <c r="D619" s="193"/>
      <c r="E619" s="193"/>
      <c r="F619" s="193"/>
      <c r="G619" s="193"/>
      <c r="H619" s="81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</row>
    <row r="620" spans="1:19" ht="15.6">
      <c r="A620" s="193"/>
      <c r="B620" s="193"/>
      <c r="C620" s="193"/>
      <c r="D620" s="193"/>
      <c r="E620" s="193"/>
      <c r="F620" s="193"/>
      <c r="G620" s="193"/>
      <c r="H620" s="81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</row>
    <row r="621" spans="1:19" ht="15.6">
      <c r="A621" s="193"/>
      <c r="B621" s="193"/>
      <c r="C621" s="193"/>
      <c r="D621" s="193"/>
      <c r="E621" s="193"/>
      <c r="F621" s="193"/>
      <c r="G621" s="193"/>
      <c r="H621" s="81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</row>
    <row r="622" spans="1:19" ht="15.6">
      <c r="A622" s="193"/>
      <c r="B622" s="193"/>
      <c r="C622" s="193"/>
      <c r="D622" s="193"/>
      <c r="E622" s="193"/>
      <c r="F622" s="193"/>
      <c r="G622" s="193"/>
      <c r="H622" s="81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</row>
    <row r="623" spans="1:19" ht="15.6">
      <c r="A623" s="193"/>
      <c r="B623" s="193"/>
      <c r="C623" s="193"/>
      <c r="D623" s="193"/>
      <c r="E623" s="193"/>
      <c r="F623" s="193"/>
      <c r="G623" s="193"/>
      <c r="H623" s="81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</row>
    <row r="624" spans="1:19" ht="15.6">
      <c r="A624" s="193"/>
      <c r="B624" s="193"/>
      <c r="C624" s="193"/>
      <c r="D624" s="193"/>
      <c r="E624" s="193"/>
      <c r="F624" s="193"/>
      <c r="G624" s="193"/>
      <c r="H624" s="81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</row>
    <row r="625" spans="1:19" ht="15.6">
      <c r="A625" s="193"/>
      <c r="B625" s="193"/>
      <c r="C625" s="193"/>
      <c r="D625" s="193"/>
      <c r="E625" s="193"/>
      <c r="F625" s="193"/>
      <c r="G625" s="193"/>
      <c r="H625" s="81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</row>
    <row r="626" spans="1:19" ht="15.6">
      <c r="A626" s="193"/>
      <c r="B626" s="193"/>
      <c r="C626" s="193"/>
      <c r="D626" s="193"/>
      <c r="E626" s="193"/>
      <c r="F626" s="193"/>
      <c r="G626" s="193"/>
      <c r="H626" s="81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</row>
    <row r="627" spans="1:19" ht="15.6">
      <c r="A627" s="193"/>
      <c r="B627" s="193"/>
      <c r="C627" s="193"/>
      <c r="D627" s="193"/>
      <c r="E627" s="193"/>
      <c r="F627" s="193"/>
      <c r="G627" s="193"/>
      <c r="H627" s="81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</row>
    <row r="628" spans="1:19" ht="15.6">
      <c r="A628" s="193"/>
      <c r="B628" s="193"/>
      <c r="C628" s="193"/>
      <c r="D628" s="193"/>
      <c r="E628" s="193"/>
      <c r="F628" s="193"/>
      <c r="G628" s="193"/>
      <c r="H628" s="81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</row>
    <row r="629" spans="1:19" ht="15.6">
      <c r="A629" s="193"/>
      <c r="B629" s="193"/>
      <c r="C629" s="193"/>
      <c r="D629" s="193"/>
      <c r="E629" s="193"/>
      <c r="F629" s="193"/>
      <c r="G629" s="193"/>
      <c r="H629" s="81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</row>
    <row r="630" spans="1:19" ht="15.6">
      <c r="A630" s="193"/>
      <c r="B630" s="193"/>
      <c r="C630" s="193"/>
      <c r="D630" s="193"/>
      <c r="E630" s="193"/>
      <c r="F630" s="193"/>
      <c r="G630" s="193"/>
      <c r="H630" s="81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</row>
    <row r="631" spans="1:19" ht="15.6">
      <c r="A631" s="193"/>
      <c r="B631" s="193"/>
      <c r="C631" s="193"/>
      <c r="D631" s="193"/>
      <c r="E631" s="193"/>
      <c r="F631" s="193"/>
      <c r="G631" s="193"/>
      <c r="H631" s="81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</row>
    <row r="632" spans="1:19" ht="15.6">
      <c r="A632" s="193"/>
      <c r="B632" s="193"/>
      <c r="C632" s="193"/>
      <c r="D632" s="193"/>
      <c r="E632" s="193"/>
      <c r="F632" s="193"/>
      <c r="G632" s="193"/>
      <c r="H632" s="81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</row>
    <row r="633" spans="1:19" ht="15.6">
      <c r="A633" s="193"/>
      <c r="B633" s="193"/>
      <c r="C633" s="193"/>
      <c r="D633" s="193"/>
      <c r="E633" s="193"/>
      <c r="F633" s="193"/>
      <c r="G633" s="193"/>
      <c r="H633" s="81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</row>
    <row r="634" spans="1:19" ht="15.6">
      <c r="A634" s="193"/>
      <c r="B634" s="193"/>
      <c r="C634" s="193"/>
      <c r="D634" s="193"/>
      <c r="E634" s="193"/>
      <c r="F634" s="193"/>
      <c r="G634" s="193"/>
      <c r="H634" s="81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</row>
    <row r="635" spans="1:19" ht="15.6">
      <c r="A635" s="193"/>
      <c r="B635" s="193"/>
      <c r="C635" s="193"/>
      <c r="D635" s="193"/>
      <c r="E635" s="193"/>
      <c r="F635" s="193"/>
      <c r="G635" s="193"/>
      <c r="H635" s="81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</row>
    <row r="636" spans="1:19" ht="15.6">
      <c r="A636" s="193"/>
      <c r="B636" s="193"/>
      <c r="C636" s="193"/>
      <c r="D636" s="193"/>
      <c r="E636" s="193"/>
      <c r="F636" s="193"/>
      <c r="G636" s="193"/>
      <c r="H636" s="81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</row>
    <row r="637" spans="1:19" ht="15.6">
      <c r="A637" s="193"/>
      <c r="B637" s="193"/>
      <c r="C637" s="193"/>
      <c r="D637" s="193"/>
      <c r="E637" s="193"/>
      <c r="F637" s="193"/>
      <c r="G637" s="193"/>
      <c r="H637" s="81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</row>
    <row r="638" spans="1:19" ht="15.6">
      <c r="A638" s="193"/>
      <c r="B638" s="193"/>
      <c r="C638" s="193"/>
      <c r="D638" s="193"/>
      <c r="E638" s="193"/>
      <c r="F638" s="193"/>
      <c r="G638" s="193"/>
      <c r="H638" s="81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</row>
    <row r="639" spans="1:19" ht="15.6">
      <c r="A639" s="193"/>
      <c r="B639" s="193"/>
      <c r="C639" s="193"/>
      <c r="D639" s="193"/>
      <c r="E639" s="193"/>
      <c r="F639" s="193"/>
      <c r="G639" s="193"/>
      <c r="H639" s="81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</row>
    <row r="640" spans="1:19" ht="15.6">
      <c r="A640" s="193"/>
      <c r="B640" s="193"/>
      <c r="C640" s="193"/>
      <c r="D640" s="193"/>
      <c r="E640" s="193"/>
      <c r="F640" s="193"/>
      <c r="G640" s="193"/>
      <c r="H640" s="81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</row>
    <row r="641" spans="1:19" ht="15.6">
      <c r="A641" s="193"/>
      <c r="B641" s="193"/>
      <c r="C641" s="193"/>
      <c r="D641" s="193"/>
      <c r="E641" s="193"/>
      <c r="F641" s="193"/>
      <c r="G641" s="193"/>
      <c r="H641" s="81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</row>
    <row r="642" spans="1:19" ht="15.6">
      <c r="A642" s="193"/>
      <c r="B642" s="193"/>
      <c r="C642" s="193"/>
      <c r="D642" s="193"/>
      <c r="E642" s="193"/>
      <c r="F642" s="193"/>
      <c r="G642" s="193"/>
      <c r="H642" s="81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</row>
    <row r="643" spans="1:19" ht="15.6">
      <c r="A643" s="193"/>
      <c r="B643" s="193"/>
      <c r="C643" s="193"/>
      <c r="D643" s="193"/>
      <c r="E643" s="193"/>
      <c r="F643" s="193"/>
      <c r="G643" s="193"/>
      <c r="H643" s="81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</row>
    <row r="644" spans="1:19" ht="15.6">
      <c r="A644" s="193"/>
      <c r="B644" s="193"/>
      <c r="C644" s="193"/>
      <c r="D644" s="193"/>
      <c r="E644" s="193"/>
      <c r="F644" s="193"/>
      <c r="G644" s="193"/>
      <c r="H644" s="81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</row>
    <row r="645" spans="1:19" ht="15.6">
      <c r="A645" s="193"/>
      <c r="B645" s="193"/>
      <c r="C645" s="193"/>
      <c r="D645" s="193"/>
      <c r="E645" s="193"/>
      <c r="F645" s="193"/>
      <c r="G645" s="193"/>
      <c r="H645" s="81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</row>
    <row r="646" spans="1:19" ht="15.6">
      <c r="A646" s="193"/>
      <c r="B646" s="193"/>
      <c r="C646" s="193"/>
      <c r="D646" s="193"/>
      <c r="E646" s="193"/>
      <c r="F646" s="193"/>
      <c r="G646" s="193"/>
      <c r="H646" s="81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</row>
    <row r="647" spans="1:19" ht="15.6">
      <c r="A647" s="193"/>
      <c r="B647" s="193"/>
      <c r="C647" s="193"/>
      <c r="D647" s="193"/>
      <c r="E647" s="193"/>
      <c r="F647" s="193"/>
      <c r="G647" s="193"/>
      <c r="H647" s="81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</row>
    <row r="648" spans="1:19" ht="15.6">
      <c r="A648" s="193"/>
      <c r="B648" s="193"/>
      <c r="C648" s="193"/>
      <c r="D648" s="193"/>
      <c r="E648" s="193"/>
      <c r="F648" s="193"/>
      <c r="G648" s="193"/>
      <c r="H648" s="81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</row>
    <row r="649" spans="1:19" ht="15.6">
      <c r="A649" s="193"/>
      <c r="B649" s="193"/>
      <c r="C649" s="193"/>
      <c r="D649" s="193"/>
      <c r="E649" s="193"/>
      <c r="F649" s="193"/>
      <c r="G649" s="193"/>
      <c r="H649" s="81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</row>
    <row r="650" spans="1:19" ht="15.6">
      <c r="A650" s="193"/>
      <c r="B650" s="193"/>
      <c r="C650" s="193"/>
      <c r="D650" s="193"/>
      <c r="E650" s="193"/>
      <c r="F650" s="193"/>
      <c r="G650" s="193"/>
      <c r="H650" s="81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</row>
    <row r="651" spans="1:19" ht="15.6">
      <c r="A651" s="193"/>
      <c r="B651" s="193"/>
      <c r="C651" s="193"/>
      <c r="D651" s="193"/>
      <c r="E651" s="193"/>
      <c r="F651" s="193"/>
      <c r="G651" s="193"/>
      <c r="H651" s="81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</row>
    <row r="652" spans="1:19" ht="15.6">
      <c r="A652" s="193"/>
      <c r="B652" s="193"/>
      <c r="C652" s="193"/>
      <c r="D652" s="193"/>
      <c r="E652" s="193"/>
      <c r="F652" s="193"/>
      <c r="G652" s="193"/>
      <c r="H652" s="81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</row>
    <row r="653" spans="1:19" ht="15.6">
      <c r="A653" s="193"/>
      <c r="B653" s="193"/>
      <c r="C653" s="193"/>
      <c r="D653" s="193"/>
      <c r="E653" s="193"/>
      <c r="F653" s="193"/>
      <c r="G653" s="193"/>
      <c r="H653" s="81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</row>
    <row r="654" spans="1:19" ht="15.6">
      <c r="A654" s="193"/>
      <c r="B654" s="193"/>
      <c r="C654" s="193"/>
      <c r="D654" s="193"/>
      <c r="E654" s="193"/>
      <c r="F654" s="193"/>
      <c r="G654" s="193"/>
      <c r="H654" s="81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</row>
    <row r="655" spans="1:19" ht="15.6">
      <c r="A655" s="193"/>
      <c r="B655" s="193"/>
      <c r="C655" s="193"/>
      <c r="D655" s="193"/>
      <c r="E655" s="193"/>
      <c r="F655" s="193"/>
      <c r="G655" s="193"/>
      <c r="H655" s="81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</row>
    <row r="656" spans="1:19" ht="15.6">
      <c r="A656" s="193"/>
      <c r="B656" s="193"/>
      <c r="C656" s="193"/>
      <c r="D656" s="193"/>
      <c r="E656" s="193"/>
      <c r="F656" s="193"/>
      <c r="G656" s="193"/>
      <c r="H656" s="81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</row>
    <row r="657" spans="1:19" ht="15.6">
      <c r="A657" s="193"/>
      <c r="B657" s="193"/>
      <c r="C657" s="193"/>
      <c r="D657" s="193"/>
      <c r="E657" s="193"/>
      <c r="F657" s="193"/>
      <c r="G657" s="193"/>
      <c r="H657" s="81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</row>
    <row r="658" spans="1:19" ht="15.6">
      <c r="A658" s="193"/>
      <c r="B658" s="193"/>
      <c r="C658" s="193"/>
      <c r="D658" s="193"/>
      <c r="E658" s="193"/>
      <c r="F658" s="193"/>
      <c r="G658" s="193"/>
      <c r="H658" s="81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</row>
    <row r="659" spans="1:19" ht="15.6">
      <c r="A659" s="193"/>
      <c r="B659" s="193"/>
      <c r="C659" s="193"/>
      <c r="D659" s="193"/>
      <c r="E659" s="193"/>
      <c r="F659" s="193"/>
      <c r="G659" s="193"/>
      <c r="H659" s="81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</row>
    <row r="660" spans="1:19" ht="15.6">
      <c r="A660" s="193"/>
      <c r="B660" s="193"/>
      <c r="C660" s="193"/>
      <c r="D660" s="193"/>
      <c r="E660" s="193"/>
      <c r="F660" s="193"/>
      <c r="G660" s="193"/>
      <c r="H660" s="81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</row>
    <row r="661" spans="1:19" ht="15.6">
      <c r="A661" s="193"/>
      <c r="B661" s="193"/>
      <c r="C661" s="193"/>
      <c r="D661" s="193"/>
      <c r="E661" s="193"/>
      <c r="F661" s="193"/>
      <c r="G661" s="193"/>
      <c r="H661" s="81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</row>
    <row r="662" spans="1:19" ht="15.6">
      <c r="A662" s="193"/>
      <c r="B662" s="193"/>
      <c r="C662" s="193"/>
      <c r="D662" s="193"/>
      <c r="E662" s="193"/>
      <c r="F662" s="193"/>
      <c r="G662" s="193"/>
      <c r="H662" s="81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</row>
    <row r="663" spans="1:19" ht="15.6">
      <c r="A663" s="193"/>
      <c r="B663" s="193"/>
      <c r="C663" s="193"/>
      <c r="D663" s="193"/>
      <c r="E663" s="193"/>
      <c r="F663" s="193"/>
      <c r="G663" s="193"/>
      <c r="H663" s="81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</row>
    <row r="664" spans="1:19" ht="15.6">
      <c r="A664" s="193"/>
      <c r="B664" s="193"/>
      <c r="C664" s="193"/>
      <c r="D664" s="193"/>
      <c r="E664" s="193"/>
      <c r="F664" s="193"/>
      <c r="G664" s="193"/>
      <c r="H664" s="81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</row>
    <row r="665" spans="1:19" ht="15.6">
      <c r="A665" s="193"/>
      <c r="B665" s="193"/>
      <c r="C665" s="193"/>
      <c r="D665" s="193"/>
      <c r="E665" s="193"/>
      <c r="F665" s="193"/>
      <c r="G665" s="193"/>
      <c r="H665" s="81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</row>
    <row r="666" spans="1:19" ht="15.6">
      <c r="A666" s="193"/>
      <c r="B666" s="193"/>
      <c r="C666" s="193"/>
      <c r="D666" s="193"/>
      <c r="E666" s="193"/>
      <c r="F666" s="193"/>
      <c r="G666" s="193"/>
      <c r="H666" s="81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</row>
    <row r="667" spans="1:19" ht="15.6">
      <c r="A667" s="193"/>
      <c r="B667" s="193"/>
      <c r="C667" s="193"/>
      <c r="D667" s="193"/>
      <c r="E667" s="193"/>
      <c r="F667" s="193"/>
      <c r="G667" s="193"/>
      <c r="H667" s="81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</row>
    <row r="668" spans="1:19" ht="15.6">
      <c r="A668" s="193"/>
      <c r="B668" s="193"/>
      <c r="C668" s="193"/>
      <c r="D668" s="193"/>
      <c r="E668" s="193"/>
      <c r="F668" s="193"/>
      <c r="G668" s="193"/>
      <c r="H668" s="81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</row>
    <row r="669" spans="1:19" ht="15.6">
      <c r="A669" s="193"/>
      <c r="B669" s="193"/>
      <c r="C669" s="193"/>
      <c r="D669" s="193"/>
      <c r="E669" s="193"/>
      <c r="F669" s="193"/>
      <c r="G669" s="193"/>
      <c r="H669" s="81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</row>
    <row r="670" spans="1:19" ht="15.6">
      <c r="A670" s="193"/>
      <c r="B670" s="193"/>
      <c r="C670" s="193"/>
      <c r="D670" s="193"/>
      <c r="E670" s="193"/>
      <c r="F670" s="193"/>
      <c r="G670" s="193"/>
      <c r="H670" s="81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</row>
    <row r="671" spans="1:19" ht="15.6">
      <c r="A671" s="193"/>
      <c r="B671" s="193"/>
      <c r="C671" s="193"/>
      <c r="D671" s="193"/>
      <c r="E671" s="193"/>
      <c r="F671" s="193"/>
      <c r="G671" s="193"/>
      <c r="H671" s="81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</row>
    <row r="672" spans="1:19" ht="15.6">
      <c r="A672" s="193"/>
      <c r="B672" s="193"/>
      <c r="C672" s="193"/>
      <c r="D672" s="193"/>
      <c r="E672" s="193"/>
      <c r="F672" s="193"/>
      <c r="G672" s="193"/>
      <c r="H672" s="81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</row>
    <row r="673" spans="1:19" ht="15.6">
      <c r="A673" s="193"/>
      <c r="B673" s="193"/>
      <c r="C673" s="193"/>
      <c r="D673" s="193"/>
      <c r="E673" s="193"/>
      <c r="F673" s="193"/>
      <c r="G673" s="193"/>
      <c r="H673" s="81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</row>
    <row r="674" spans="1:19" ht="15.6">
      <c r="A674" s="193"/>
      <c r="B674" s="193"/>
      <c r="C674" s="193"/>
      <c r="D674" s="193"/>
      <c r="E674" s="193"/>
      <c r="F674" s="193"/>
      <c r="G674" s="193"/>
      <c r="H674" s="81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</row>
    <row r="675" spans="1:19" ht="15.6">
      <c r="A675" s="193"/>
      <c r="B675" s="193"/>
      <c r="C675" s="193"/>
      <c r="D675" s="193"/>
      <c r="E675" s="193"/>
      <c r="F675" s="193"/>
      <c r="G675" s="193"/>
      <c r="H675" s="81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</row>
    <row r="676" spans="1:19" ht="15.6">
      <c r="A676" s="193"/>
      <c r="B676" s="193"/>
      <c r="C676" s="193"/>
      <c r="D676" s="193"/>
      <c r="E676" s="193"/>
      <c r="F676" s="193"/>
      <c r="G676" s="193"/>
      <c r="H676" s="81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</row>
    <row r="677" spans="1:19" ht="15.6">
      <c r="A677" s="193"/>
      <c r="B677" s="193"/>
      <c r="C677" s="193"/>
      <c r="D677" s="193"/>
      <c r="E677" s="193"/>
      <c r="F677" s="193"/>
      <c r="G677" s="193"/>
      <c r="H677" s="81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</row>
    <row r="678" spans="1:19" ht="15.6">
      <c r="A678" s="193"/>
      <c r="B678" s="193"/>
      <c r="C678" s="193"/>
      <c r="D678" s="193"/>
      <c r="E678" s="193"/>
      <c r="F678" s="193"/>
      <c r="G678" s="193"/>
      <c r="H678" s="81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</row>
    <row r="679" spans="1:19" ht="15.6">
      <c r="A679" s="193"/>
      <c r="B679" s="193"/>
      <c r="C679" s="193"/>
      <c r="D679" s="193"/>
      <c r="E679" s="193"/>
      <c r="F679" s="193"/>
      <c r="G679" s="193"/>
      <c r="H679" s="81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</row>
    <row r="680" spans="1:19" ht="15.6">
      <c r="A680" s="193"/>
      <c r="B680" s="193"/>
      <c r="C680" s="193"/>
      <c r="D680" s="193"/>
      <c r="E680" s="193"/>
      <c r="F680" s="193"/>
      <c r="G680" s="193"/>
      <c r="H680" s="81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</row>
    <row r="681" spans="1:19" ht="15.6">
      <c r="A681" s="193"/>
      <c r="B681" s="193"/>
      <c r="C681" s="193"/>
      <c r="D681" s="193"/>
      <c r="E681" s="193"/>
      <c r="F681" s="193"/>
      <c r="G681" s="193"/>
      <c r="H681" s="81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</row>
    <row r="682" spans="1:19" ht="15.6">
      <c r="A682" s="193"/>
      <c r="B682" s="193"/>
      <c r="C682" s="193"/>
      <c r="D682" s="193"/>
      <c r="E682" s="193"/>
      <c r="F682" s="193"/>
      <c r="G682" s="193"/>
      <c r="H682" s="81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</row>
    <row r="683" spans="1:19" ht="15.6">
      <c r="A683" s="193"/>
      <c r="B683" s="193"/>
      <c r="C683" s="193"/>
      <c r="D683" s="193"/>
      <c r="E683" s="193"/>
      <c r="F683" s="193"/>
      <c r="G683" s="193"/>
      <c r="H683" s="81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</row>
    <row r="684" spans="1:19" ht="15.6">
      <c r="A684" s="193"/>
      <c r="B684" s="193"/>
      <c r="C684" s="193"/>
      <c r="D684" s="193"/>
      <c r="E684" s="193"/>
      <c r="F684" s="193"/>
      <c r="G684" s="193"/>
      <c r="H684" s="81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</row>
    <row r="685" spans="1:19" ht="15.6">
      <c r="A685" s="193"/>
      <c r="B685" s="193"/>
      <c r="C685" s="193"/>
      <c r="D685" s="193"/>
      <c r="E685" s="193"/>
      <c r="F685" s="193"/>
      <c r="G685" s="193"/>
      <c r="H685" s="81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</row>
    <row r="686" spans="1:19" ht="15.6">
      <c r="A686" s="193"/>
      <c r="B686" s="193"/>
      <c r="C686" s="193"/>
      <c r="D686" s="193"/>
      <c r="E686" s="193"/>
      <c r="F686" s="193"/>
      <c r="G686" s="193"/>
      <c r="H686" s="81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</row>
    <row r="687" spans="1:19" ht="15.6">
      <c r="A687" s="193"/>
      <c r="B687" s="193"/>
      <c r="C687" s="193"/>
      <c r="D687" s="193"/>
      <c r="E687" s="193"/>
      <c r="F687" s="193"/>
      <c r="G687" s="193"/>
      <c r="H687" s="81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</row>
    <row r="688" spans="1:19" ht="15.6">
      <c r="A688" s="193"/>
      <c r="B688" s="193"/>
      <c r="C688" s="193"/>
      <c r="D688" s="193"/>
      <c r="E688" s="193"/>
      <c r="F688" s="193"/>
      <c r="G688" s="193"/>
      <c r="H688" s="81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</row>
    <row r="689" spans="1:19" ht="15.6">
      <c r="A689" s="193"/>
      <c r="B689" s="193"/>
      <c r="C689" s="193"/>
      <c r="D689" s="193"/>
      <c r="E689" s="193"/>
      <c r="F689" s="193"/>
      <c r="G689" s="193"/>
      <c r="H689" s="81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</row>
    <row r="690" spans="1:19" ht="15.6">
      <c r="A690" s="193"/>
      <c r="B690" s="193"/>
      <c r="C690" s="193"/>
      <c r="D690" s="193"/>
      <c r="E690" s="193"/>
      <c r="F690" s="193"/>
      <c r="G690" s="193"/>
      <c r="H690" s="81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</row>
    <row r="691" spans="1:19" ht="15.6">
      <c r="A691" s="193"/>
      <c r="B691" s="193"/>
      <c r="C691" s="193"/>
      <c r="D691" s="193"/>
      <c r="E691" s="193"/>
      <c r="F691" s="193"/>
      <c r="G691" s="193"/>
      <c r="H691" s="81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</row>
    <row r="692" spans="1:19" ht="15.6">
      <c r="A692" s="193"/>
      <c r="B692" s="193"/>
      <c r="C692" s="193"/>
      <c r="D692" s="193"/>
      <c r="E692" s="193"/>
      <c r="F692" s="193"/>
      <c r="G692" s="193"/>
      <c r="H692" s="81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</row>
    <row r="693" spans="1:19" ht="15.6">
      <c r="A693" s="193"/>
      <c r="B693" s="193"/>
      <c r="C693" s="193"/>
      <c r="D693" s="193"/>
      <c r="E693" s="193"/>
      <c r="F693" s="193"/>
      <c r="G693" s="193"/>
      <c r="H693" s="81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</row>
    <row r="694" spans="1:19" ht="15.6">
      <c r="A694" s="193"/>
      <c r="B694" s="193"/>
      <c r="C694" s="193"/>
      <c r="D694" s="193"/>
      <c r="E694" s="193"/>
      <c r="F694" s="193"/>
      <c r="G694" s="193"/>
      <c r="H694" s="81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</row>
    <row r="695" spans="1:19" ht="15.6">
      <c r="A695" s="193"/>
      <c r="B695" s="193"/>
      <c r="C695" s="193"/>
      <c r="D695" s="193"/>
      <c r="E695" s="193"/>
      <c r="F695" s="193"/>
      <c r="G695" s="193"/>
      <c r="H695" s="81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</row>
    <row r="696" spans="1:19" ht="15.6">
      <c r="A696" s="193"/>
      <c r="B696" s="193"/>
      <c r="C696" s="193"/>
      <c r="D696" s="193"/>
      <c r="E696" s="193"/>
      <c r="F696" s="193"/>
      <c r="G696" s="193"/>
      <c r="H696" s="81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</row>
    <row r="697" spans="1:19" ht="15.6">
      <c r="A697" s="193"/>
      <c r="B697" s="193"/>
      <c r="C697" s="193"/>
      <c r="D697" s="193"/>
      <c r="E697" s="193"/>
      <c r="F697" s="193"/>
      <c r="G697" s="193"/>
      <c r="H697" s="81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</row>
    <row r="698" spans="1:19" ht="15.6">
      <c r="A698" s="193"/>
      <c r="B698" s="193"/>
      <c r="C698" s="193"/>
      <c r="D698" s="193"/>
      <c r="E698" s="193"/>
      <c r="F698" s="193"/>
      <c r="G698" s="193"/>
      <c r="H698" s="81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</row>
    <row r="699" spans="1:19" ht="15.6">
      <c r="A699" s="193"/>
      <c r="B699" s="193"/>
      <c r="C699" s="193"/>
      <c r="D699" s="193"/>
      <c r="E699" s="193"/>
      <c r="F699" s="193"/>
      <c r="G699" s="193"/>
      <c r="H699" s="81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</row>
    <row r="700" spans="1:19" ht="15.6">
      <c r="A700" s="193"/>
      <c r="B700" s="193"/>
      <c r="C700" s="193"/>
      <c r="D700" s="193"/>
      <c r="E700" s="193"/>
      <c r="F700" s="193"/>
      <c r="G700" s="193"/>
      <c r="H700" s="81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</row>
    <row r="701" spans="1:19" ht="15.6">
      <c r="A701" s="193"/>
      <c r="B701" s="193"/>
      <c r="C701" s="193"/>
      <c r="D701" s="193"/>
      <c r="E701" s="193"/>
      <c r="F701" s="193"/>
      <c r="G701" s="193"/>
      <c r="H701" s="81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</row>
    <row r="702" spans="1:19" ht="15.6">
      <c r="A702" s="193"/>
      <c r="B702" s="193"/>
      <c r="C702" s="193"/>
      <c r="D702" s="193"/>
      <c r="E702" s="193"/>
      <c r="F702" s="193"/>
      <c r="G702" s="193"/>
      <c r="H702" s="81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</row>
    <row r="703" spans="1:19" ht="15.6">
      <c r="A703" s="193"/>
      <c r="B703" s="193"/>
      <c r="C703" s="193"/>
      <c r="D703" s="193"/>
      <c r="E703" s="193"/>
      <c r="F703" s="193"/>
      <c r="G703" s="193"/>
      <c r="H703" s="81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</row>
    <row r="704" spans="1:19" ht="15.6">
      <c r="A704" s="193"/>
      <c r="B704" s="193"/>
      <c r="C704" s="193"/>
      <c r="D704" s="193"/>
      <c r="E704" s="193"/>
      <c r="F704" s="193"/>
      <c r="G704" s="193"/>
      <c r="H704" s="81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</row>
    <row r="705" spans="1:19" ht="15.6">
      <c r="A705" s="193"/>
      <c r="B705" s="193"/>
      <c r="C705" s="193"/>
      <c r="D705" s="193"/>
      <c r="E705" s="193"/>
      <c r="F705" s="193"/>
      <c r="G705" s="193"/>
      <c r="H705" s="81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</row>
    <row r="706" spans="1:19" ht="15.6">
      <c r="A706" s="193"/>
      <c r="B706" s="193"/>
      <c r="C706" s="193"/>
      <c r="D706" s="193"/>
      <c r="E706" s="193"/>
      <c r="F706" s="193"/>
      <c r="G706" s="193"/>
      <c r="H706" s="81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</row>
    <row r="707" spans="1:19" ht="15.6">
      <c r="A707" s="193"/>
      <c r="B707" s="193"/>
      <c r="C707" s="193"/>
      <c r="D707" s="193"/>
      <c r="E707" s="193"/>
      <c r="F707" s="193"/>
      <c r="G707" s="193"/>
      <c r="H707" s="81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</row>
    <row r="708" spans="1:19" ht="15.6">
      <c r="A708" s="193"/>
      <c r="B708" s="193"/>
      <c r="C708" s="193"/>
      <c r="D708" s="193"/>
      <c r="E708" s="193"/>
      <c r="F708" s="193"/>
      <c r="G708" s="193"/>
      <c r="H708" s="81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</row>
    <row r="709" spans="1:19" ht="15.6">
      <c r="A709" s="193"/>
      <c r="B709" s="193"/>
      <c r="C709" s="193"/>
      <c r="D709" s="193"/>
      <c r="E709" s="193"/>
      <c r="F709" s="193"/>
      <c r="G709" s="193"/>
      <c r="H709" s="81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</row>
    <row r="710" spans="1:19" ht="15.6">
      <c r="A710" s="193"/>
      <c r="B710" s="193"/>
      <c r="C710" s="193"/>
      <c r="D710" s="193"/>
      <c r="E710" s="193"/>
      <c r="F710" s="193"/>
      <c r="G710" s="193"/>
      <c r="H710" s="81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</row>
    <row r="711" spans="1:19" ht="15.6">
      <c r="A711" s="193"/>
      <c r="B711" s="193"/>
      <c r="C711" s="193"/>
      <c r="D711" s="193"/>
      <c r="E711" s="193"/>
      <c r="F711" s="193"/>
      <c r="G711" s="193"/>
      <c r="H711" s="81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</row>
    <row r="712" spans="1:19" ht="15.6">
      <c r="A712" s="193"/>
      <c r="B712" s="193"/>
      <c r="C712" s="193"/>
      <c r="D712" s="193"/>
      <c r="E712" s="193"/>
      <c r="F712" s="193"/>
      <c r="G712" s="193"/>
      <c r="H712" s="81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</row>
    <row r="713" spans="1:19" ht="15.6">
      <c r="A713" s="193"/>
      <c r="B713" s="193"/>
      <c r="C713" s="193"/>
      <c r="D713" s="193"/>
      <c r="E713" s="193"/>
      <c r="F713" s="193"/>
      <c r="G713" s="193"/>
      <c r="H713" s="81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</row>
    <row r="714" spans="1:19" ht="15.6">
      <c r="A714" s="193"/>
      <c r="B714" s="193"/>
      <c r="C714" s="193"/>
      <c r="D714" s="193"/>
      <c r="E714" s="193"/>
      <c r="F714" s="193"/>
      <c r="G714" s="193"/>
      <c r="H714" s="81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</row>
    <row r="715" spans="1:19" ht="15.6">
      <c r="A715" s="193"/>
      <c r="B715" s="193"/>
      <c r="C715" s="193"/>
      <c r="D715" s="193"/>
      <c r="E715" s="193"/>
      <c r="F715" s="193"/>
      <c r="G715" s="193"/>
      <c r="H715" s="81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</row>
    <row r="716" spans="1:19" ht="15.6">
      <c r="A716" s="193"/>
      <c r="B716" s="193"/>
      <c r="C716" s="193"/>
      <c r="D716" s="193"/>
      <c r="E716" s="193"/>
      <c r="F716" s="193"/>
      <c r="G716" s="193"/>
      <c r="H716" s="81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</row>
    <row r="717" spans="1:19" ht="15.6">
      <c r="A717" s="193"/>
      <c r="B717" s="193"/>
      <c r="C717" s="193"/>
      <c r="D717" s="193"/>
      <c r="E717" s="193"/>
      <c r="F717" s="193"/>
      <c r="G717" s="193"/>
      <c r="H717" s="81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</row>
    <row r="718" spans="1:19" ht="15.6">
      <c r="A718" s="193"/>
      <c r="B718" s="193"/>
      <c r="C718" s="193"/>
      <c r="D718" s="193"/>
      <c r="E718" s="193"/>
      <c r="F718" s="193"/>
      <c r="G718" s="193"/>
      <c r="H718" s="81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</row>
    <row r="719" spans="1:19" ht="15.6">
      <c r="A719" s="193"/>
      <c r="B719" s="193"/>
      <c r="C719" s="193"/>
      <c r="D719" s="193"/>
      <c r="E719" s="193"/>
      <c r="F719" s="193"/>
      <c r="G719" s="193"/>
      <c r="H719" s="81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</row>
    <row r="720" spans="1:19" ht="15.6">
      <c r="A720" s="193"/>
      <c r="B720" s="193"/>
      <c r="C720" s="193"/>
      <c r="D720" s="193"/>
      <c r="E720" s="193"/>
      <c r="F720" s="193"/>
      <c r="G720" s="193"/>
      <c r="H720" s="81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</row>
    <row r="721" spans="1:19" ht="15.6">
      <c r="A721" s="193"/>
      <c r="B721" s="193"/>
      <c r="C721" s="193"/>
      <c r="D721" s="193"/>
      <c r="E721" s="193"/>
      <c r="F721" s="193"/>
      <c r="G721" s="193"/>
      <c r="H721" s="81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</row>
    <row r="722" spans="1:19" ht="15.6">
      <c r="A722" s="193"/>
      <c r="B722" s="193"/>
      <c r="C722" s="193"/>
      <c r="D722" s="193"/>
      <c r="E722" s="193"/>
      <c r="F722" s="193"/>
      <c r="G722" s="193"/>
      <c r="H722" s="81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</row>
    <row r="723" spans="1:19" ht="15.6">
      <c r="A723" s="193"/>
      <c r="B723" s="193"/>
      <c r="C723" s="193"/>
      <c r="D723" s="193"/>
      <c r="E723" s="193"/>
      <c r="F723" s="193"/>
      <c r="G723" s="193"/>
      <c r="H723" s="81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</row>
    <row r="724" spans="1:19" ht="15.6">
      <c r="A724" s="193"/>
      <c r="B724" s="193"/>
      <c r="C724" s="193"/>
      <c r="D724" s="193"/>
      <c r="E724" s="193"/>
      <c r="F724" s="193"/>
      <c r="G724" s="193"/>
      <c r="H724" s="81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</row>
    <row r="725" spans="1:19" ht="15.6">
      <c r="A725" s="193"/>
      <c r="B725" s="193"/>
      <c r="C725" s="193"/>
      <c r="D725" s="193"/>
      <c r="E725" s="193"/>
      <c r="F725" s="193"/>
      <c r="G725" s="193"/>
      <c r="H725" s="81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</row>
    <row r="726" spans="1:19" ht="15.6">
      <c r="A726" s="193"/>
      <c r="B726" s="193"/>
      <c r="C726" s="193"/>
      <c r="D726" s="193"/>
      <c r="E726" s="193"/>
      <c r="F726" s="193"/>
      <c r="G726" s="193"/>
      <c r="H726" s="81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</row>
    <row r="727" spans="1:19" ht="15.6">
      <c r="A727" s="193"/>
      <c r="B727" s="193"/>
      <c r="C727" s="193"/>
      <c r="D727" s="193"/>
      <c r="E727" s="193"/>
      <c r="F727" s="193"/>
      <c r="G727" s="193"/>
      <c r="H727" s="81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</row>
    <row r="728" spans="1:19" ht="15.6">
      <c r="A728" s="193"/>
      <c r="B728" s="193"/>
      <c r="C728" s="193"/>
      <c r="D728" s="193"/>
      <c r="E728" s="193"/>
      <c r="F728" s="193"/>
      <c r="G728" s="193"/>
      <c r="H728" s="81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</row>
    <row r="729" spans="1:19" ht="15.6">
      <c r="A729" s="193"/>
      <c r="B729" s="193"/>
      <c r="C729" s="193"/>
      <c r="D729" s="193"/>
      <c r="E729" s="193"/>
      <c r="F729" s="193"/>
      <c r="G729" s="193"/>
      <c r="H729" s="81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</row>
    <row r="730" spans="1:19" ht="15.6">
      <c r="A730" s="193"/>
      <c r="B730" s="193"/>
      <c r="C730" s="193"/>
      <c r="D730" s="193"/>
      <c r="E730" s="193"/>
      <c r="F730" s="193"/>
      <c r="G730" s="193"/>
      <c r="H730" s="81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</row>
    <row r="731" spans="1:19" ht="15.6">
      <c r="A731" s="193"/>
      <c r="B731" s="193"/>
      <c r="C731" s="193"/>
      <c r="D731" s="193"/>
      <c r="E731" s="193"/>
      <c r="F731" s="193"/>
      <c r="G731" s="193"/>
      <c r="H731" s="81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</row>
    <row r="732" spans="1:19" ht="15.6">
      <c r="A732" s="193"/>
      <c r="B732" s="193"/>
      <c r="C732" s="193"/>
      <c r="D732" s="193"/>
      <c r="E732" s="193"/>
      <c r="F732" s="193"/>
      <c r="G732" s="193"/>
      <c r="H732" s="81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</row>
    <row r="733" spans="1:19" ht="15.6">
      <c r="A733" s="193"/>
      <c r="B733" s="193"/>
      <c r="C733" s="193"/>
      <c r="D733" s="193"/>
      <c r="E733" s="193"/>
      <c r="F733" s="193"/>
      <c r="G733" s="193"/>
      <c r="H733" s="81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</row>
    <row r="734" spans="1:19" ht="15.6">
      <c r="A734" s="193"/>
      <c r="B734" s="193"/>
      <c r="C734" s="193"/>
      <c r="D734" s="193"/>
      <c r="E734" s="193"/>
      <c r="F734" s="193"/>
      <c r="G734" s="193"/>
      <c r="H734" s="81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</row>
    <row r="735" spans="1:19" ht="15.6">
      <c r="A735" s="193"/>
      <c r="B735" s="193"/>
      <c r="C735" s="193"/>
      <c r="D735" s="193"/>
      <c r="E735" s="193"/>
      <c r="F735" s="193"/>
      <c r="G735" s="193"/>
      <c r="H735" s="81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</row>
    <row r="736" spans="1:19" ht="15.6">
      <c r="A736" s="193"/>
      <c r="B736" s="193"/>
      <c r="C736" s="193"/>
      <c r="D736" s="193"/>
      <c r="E736" s="193"/>
      <c r="F736" s="193"/>
      <c r="G736" s="193"/>
      <c r="H736" s="81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</row>
    <row r="737" spans="1:19" ht="15.6">
      <c r="A737" s="193"/>
      <c r="B737" s="193"/>
      <c r="C737" s="193"/>
      <c r="D737" s="193"/>
      <c r="E737" s="193"/>
      <c r="F737" s="193"/>
      <c r="G737" s="193"/>
      <c r="H737" s="81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</row>
    <row r="738" spans="1:19" ht="15.6">
      <c r="A738" s="193"/>
      <c r="B738" s="193"/>
      <c r="C738" s="193"/>
      <c r="D738" s="193"/>
      <c r="E738" s="193"/>
      <c r="F738" s="193"/>
      <c r="G738" s="193"/>
      <c r="H738" s="81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</row>
    <row r="739" spans="1:19" ht="15.6">
      <c r="A739" s="193"/>
      <c r="B739" s="193"/>
      <c r="C739" s="193"/>
      <c r="D739" s="193"/>
      <c r="E739" s="193"/>
      <c r="F739" s="193"/>
      <c r="G739" s="193"/>
      <c r="H739" s="81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</row>
    <row r="740" spans="1:19" ht="15.6">
      <c r="A740" s="193"/>
      <c r="B740" s="193"/>
      <c r="C740" s="193"/>
      <c r="D740" s="193"/>
      <c r="E740" s="193"/>
      <c r="F740" s="193"/>
      <c r="G740" s="193"/>
      <c r="H740" s="81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</row>
    <row r="741" spans="1:19" ht="15.6">
      <c r="A741" s="193"/>
      <c r="B741" s="193"/>
      <c r="C741" s="193"/>
      <c r="D741" s="193"/>
      <c r="E741" s="193"/>
      <c r="F741" s="193"/>
      <c r="G741" s="193"/>
      <c r="H741" s="81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</row>
    <row r="742" spans="1:19" ht="15.6">
      <c r="A742" s="193"/>
      <c r="B742" s="193"/>
      <c r="C742" s="193"/>
      <c r="D742" s="193"/>
      <c r="E742" s="193"/>
      <c r="F742" s="193"/>
      <c r="G742" s="193"/>
      <c r="H742" s="81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</row>
    <row r="743" spans="1:19" ht="15.6">
      <c r="A743" s="193"/>
      <c r="B743" s="193"/>
      <c r="C743" s="193"/>
      <c r="D743" s="193"/>
      <c r="E743" s="193"/>
      <c r="F743" s="193"/>
      <c r="G743" s="193"/>
      <c r="H743" s="81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</row>
    <row r="744" spans="1:19" ht="15.6">
      <c r="A744" s="193"/>
      <c r="B744" s="193"/>
      <c r="C744" s="193"/>
      <c r="D744" s="193"/>
      <c r="E744" s="193"/>
      <c r="F744" s="193"/>
      <c r="G744" s="193"/>
      <c r="H744" s="81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</row>
    <row r="745" spans="1:19" ht="15.6">
      <c r="A745" s="193"/>
      <c r="B745" s="193"/>
      <c r="C745" s="193"/>
      <c r="D745" s="193"/>
      <c r="E745" s="193"/>
      <c r="F745" s="193"/>
      <c r="G745" s="193"/>
      <c r="H745" s="81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</row>
    <row r="746" spans="1:19" ht="15.6">
      <c r="A746" s="193"/>
      <c r="B746" s="193"/>
      <c r="C746" s="193"/>
      <c r="D746" s="193"/>
      <c r="E746" s="193"/>
      <c r="F746" s="193"/>
      <c r="G746" s="193"/>
      <c r="H746" s="81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</row>
    <row r="747" spans="1:19" ht="15.6">
      <c r="A747" s="193"/>
      <c r="B747" s="193"/>
      <c r="C747" s="193"/>
      <c r="D747" s="193"/>
      <c r="E747" s="193"/>
      <c r="F747" s="193"/>
      <c r="G747" s="193"/>
      <c r="H747" s="81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</row>
    <row r="748" spans="1:19" ht="15.6">
      <c r="A748" s="193"/>
      <c r="B748" s="193"/>
      <c r="C748" s="193"/>
      <c r="D748" s="193"/>
      <c r="E748" s="193"/>
      <c r="F748" s="193"/>
      <c r="G748" s="193"/>
      <c r="H748" s="81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</row>
    <row r="749" spans="1:19" ht="15.6">
      <c r="A749" s="193"/>
      <c r="B749" s="193"/>
      <c r="C749" s="193"/>
      <c r="D749" s="193"/>
      <c r="E749" s="193"/>
      <c r="F749" s="193"/>
      <c r="G749" s="193"/>
      <c r="H749" s="81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</row>
    <row r="750" spans="1:19" ht="15.6">
      <c r="A750" s="193"/>
      <c r="B750" s="193"/>
      <c r="C750" s="193"/>
      <c r="D750" s="193"/>
      <c r="E750" s="193"/>
      <c r="F750" s="193"/>
      <c r="G750" s="193"/>
      <c r="H750" s="81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</row>
    <row r="751" spans="1:19" ht="15.6">
      <c r="A751" s="193"/>
      <c r="B751" s="193"/>
      <c r="C751" s="193"/>
      <c r="D751" s="193"/>
      <c r="E751" s="193"/>
      <c r="F751" s="193"/>
      <c r="G751" s="193"/>
      <c r="H751" s="81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</row>
    <row r="752" spans="1:19" ht="15.6">
      <c r="A752" s="193"/>
      <c r="B752" s="193"/>
      <c r="C752" s="193"/>
      <c r="D752" s="193"/>
      <c r="E752" s="193"/>
      <c r="F752" s="193"/>
      <c r="G752" s="193"/>
      <c r="H752" s="81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</row>
    <row r="753" spans="1:19" ht="15.6">
      <c r="A753" s="193"/>
      <c r="B753" s="193"/>
      <c r="C753" s="193"/>
      <c r="D753" s="193"/>
      <c r="E753" s="193"/>
      <c r="F753" s="193"/>
      <c r="G753" s="193"/>
      <c r="H753" s="81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</row>
    <row r="754" spans="1:19" ht="15.6">
      <c r="A754" s="193"/>
      <c r="B754" s="193"/>
      <c r="C754" s="193"/>
      <c r="D754" s="193"/>
      <c r="E754" s="193"/>
      <c r="F754" s="193"/>
      <c r="G754" s="193"/>
      <c r="H754" s="81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</row>
    <row r="755" spans="1:19" ht="15.6">
      <c r="A755" s="193"/>
      <c r="B755" s="193"/>
      <c r="C755" s="193"/>
      <c r="D755" s="193"/>
      <c r="E755" s="193"/>
      <c r="F755" s="193"/>
      <c r="G755" s="193"/>
      <c r="H755" s="81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</row>
    <row r="756" spans="1:19" ht="15.6">
      <c r="A756" s="193"/>
      <c r="B756" s="193"/>
      <c r="C756" s="193"/>
      <c r="D756" s="193"/>
      <c r="E756" s="193"/>
      <c r="F756" s="193"/>
      <c r="G756" s="193"/>
      <c r="H756" s="81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</row>
    <row r="757" spans="1:19" ht="15.6">
      <c r="A757" s="193"/>
      <c r="B757" s="193"/>
      <c r="C757" s="193"/>
      <c r="D757" s="193"/>
      <c r="E757" s="193"/>
      <c r="F757" s="193"/>
      <c r="G757" s="193"/>
      <c r="H757" s="81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</row>
    <row r="758" spans="1:19" ht="15.6">
      <c r="A758" s="193"/>
      <c r="B758" s="193"/>
      <c r="C758" s="193"/>
      <c r="D758" s="193"/>
      <c r="E758" s="193"/>
      <c r="F758" s="193"/>
      <c r="G758" s="193"/>
      <c r="H758" s="81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</row>
    <row r="759" spans="1:19" ht="15.6">
      <c r="A759" s="193"/>
      <c r="B759" s="193"/>
      <c r="C759" s="193"/>
      <c r="D759" s="193"/>
      <c r="E759" s="193"/>
      <c r="F759" s="193"/>
      <c r="G759" s="193"/>
      <c r="H759" s="81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</row>
    <row r="760" spans="1:19" ht="15.6">
      <c r="A760" s="193"/>
      <c r="B760" s="193"/>
      <c r="C760" s="193"/>
      <c r="D760" s="193"/>
      <c r="E760" s="193"/>
      <c r="F760" s="193"/>
      <c r="G760" s="193"/>
      <c r="H760" s="81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</row>
    <row r="761" spans="1:19" ht="15.6">
      <c r="A761" s="193"/>
      <c r="B761" s="193"/>
      <c r="C761" s="193"/>
      <c r="D761" s="193"/>
      <c r="E761" s="193"/>
      <c r="F761" s="193"/>
      <c r="G761" s="193"/>
      <c r="H761" s="81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</row>
    <row r="762" spans="1:19" ht="15.6">
      <c r="A762" s="193"/>
      <c r="B762" s="193"/>
      <c r="C762" s="193"/>
      <c r="D762" s="193"/>
      <c r="E762" s="193"/>
      <c r="F762" s="193"/>
      <c r="G762" s="193"/>
      <c r="H762" s="81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</row>
    <row r="763" spans="1:19" ht="15.6">
      <c r="A763" s="193"/>
      <c r="B763" s="193"/>
      <c r="C763" s="193"/>
      <c r="D763" s="193"/>
      <c r="E763" s="193"/>
      <c r="F763" s="193"/>
      <c r="G763" s="193"/>
      <c r="H763" s="81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</row>
    <row r="764" spans="1:19" ht="15.6">
      <c r="A764" s="193"/>
      <c r="B764" s="193"/>
      <c r="C764" s="193"/>
      <c r="D764" s="193"/>
      <c r="E764" s="193"/>
      <c r="F764" s="193"/>
      <c r="G764" s="193"/>
      <c r="H764" s="81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</row>
    <row r="765" spans="1:19" ht="15.6">
      <c r="A765" s="193"/>
      <c r="B765" s="193"/>
      <c r="C765" s="193"/>
      <c r="D765" s="193"/>
      <c r="E765" s="193"/>
      <c r="F765" s="193"/>
      <c r="G765" s="193"/>
      <c r="H765" s="81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</row>
    <row r="766" spans="1:19" ht="15.6">
      <c r="A766" s="193"/>
      <c r="B766" s="193"/>
      <c r="C766" s="193"/>
      <c r="D766" s="193"/>
      <c r="E766" s="193"/>
      <c r="F766" s="193"/>
      <c r="G766" s="193"/>
      <c r="H766" s="81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</row>
    <row r="767" spans="1:19" ht="15.6">
      <c r="A767" s="193"/>
      <c r="B767" s="193"/>
      <c r="C767" s="193"/>
      <c r="D767" s="193"/>
      <c r="E767" s="193"/>
      <c r="F767" s="193"/>
      <c r="G767" s="193"/>
      <c r="H767" s="81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</row>
    <row r="768" spans="1:19" ht="15.6">
      <c r="A768" s="193"/>
      <c r="B768" s="193"/>
      <c r="C768" s="193"/>
      <c r="D768" s="193"/>
      <c r="E768" s="193"/>
      <c r="F768" s="193"/>
      <c r="G768" s="193"/>
      <c r="H768" s="81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</row>
    <row r="769" spans="1:19" ht="15.6">
      <c r="A769" s="193"/>
      <c r="B769" s="193"/>
      <c r="C769" s="193"/>
      <c r="D769" s="193"/>
      <c r="E769" s="193"/>
      <c r="F769" s="193"/>
      <c r="G769" s="193"/>
      <c r="H769" s="81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</row>
    <row r="770" spans="1:19" ht="15.6">
      <c r="A770" s="193"/>
      <c r="B770" s="193"/>
      <c r="C770" s="193"/>
      <c r="D770" s="193"/>
      <c r="E770" s="193"/>
      <c r="F770" s="193"/>
      <c r="G770" s="193"/>
      <c r="H770" s="81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</row>
    <row r="771" spans="1:19" ht="15.6">
      <c r="A771" s="193"/>
      <c r="B771" s="193"/>
      <c r="C771" s="193"/>
      <c r="D771" s="193"/>
      <c r="E771" s="193"/>
      <c r="F771" s="193"/>
      <c r="G771" s="193"/>
      <c r="H771" s="81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</row>
    <row r="772" spans="1:19" ht="15.6">
      <c r="A772" s="193"/>
      <c r="B772" s="193"/>
      <c r="C772" s="193"/>
      <c r="D772" s="193"/>
      <c r="E772" s="193"/>
      <c r="F772" s="193"/>
      <c r="G772" s="193"/>
      <c r="H772" s="81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</row>
    <row r="773" spans="1:19" ht="15.6">
      <c r="A773" s="193"/>
      <c r="B773" s="193"/>
      <c r="C773" s="193"/>
      <c r="D773" s="193"/>
      <c r="E773" s="193"/>
      <c r="F773" s="193"/>
      <c r="G773" s="193"/>
      <c r="H773" s="81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</row>
    <row r="774" spans="1:19" ht="15.6">
      <c r="A774" s="193"/>
      <c r="B774" s="193"/>
      <c r="C774" s="193"/>
      <c r="D774" s="193"/>
      <c r="E774" s="193"/>
      <c r="F774" s="193"/>
      <c r="G774" s="193"/>
      <c r="H774" s="81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</row>
    <row r="775" spans="1:19" ht="15.6">
      <c r="A775" s="193"/>
      <c r="B775" s="193"/>
      <c r="C775" s="193"/>
      <c r="D775" s="193"/>
      <c r="E775" s="193"/>
      <c r="F775" s="193"/>
      <c r="G775" s="193"/>
      <c r="H775" s="81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</row>
    <row r="776" spans="1:19" ht="15.6">
      <c r="A776" s="193"/>
      <c r="B776" s="193"/>
      <c r="C776" s="193"/>
      <c r="D776" s="193"/>
      <c r="E776" s="193"/>
      <c r="F776" s="193"/>
      <c r="G776" s="193"/>
      <c r="H776" s="81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</row>
    <row r="777" spans="1:19" ht="15.6">
      <c r="A777" s="193"/>
      <c r="B777" s="193"/>
      <c r="C777" s="193"/>
      <c r="D777" s="193"/>
      <c r="E777" s="193"/>
      <c r="F777" s="193"/>
      <c r="G777" s="193"/>
      <c r="H777" s="81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</row>
    <row r="778" spans="1:19" ht="15.6">
      <c r="A778" s="193"/>
      <c r="B778" s="193"/>
      <c r="C778" s="193"/>
      <c r="D778" s="193"/>
      <c r="E778" s="193"/>
      <c r="F778" s="193"/>
      <c r="G778" s="193"/>
      <c r="H778" s="81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</row>
    <row r="779" spans="1:19" ht="15.6">
      <c r="A779" s="193"/>
      <c r="B779" s="193"/>
      <c r="C779" s="193"/>
      <c r="D779" s="193"/>
      <c r="E779" s="193"/>
      <c r="F779" s="193"/>
      <c r="G779" s="193"/>
      <c r="H779" s="81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</row>
    <row r="780" spans="1:19" ht="15.6">
      <c r="A780" s="193"/>
      <c r="B780" s="193"/>
      <c r="C780" s="193"/>
      <c r="D780" s="193"/>
      <c r="E780" s="193"/>
      <c r="F780" s="193"/>
      <c r="G780" s="193"/>
      <c r="H780" s="81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</row>
    <row r="781" spans="1:19" ht="15.6">
      <c r="A781" s="193"/>
      <c r="B781" s="193"/>
      <c r="C781" s="193"/>
      <c r="D781" s="193"/>
      <c r="E781" s="193"/>
      <c r="F781" s="193"/>
      <c r="G781" s="193"/>
      <c r="H781" s="81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</row>
    <row r="782" spans="1:19" ht="15.6">
      <c r="A782" s="193"/>
      <c r="B782" s="193"/>
      <c r="C782" s="193"/>
      <c r="D782" s="193"/>
      <c r="E782" s="193"/>
      <c r="F782" s="193"/>
      <c r="G782" s="193"/>
      <c r="H782" s="81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</row>
    <row r="783" spans="1:19" ht="15.6">
      <c r="A783" s="193"/>
      <c r="B783" s="193"/>
      <c r="C783" s="193"/>
      <c r="D783" s="193"/>
      <c r="E783" s="193"/>
      <c r="F783" s="193"/>
      <c r="G783" s="193"/>
      <c r="H783" s="81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</row>
    <row r="784" spans="1:19" ht="15.6">
      <c r="A784" s="193"/>
      <c r="B784" s="193"/>
      <c r="C784" s="193"/>
      <c r="D784" s="193"/>
      <c r="E784" s="193"/>
      <c r="F784" s="193"/>
      <c r="G784" s="193"/>
      <c r="H784" s="81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</row>
    <row r="785" spans="1:19" ht="15.6">
      <c r="A785" s="193"/>
      <c r="B785" s="193"/>
      <c r="C785" s="193"/>
      <c r="D785" s="193"/>
      <c r="E785" s="193"/>
      <c r="F785" s="193"/>
      <c r="G785" s="193"/>
      <c r="H785" s="81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</row>
    <row r="786" spans="1:19" ht="15.6">
      <c r="A786" s="193"/>
      <c r="B786" s="193"/>
      <c r="C786" s="193"/>
      <c r="D786" s="193"/>
      <c r="E786" s="193"/>
      <c r="F786" s="193"/>
      <c r="G786" s="193"/>
      <c r="H786" s="81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</row>
    <row r="787" spans="1:19" ht="15.6">
      <c r="A787" s="193"/>
      <c r="B787" s="193"/>
      <c r="C787" s="193"/>
      <c r="D787" s="193"/>
      <c r="E787" s="193"/>
      <c r="F787" s="193"/>
      <c r="G787" s="193"/>
      <c r="H787" s="81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</row>
    <row r="788" spans="1:19" ht="15.6">
      <c r="A788" s="193"/>
      <c r="B788" s="193"/>
      <c r="C788" s="193"/>
      <c r="D788" s="193"/>
      <c r="E788" s="193"/>
      <c r="F788" s="193"/>
      <c r="G788" s="193"/>
      <c r="H788" s="81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</row>
    <row r="789" spans="1:19" ht="15.6">
      <c r="A789" s="193"/>
      <c r="B789" s="193"/>
      <c r="C789" s="193"/>
      <c r="D789" s="193"/>
      <c r="E789" s="193"/>
      <c r="F789" s="193"/>
      <c r="G789" s="193"/>
      <c r="H789" s="81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</row>
    <row r="790" spans="1:19" ht="15.6">
      <c r="A790" s="193"/>
      <c r="B790" s="193"/>
      <c r="C790" s="193"/>
      <c r="D790" s="193"/>
      <c r="E790" s="193"/>
      <c r="F790" s="193"/>
      <c r="G790" s="193"/>
      <c r="H790" s="81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</row>
    <row r="791" spans="1:19" ht="15.6">
      <c r="A791" s="193"/>
      <c r="B791" s="193"/>
      <c r="C791" s="193"/>
      <c r="D791" s="193"/>
      <c r="E791" s="193"/>
      <c r="F791" s="193"/>
      <c r="G791" s="193"/>
      <c r="H791" s="81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</row>
    <row r="792" spans="1:19" ht="15.6">
      <c r="A792" s="193"/>
      <c r="B792" s="193"/>
      <c r="C792" s="193"/>
      <c r="D792" s="193"/>
      <c r="E792" s="193"/>
      <c r="F792" s="193"/>
      <c r="G792" s="193"/>
      <c r="H792" s="81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</row>
    <row r="793" spans="1:19" ht="15.6">
      <c r="A793" s="193"/>
      <c r="B793" s="193"/>
      <c r="C793" s="193"/>
      <c r="D793" s="193"/>
      <c r="E793" s="193"/>
      <c r="F793" s="193"/>
      <c r="G793" s="193"/>
      <c r="H793" s="81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</row>
    <row r="794" spans="1:19" ht="15.6">
      <c r="A794" s="193"/>
      <c r="B794" s="193"/>
      <c r="C794" s="193"/>
      <c r="D794" s="193"/>
      <c r="E794" s="193"/>
      <c r="F794" s="193"/>
      <c r="G794" s="193"/>
      <c r="H794" s="81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</row>
    <row r="795" spans="1:19" ht="15.6">
      <c r="A795" s="193"/>
      <c r="B795" s="193"/>
      <c r="C795" s="193"/>
      <c r="D795" s="193"/>
      <c r="E795" s="193"/>
      <c r="F795" s="193"/>
      <c r="G795" s="193"/>
      <c r="H795" s="81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</row>
    <row r="796" spans="1:19" ht="15.6">
      <c r="A796" s="193"/>
      <c r="B796" s="193"/>
      <c r="C796" s="193"/>
      <c r="D796" s="193"/>
      <c r="E796" s="193"/>
      <c r="F796" s="193"/>
      <c r="G796" s="193"/>
      <c r="H796" s="81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</row>
    <row r="797" spans="1:19" ht="15.6">
      <c r="A797" s="193"/>
      <c r="B797" s="193"/>
      <c r="C797" s="193"/>
      <c r="D797" s="193"/>
      <c r="E797" s="193"/>
      <c r="F797" s="193"/>
      <c r="G797" s="193"/>
      <c r="H797" s="81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</row>
    <row r="798" spans="1:19" ht="15.6">
      <c r="A798" s="193"/>
      <c r="B798" s="193"/>
      <c r="C798" s="193"/>
      <c r="D798" s="193"/>
      <c r="E798" s="193"/>
      <c r="F798" s="193"/>
      <c r="G798" s="193"/>
      <c r="H798" s="81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</row>
    <row r="799" spans="1:19" ht="15.6">
      <c r="A799" s="193"/>
      <c r="B799" s="193"/>
      <c r="C799" s="193"/>
      <c r="D799" s="193"/>
      <c r="E799" s="193"/>
      <c r="F799" s="193"/>
      <c r="G799" s="193"/>
      <c r="H799" s="81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</row>
    <row r="800" spans="1:19" ht="15.6">
      <c r="A800" s="193"/>
      <c r="B800" s="193"/>
      <c r="C800" s="193"/>
      <c r="D800" s="193"/>
      <c r="E800" s="193"/>
      <c r="F800" s="193"/>
      <c r="G800" s="193"/>
      <c r="H800" s="81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</row>
    <row r="801" spans="1:19" ht="15.6">
      <c r="A801" s="193"/>
      <c r="B801" s="193"/>
      <c r="C801" s="193"/>
      <c r="D801" s="193"/>
      <c r="E801" s="193"/>
      <c r="F801" s="193"/>
      <c r="G801" s="193"/>
      <c r="H801" s="81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</row>
    <row r="802" spans="1:19" ht="15.6">
      <c r="A802" s="193"/>
      <c r="B802" s="193"/>
      <c r="C802" s="193"/>
      <c r="D802" s="193"/>
      <c r="E802" s="193"/>
      <c r="F802" s="193"/>
      <c r="G802" s="193"/>
      <c r="H802" s="81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</row>
    <row r="803" spans="1:19" ht="15.6">
      <c r="A803" s="193"/>
      <c r="B803" s="193"/>
      <c r="C803" s="193"/>
      <c r="D803" s="193"/>
      <c r="E803" s="193"/>
      <c r="F803" s="193"/>
      <c r="G803" s="193"/>
      <c r="H803" s="81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</row>
    <row r="804" spans="1:19" ht="15.6">
      <c r="A804" s="193"/>
      <c r="B804" s="193"/>
      <c r="C804" s="193"/>
      <c r="D804" s="193"/>
      <c r="E804" s="193"/>
      <c r="F804" s="193"/>
      <c r="G804" s="193"/>
      <c r="H804" s="81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</row>
    <row r="805" spans="1:19" ht="15.6">
      <c r="A805" s="193"/>
      <c r="B805" s="193"/>
      <c r="C805" s="193"/>
      <c r="D805" s="193"/>
      <c r="E805" s="193"/>
      <c r="F805" s="193"/>
      <c r="G805" s="193"/>
      <c r="H805" s="81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</row>
    <row r="806" spans="1:19" ht="15.6">
      <c r="A806" s="193"/>
      <c r="B806" s="193"/>
      <c r="C806" s="193"/>
      <c r="D806" s="193"/>
      <c r="E806" s="193"/>
      <c r="F806" s="193"/>
      <c r="G806" s="193"/>
      <c r="H806" s="81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</row>
    <row r="807" spans="1:19" ht="15.6">
      <c r="A807" s="193"/>
      <c r="B807" s="193"/>
      <c r="C807" s="193"/>
      <c r="D807" s="193"/>
      <c r="E807" s="193"/>
      <c r="F807" s="193"/>
      <c r="G807" s="193"/>
      <c r="H807" s="81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</row>
    <row r="808" spans="1:19" ht="15.6">
      <c r="A808" s="193"/>
      <c r="B808" s="193"/>
      <c r="C808" s="193"/>
      <c r="D808" s="193"/>
      <c r="E808" s="193"/>
      <c r="F808" s="193"/>
      <c r="G808" s="193"/>
      <c r="H808" s="81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</row>
    <row r="809" spans="1:19" ht="15.6">
      <c r="A809" s="193"/>
      <c r="B809" s="193"/>
      <c r="C809" s="193"/>
      <c r="D809" s="193"/>
      <c r="E809" s="193"/>
      <c r="F809" s="193"/>
      <c r="G809" s="193"/>
      <c r="H809" s="81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</row>
    <row r="810" spans="1:19" ht="15.6">
      <c r="A810" s="193"/>
      <c r="B810" s="193"/>
      <c r="C810" s="193"/>
      <c r="D810" s="193"/>
      <c r="E810" s="193"/>
      <c r="F810" s="193"/>
      <c r="G810" s="193"/>
      <c r="H810" s="81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</row>
    <row r="811" spans="1:19" ht="15.6">
      <c r="A811" s="193"/>
      <c r="B811" s="193"/>
      <c r="C811" s="193"/>
      <c r="D811" s="193"/>
      <c r="E811" s="193"/>
      <c r="F811" s="193"/>
      <c r="G811" s="193"/>
      <c r="H811" s="81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</row>
    <row r="812" spans="1:19" ht="15.6">
      <c r="A812" s="193"/>
      <c r="B812" s="193"/>
      <c r="C812" s="193"/>
      <c r="D812" s="193"/>
      <c r="E812" s="193"/>
      <c r="F812" s="193"/>
      <c r="G812" s="193"/>
      <c r="H812" s="81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</row>
    <row r="813" spans="1:19" ht="15.6">
      <c r="A813" s="193"/>
      <c r="B813" s="193"/>
      <c r="C813" s="193"/>
      <c r="D813" s="193"/>
      <c r="E813" s="193"/>
      <c r="F813" s="193"/>
      <c r="G813" s="193"/>
      <c r="H813" s="81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</row>
    <row r="814" spans="1:19" ht="15.6">
      <c r="A814" s="193"/>
      <c r="B814" s="193"/>
      <c r="C814" s="193"/>
      <c r="D814" s="193"/>
      <c r="E814" s="193"/>
      <c r="F814" s="193"/>
      <c r="G814" s="193"/>
      <c r="H814" s="81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</row>
    <row r="815" spans="1:19" ht="15.6">
      <c r="A815" s="193"/>
      <c r="B815" s="193"/>
      <c r="C815" s="193"/>
      <c r="D815" s="193"/>
      <c r="E815" s="193"/>
      <c r="F815" s="193"/>
      <c r="G815" s="193"/>
      <c r="H815" s="81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</row>
    <row r="816" spans="1:19" ht="15.6">
      <c r="A816" s="193"/>
      <c r="B816" s="193"/>
      <c r="C816" s="193"/>
      <c r="D816" s="193"/>
      <c r="E816" s="193"/>
      <c r="F816" s="193"/>
      <c r="G816" s="193"/>
      <c r="H816" s="81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</row>
    <row r="817" spans="1:19" ht="15.6">
      <c r="A817" s="193"/>
      <c r="B817" s="193"/>
      <c r="C817" s="193"/>
      <c r="D817" s="193"/>
      <c r="E817" s="193"/>
      <c r="F817" s="193"/>
      <c r="G817" s="193"/>
      <c r="H817" s="81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</row>
    <row r="818" spans="1:19" ht="15.6">
      <c r="A818" s="193"/>
      <c r="B818" s="193"/>
      <c r="C818" s="193"/>
      <c r="D818" s="193"/>
      <c r="E818" s="193"/>
      <c r="F818" s="193"/>
      <c r="G818" s="193"/>
      <c r="H818" s="81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</row>
    <row r="819" spans="1:19" ht="15.6">
      <c r="A819" s="193"/>
      <c r="B819" s="193"/>
      <c r="C819" s="193"/>
      <c r="D819" s="193"/>
      <c r="E819" s="193"/>
      <c r="F819" s="193"/>
      <c r="G819" s="193"/>
      <c r="H819" s="81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</row>
    <row r="820" spans="1:19" ht="15.6">
      <c r="A820" s="193"/>
      <c r="B820" s="193"/>
      <c r="C820" s="193"/>
      <c r="D820" s="193"/>
      <c r="E820" s="193"/>
      <c r="F820" s="193"/>
      <c r="G820" s="193"/>
      <c r="H820" s="81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</row>
    <row r="821" spans="1:19" ht="15.6">
      <c r="A821" s="193"/>
      <c r="B821" s="193"/>
      <c r="C821" s="193"/>
      <c r="D821" s="193"/>
      <c r="E821" s="193"/>
      <c r="F821" s="193"/>
      <c r="G821" s="193"/>
      <c r="H821" s="81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</row>
    <row r="822" spans="1:19" ht="15.6">
      <c r="A822" s="193"/>
      <c r="B822" s="193"/>
      <c r="C822" s="193"/>
      <c r="D822" s="193"/>
      <c r="E822" s="193"/>
      <c r="F822" s="193"/>
      <c r="G822" s="193"/>
      <c r="H822" s="81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</row>
    <row r="823" spans="1:19" ht="15.6">
      <c r="A823" s="193"/>
      <c r="B823" s="193"/>
      <c r="C823" s="193"/>
      <c r="D823" s="193"/>
      <c r="E823" s="193"/>
      <c r="F823" s="193"/>
      <c r="G823" s="193"/>
      <c r="H823" s="81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</row>
    <row r="824" spans="1:19" ht="15.6">
      <c r="A824" s="193"/>
      <c r="B824" s="193"/>
      <c r="C824" s="193"/>
      <c r="D824" s="193"/>
      <c r="E824" s="193"/>
      <c r="F824" s="193"/>
      <c r="G824" s="193"/>
      <c r="H824" s="81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</row>
    <row r="825" spans="1:19" ht="15.6">
      <c r="A825" s="193"/>
      <c r="B825" s="193"/>
      <c r="C825" s="193"/>
      <c r="D825" s="193"/>
      <c r="E825" s="193"/>
      <c r="F825" s="193"/>
      <c r="G825" s="193"/>
      <c r="H825" s="81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</row>
    <row r="826" spans="1:19" ht="15.6">
      <c r="A826" s="193"/>
      <c r="B826" s="193"/>
      <c r="C826" s="193"/>
      <c r="D826" s="193"/>
      <c r="E826" s="193"/>
      <c r="F826" s="193"/>
      <c r="G826" s="193"/>
      <c r="H826" s="81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</row>
    <row r="827" spans="1:19" ht="15.6">
      <c r="A827" s="193"/>
      <c r="B827" s="193"/>
      <c r="C827" s="193"/>
      <c r="D827" s="193"/>
      <c r="E827" s="193"/>
      <c r="F827" s="193"/>
      <c r="G827" s="193"/>
      <c r="H827" s="81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</row>
    <row r="828" spans="1:19" ht="15.6">
      <c r="A828" s="193"/>
      <c r="B828" s="193"/>
      <c r="C828" s="193"/>
      <c r="D828" s="193"/>
      <c r="E828" s="193"/>
      <c r="F828" s="193"/>
      <c r="G828" s="193"/>
      <c r="H828" s="81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</row>
    <row r="829" spans="1:19" ht="15.6">
      <c r="A829" s="193"/>
      <c r="B829" s="193"/>
      <c r="C829" s="193"/>
      <c r="D829" s="193"/>
      <c r="E829" s="193"/>
      <c r="F829" s="193"/>
      <c r="G829" s="193"/>
      <c r="H829" s="81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</row>
    <row r="830" spans="1:19" ht="15.6">
      <c r="A830" s="193"/>
      <c r="B830" s="193"/>
      <c r="C830" s="193"/>
      <c r="D830" s="193"/>
      <c r="E830" s="193"/>
      <c r="F830" s="193"/>
      <c r="G830" s="193"/>
      <c r="H830" s="81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</row>
    <row r="831" spans="1:19" ht="15.6">
      <c r="A831" s="193"/>
      <c r="B831" s="193"/>
      <c r="C831" s="193"/>
      <c r="D831" s="193"/>
      <c r="E831" s="193"/>
      <c r="F831" s="193"/>
      <c r="G831" s="193"/>
      <c r="H831" s="81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</row>
    <row r="832" spans="1:19" ht="15.6">
      <c r="A832" s="193"/>
      <c r="B832" s="193"/>
      <c r="C832" s="193"/>
      <c r="D832" s="193"/>
      <c r="E832" s="193"/>
      <c r="F832" s="193"/>
      <c r="G832" s="193"/>
      <c r="H832" s="81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</row>
    <row r="833" spans="1:19" ht="15.6">
      <c r="A833" s="193"/>
      <c r="B833" s="193"/>
      <c r="C833" s="193"/>
      <c r="D833" s="193"/>
      <c r="E833" s="193"/>
      <c r="F833" s="193"/>
      <c r="G833" s="193"/>
      <c r="H833" s="81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</row>
    <row r="834" spans="1:19" ht="15.6">
      <c r="A834" s="193"/>
      <c r="B834" s="193"/>
      <c r="C834" s="193"/>
      <c r="D834" s="193"/>
      <c r="E834" s="193"/>
      <c r="F834" s="193"/>
      <c r="G834" s="193"/>
      <c r="H834" s="81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</row>
    <row r="835" spans="1:19" ht="15.6">
      <c r="A835" s="193"/>
      <c r="B835" s="193"/>
      <c r="C835" s="193"/>
      <c r="D835" s="193"/>
      <c r="E835" s="193"/>
      <c r="F835" s="193"/>
      <c r="G835" s="193"/>
      <c r="H835" s="81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</row>
    <row r="836" spans="1:19" ht="15.6">
      <c r="A836" s="193"/>
      <c r="B836" s="193"/>
      <c r="C836" s="193"/>
      <c r="D836" s="193"/>
      <c r="E836" s="193"/>
      <c r="F836" s="193"/>
      <c r="G836" s="193"/>
      <c r="H836" s="81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</row>
    <row r="837" spans="1:19" ht="15.6">
      <c r="A837" s="193"/>
      <c r="B837" s="193"/>
      <c r="C837" s="193"/>
      <c r="D837" s="193"/>
      <c r="E837" s="193"/>
      <c r="F837" s="193"/>
      <c r="G837" s="193"/>
      <c r="H837" s="81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</row>
    <row r="838" spans="1:19" ht="15.6">
      <c r="A838" s="193"/>
      <c r="B838" s="193"/>
      <c r="C838" s="193"/>
      <c r="D838" s="193"/>
      <c r="E838" s="193"/>
      <c r="F838" s="193"/>
      <c r="G838" s="193"/>
      <c r="H838" s="81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</row>
    <row r="839" spans="1:19" ht="15.6">
      <c r="A839" s="193"/>
      <c r="B839" s="193"/>
      <c r="C839" s="193"/>
      <c r="D839" s="193"/>
      <c r="E839" s="193"/>
      <c r="F839" s="193"/>
      <c r="G839" s="193"/>
      <c r="H839" s="81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</row>
    <row r="840" spans="1:19" ht="15.6">
      <c r="A840" s="193"/>
      <c r="B840" s="193"/>
      <c r="C840" s="193"/>
      <c r="D840" s="193"/>
      <c r="E840" s="193"/>
      <c r="F840" s="193"/>
      <c r="G840" s="193"/>
      <c r="H840" s="81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</row>
    <row r="841" spans="1:19" ht="15.6">
      <c r="A841" s="193"/>
      <c r="B841" s="193"/>
      <c r="C841" s="193"/>
      <c r="D841" s="193"/>
      <c r="E841" s="193"/>
      <c r="F841" s="193"/>
      <c r="G841" s="193"/>
      <c r="H841" s="81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</row>
    <row r="842" spans="1:19" ht="15.6">
      <c r="A842" s="193"/>
      <c r="B842" s="193"/>
      <c r="C842" s="193"/>
      <c r="D842" s="193"/>
      <c r="E842" s="193"/>
      <c r="F842" s="193"/>
      <c r="G842" s="193"/>
      <c r="H842" s="81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</row>
    <row r="843" spans="1:19" ht="15.6">
      <c r="A843" s="193"/>
      <c r="B843" s="193"/>
      <c r="C843" s="193"/>
      <c r="D843" s="193"/>
      <c r="E843" s="193"/>
      <c r="F843" s="193"/>
      <c r="G843" s="193"/>
      <c r="H843" s="81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</row>
    <row r="844" spans="1:19" ht="15.6">
      <c r="A844" s="193"/>
      <c r="B844" s="193"/>
      <c r="C844" s="193"/>
      <c r="D844" s="193"/>
      <c r="E844" s="193"/>
      <c r="F844" s="193"/>
      <c r="G844" s="193"/>
      <c r="H844" s="81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</row>
    <row r="845" spans="1:19" ht="15.6">
      <c r="A845" s="193"/>
      <c r="B845" s="193"/>
      <c r="C845" s="193"/>
      <c r="D845" s="193"/>
      <c r="E845" s="193"/>
      <c r="F845" s="193"/>
      <c r="G845" s="193"/>
      <c r="H845" s="81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</row>
    <row r="846" spans="1:19" ht="15.6">
      <c r="A846" s="193"/>
      <c r="B846" s="193"/>
      <c r="C846" s="193"/>
      <c r="D846" s="193"/>
      <c r="E846" s="193"/>
      <c r="F846" s="193"/>
      <c r="G846" s="193"/>
      <c r="H846" s="81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</row>
    <row r="847" spans="1:19" ht="15.6">
      <c r="A847" s="193"/>
      <c r="B847" s="193"/>
      <c r="C847" s="193"/>
      <c r="D847" s="193"/>
      <c r="E847" s="193"/>
      <c r="F847" s="193"/>
      <c r="G847" s="193"/>
      <c r="H847" s="81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</row>
    <row r="848" spans="1:19" ht="15.6">
      <c r="A848" s="193"/>
      <c r="B848" s="193"/>
      <c r="C848" s="193"/>
      <c r="D848" s="193"/>
      <c r="E848" s="193"/>
      <c r="F848" s="193"/>
      <c r="G848" s="193"/>
      <c r="H848" s="81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</row>
    <row r="849" spans="1:19" ht="15.6">
      <c r="A849" s="193"/>
      <c r="B849" s="193"/>
      <c r="C849" s="193"/>
      <c r="D849" s="193"/>
      <c r="E849" s="193"/>
      <c r="F849" s="193"/>
      <c r="G849" s="193"/>
      <c r="H849" s="81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</row>
    <row r="850" spans="1:19" ht="15.6">
      <c r="A850" s="193"/>
      <c r="B850" s="193"/>
      <c r="C850" s="193"/>
      <c r="D850" s="193"/>
      <c r="E850" s="193"/>
      <c r="F850" s="193"/>
      <c r="G850" s="193"/>
      <c r="H850" s="81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</row>
    <row r="851" spans="1:19" ht="15.6">
      <c r="A851" s="193"/>
      <c r="B851" s="193"/>
      <c r="C851" s="193"/>
      <c r="D851" s="193"/>
      <c r="E851" s="193"/>
      <c r="F851" s="193"/>
      <c r="G851" s="193"/>
      <c r="H851" s="81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</row>
    <row r="852" spans="1:19" ht="15.6">
      <c r="A852" s="193"/>
      <c r="B852" s="193"/>
      <c r="C852" s="193"/>
      <c r="D852" s="193"/>
      <c r="E852" s="193"/>
      <c r="F852" s="193"/>
      <c r="G852" s="193"/>
      <c r="H852" s="81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</row>
    <row r="853" spans="1:19" ht="15.6">
      <c r="A853" s="193"/>
      <c r="B853" s="193"/>
      <c r="C853" s="193"/>
      <c r="D853" s="193"/>
      <c r="E853" s="193"/>
      <c r="F853" s="193"/>
      <c r="G853" s="193"/>
      <c r="H853" s="81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</row>
    <row r="854" spans="1:19" ht="15.6">
      <c r="A854" s="193"/>
      <c r="B854" s="193"/>
      <c r="C854" s="193"/>
      <c r="D854" s="193"/>
      <c r="E854" s="193"/>
      <c r="F854" s="193"/>
      <c r="G854" s="193"/>
      <c r="H854" s="81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</row>
    <row r="855" spans="1:19" ht="15.6">
      <c r="A855" s="193"/>
      <c r="B855" s="193"/>
      <c r="C855" s="193"/>
      <c r="D855" s="193"/>
      <c r="E855" s="193"/>
      <c r="F855" s="193"/>
      <c r="G855" s="193"/>
      <c r="H855" s="81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</row>
    <row r="856" spans="1:19" ht="15.6">
      <c r="A856" s="193"/>
      <c r="B856" s="193"/>
      <c r="C856" s="193"/>
      <c r="D856" s="193"/>
      <c r="E856" s="193"/>
      <c r="F856" s="193"/>
      <c r="G856" s="193"/>
      <c r="H856" s="81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</row>
    <row r="857" spans="1:19" ht="15.6">
      <c r="A857" s="193"/>
      <c r="B857" s="193"/>
      <c r="C857" s="193"/>
      <c r="D857" s="193"/>
      <c r="E857" s="193"/>
      <c r="F857" s="193"/>
      <c r="G857" s="193"/>
      <c r="H857" s="81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</row>
    <row r="858" spans="1:19" ht="15.6">
      <c r="A858" s="193"/>
      <c r="B858" s="193"/>
      <c r="C858" s="193"/>
      <c r="D858" s="193"/>
      <c r="E858" s="193"/>
      <c r="F858" s="193"/>
      <c r="G858" s="193"/>
      <c r="H858" s="81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</row>
    <row r="859" spans="1:19" ht="15.6">
      <c r="A859" s="193"/>
      <c r="B859" s="193"/>
      <c r="C859" s="193"/>
      <c r="D859" s="193"/>
      <c r="E859" s="193"/>
      <c r="F859" s="193"/>
      <c r="G859" s="193"/>
      <c r="H859" s="81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</row>
    <row r="860" spans="1:19" ht="15.6">
      <c r="A860" s="193"/>
      <c r="B860" s="193"/>
      <c r="C860" s="193"/>
      <c r="D860" s="193"/>
      <c r="E860" s="193"/>
      <c r="F860" s="193"/>
      <c r="G860" s="193"/>
      <c r="H860" s="81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</row>
    <row r="861" spans="1:19" ht="15.6">
      <c r="A861" s="193"/>
      <c r="B861" s="193"/>
      <c r="C861" s="193"/>
      <c r="D861" s="193"/>
      <c r="E861" s="193"/>
      <c r="F861" s="193"/>
      <c r="G861" s="193"/>
      <c r="H861" s="81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</row>
    <row r="862" spans="1:19" ht="15.6">
      <c r="A862" s="193"/>
      <c r="B862" s="193"/>
      <c r="C862" s="193"/>
      <c r="D862" s="193"/>
      <c r="E862" s="193"/>
      <c r="F862" s="193"/>
      <c r="G862" s="193"/>
      <c r="H862" s="81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</row>
    <row r="863" spans="1:19" ht="15.6">
      <c r="A863" s="193"/>
      <c r="B863" s="193"/>
      <c r="C863" s="193"/>
      <c r="D863" s="193"/>
      <c r="E863" s="193"/>
      <c r="F863" s="193"/>
      <c r="G863" s="193"/>
      <c r="H863" s="81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</row>
    <row r="864" spans="1:19" ht="15.6">
      <c r="A864" s="193"/>
      <c r="B864" s="193"/>
      <c r="C864" s="193"/>
      <c r="D864" s="193"/>
      <c r="E864" s="193"/>
      <c r="F864" s="193"/>
      <c r="G864" s="193"/>
      <c r="H864" s="81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</row>
    <row r="865" spans="1:19" ht="15.6">
      <c r="A865" s="193"/>
      <c r="B865" s="193"/>
      <c r="C865" s="193"/>
      <c r="D865" s="193"/>
      <c r="E865" s="193"/>
      <c r="F865" s="193"/>
      <c r="G865" s="193"/>
      <c r="H865" s="81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</row>
    <row r="866" spans="1:19" ht="15.6">
      <c r="A866" s="193"/>
      <c r="B866" s="193"/>
      <c r="C866" s="193"/>
      <c r="D866" s="193"/>
      <c r="E866" s="193"/>
      <c r="F866" s="193"/>
      <c r="G866" s="193"/>
      <c r="H866" s="81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</row>
    <row r="867" spans="1:19" ht="15.6">
      <c r="A867" s="193"/>
      <c r="B867" s="193"/>
      <c r="C867" s="193"/>
      <c r="D867" s="193"/>
      <c r="E867" s="193"/>
      <c r="F867" s="193"/>
      <c r="G867" s="193"/>
      <c r="H867" s="81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</row>
    <row r="868" spans="1:19" ht="15.6">
      <c r="A868" s="193"/>
      <c r="B868" s="193"/>
      <c r="C868" s="193"/>
      <c r="D868" s="193"/>
      <c r="E868" s="193"/>
      <c r="F868" s="193"/>
      <c r="G868" s="193"/>
      <c r="H868" s="81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</row>
    <row r="869" spans="1:19" ht="15.6">
      <c r="A869" s="193"/>
      <c r="B869" s="193"/>
      <c r="C869" s="193"/>
      <c r="D869" s="193"/>
      <c r="E869" s="193"/>
      <c r="F869" s="193"/>
      <c r="G869" s="193"/>
      <c r="H869" s="81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</row>
    <row r="870" spans="1:19" ht="15.6">
      <c r="A870" s="193"/>
      <c r="B870" s="193"/>
      <c r="C870" s="193"/>
      <c r="D870" s="193"/>
      <c r="E870" s="193"/>
      <c r="F870" s="193"/>
      <c r="G870" s="193"/>
      <c r="H870" s="81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</row>
    <row r="871" spans="1:19" ht="15.6">
      <c r="A871" s="193"/>
      <c r="B871" s="193"/>
      <c r="C871" s="193"/>
      <c r="D871" s="193"/>
      <c r="E871" s="193"/>
      <c r="F871" s="193"/>
      <c r="G871" s="193"/>
      <c r="H871" s="81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</row>
    <row r="872" spans="1:19" ht="15.6">
      <c r="A872" s="193"/>
      <c r="B872" s="193"/>
      <c r="C872" s="193"/>
      <c r="D872" s="193"/>
      <c r="E872" s="193"/>
      <c r="F872" s="193"/>
      <c r="G872" s="193"/>
      <c r="H872" s="81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</row>
    <row r="873" spans="1:19" ht="15.6">
      <c r="A873" s="193"/>
      <c r="B873" s="193"/>
      <c r="C873" s="193"/>
      <c r="D873" s="193"/>
      <c r="E873" s="193"/>
      <c r="F873" s="193"/>
      <c r="G873" s="193"/>
      <c r="H873" s="81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</row>
    <row r="874" spans="1:19" ht="15.6">
      <c r="A874" s="193"/>
      <c r="B874" s="193"/>
      <c r="C874" s="193"/>
      <c r="D874" s="193"/>
      <c r="E874" s="193"/>
      <c r="F874" s="193"/>
      <c r="G874" s="193"/>
      <c r="H874" s="81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</row>
    <row r="875" spans="1:19" ht="15.6">
      <c r="A875" s="193"/>
      <c r="B875" s="193"/>
      <c r="C875" s="193"/>
      <c r="D875" s="193"/>
      <c r="E875" s="193"/>
      <c r="F875" s="193"/>
      <c r="G875" s="193"/>
      <c r="H875" s="81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</row>
    <row r="876" spans="1:19" ht="15.6">
      <c r="A876" s="193"/>
      <c r="B876" s="193"/>
      <c r="C876" s="193"/>
      <c r="D876" s="193"/>
      <c r="E876" s="193"/>
      <c r="F876" s="193"/>
      <c r="G876" s="193"/>
      <c r="H876" s="81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</row>
    <row r="877" spans="1:19" ht="15.6">
      <c r="A877" s="193"/>
      <c r="B877" s="193"/>
      <c r="C877" s="193"/>
      <c r="D877" s="193"/>
      <c r="E877" s="193"/>
      <c r="F877" s="193"/>
      <c r="G877" s="193"/>
      <c r="H877" s="81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</row>
    <row r="878" spans="1:19" ht="15.6">
      <c r="A878" s="193"/>
      <c r="B878" s="193"/>
      <c r="C878" s="193"/>
      <c r="D878" s="193"/>
      <c r="E878" s="193"/>
      <c r="F878" s="193"/>
      <c r="G878" s="193"/>
      <c r="H878" s="81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</row>
    <row r="879" spans="1:19" ht="15.6">
      <c r="A879" s="193"/>
      <c r="B879" s="193"/>
      <c r="C879" s="193"/>
      <c r="D879" s="193"/>
      <c r="E879" s="193"/>
      <c r="F879" s="193"/>
      <c r="G879" s="193"/>
      <c r="H879" s="81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</row>
    <row r="880" spans="1:19" ht="15.6">
      <c r="A880" s="193"/>
      <c r="B880" s="193"/>
      <c r="C880" s="193"/>
      <c r="D880" s="193"/>
      <c r="E880" s="193"/>
      <c r="F880" s="193"/>
      <c r="G880" s="193"/>
      <c r="H880" s="81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</row>
    <row r="881" spans="1:19" ht="15.6">
      <c r="A881" s="193"/>
      <c r="B881" s="193"/>
      <c r="C881" s="193"/>
      <c r="D881" s="193"/>
      <c r="E881" s="193"/>
      <c r="F881" s="193"/>
      <c r="G881" s="193"/>
      <c r="H881" s="81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</row>
    <row r="882" spans="1:19" ht="15.6">
      <c r="A882" s="193"/>
      <c r="B882" s="193"/>
      <c r="C882" s="193"/>
      <c r="D882" s="193"/>
      <c r="E882" s="193"/>
      <c r="F882" s="193"/>
      <c r="G882" s="193"/>
      <c r="H882" s="81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</row>
    <row r="883" spans="1:19" ht="15.6">
      <c r="A883" s="193"/>
      <c r="B883" s="193"/>
      <c r="C883" s="193"/>
      <c r="D883" s="193"/>
      <c r="E883" s="193"/>
      <c r="F883" s="193"/>
      <c r="G883" s="193"/>
      <c r="H883" s="81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</row>
    <row r="884" spans="1:19" ht="15.6">
      <c r="A884" s="193"/>
      <c r="B884" s="193"/>
      <c r="C884" s="193"/>
      <c r="D884" s="193"/>
      <c r="E884" s="193"/>
      <c r="F884" s="193"/>
      <c r="G884" s="193"/>
      <c r="H884" s="81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</row>
    <row r="885" spans="1:19" ht="15.6">
      <c r="A885" s="193"/>
      <c r="B885" s="193"/>
      <c r="C885" s="193"/>
      <c r="D885" s="193"/>
      <c r="E885" s="193"/>
      <c r="F885" s="193"/>
      <c r="G885" s="193"/>
      <c r="H885" s="81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</row>
    <row r="886" spans="1:19" ht="15.6">
      <c r="A886" s="193"/>
      <c r="B886" s="193"/>
      <c r="C886" s="193"/>
      <c r="D886" s="193"/>
      <c r="E886" s="193"/>
      <c r="F886" s="193"/>
      <c r="G886" s="193"/>
      <c r="H886" s="81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</row>
    <row r="887" spans="1:19" ht="15.6">
      <c r="A887" s="193"/>
      <c r="B887" s="193"/>
      <c r="C887" s="193"/>
      <c r="D887" s="193"/>
      <c r="E887" s="193"/>
      <c r="F887" s="193"/>
      <c r="G887" s="193"/>
      <c r="H887" s="81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</row>
    <row r="888" spans="1:19" ht="15.6">
      <c r="A888" s="193"/>
      <c r="B888" s="193"/>
      <c r="C888" s="193"/>
      <c r="D888" s="193"/>
      <c r="E888" s="193"/>
      <c r="F888" s="193"/>
      <c r="G888" s="193"/>
      <c r="H888" s="81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</row>
    <row r="889" spans="1:19" ht="15.6">
      <c r="A889" s="193"/>
      <c r="B889" s="193"/>
      <c r="C889" s="193"/>
      <c r="D889" s="193"/>
      <c r="E889" s="193"/>
      <c r="F889" s="193"/>
      <c r="G889" s="193"/>
      <c r="H889" s="81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</row>
    <row r="890" spans="1:19" ht="15.6">
      <c r="A890" s="193"/>
      <c r="B890" s="193"/>
      <c r="C890" s="193"/>
      <c r="D890" s="193"/>
      <c r="E890" s="193"/>
      <c r="F890" s="193"/>
      <c r="G890" s="193"/>
      <c r="H890" s="81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</row>
    <row r="891" spans="1:19" ht="15.6">
      <c r="A891" s="193"/>
      <c r="B891" s="193"/>
      <c r="C891" s="193"/>
      <c r="D891" s="193"/>
      <c r="E891" s="193"/>
      <c r="F891" s="193"/>
      <c r="G891" s="193"/>
      <c r="H891" s="81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</row>
    <row r="892" spans="1:19" ht="15.6">
      <c r="A892" s="193"/>
      <c r="B892" s="193"/>
      <c r="C892" s="193"/>
      <c r="D892" s="193"/>
      <c r="E892" s="193"/>
      <c r="F892" s="193"/>
      <c r="G892" s="193"/>
      <c r="H892" s="81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</row>
    <row r="893" spans="1:19" ht="15.6">
      <c r="A893" s="193"/>
      <c r="B893" s="193"/>
      <c r="C893" s="193"/>
      <c r="D893" s="193"/>
      <c r="E893" s="193"/>
      <c r="F893" s="193"/>
      <c r="G893" s="193"/>
      <c r="H893" s="81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</row>
    <row r="894" spans="1:19" ht="15.6">
      <c r="A894" s="193"/>
      <c r="B894" s="193"/>
      <c r="C894" s="193"/>
      <c r="D894" s="193"/>
      <c r="E894" s="193"/>
      <c r="F894" s="193"/>
      <c r="G894" s="193"/>
      <c r="H894" s="81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</row>
    <row r="895" spans="1:19" ht="15.6">
      <c r="A895" s="193"/>
      <c r="B895" s="193"/>
      <c r="C895" s="193"/>
      <c r="D895" s="193"/>
      <c r="E895" s="193"/>
      <c r="F895" s="193"/>
      <c r="G895" s="193"/>
      <c r="H895" s="81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</row>
    <row r="896" spans="1:19" ht="15.6">
      <c r="A896" s="193"/>
      <c r="B896" s="193"/>
      <c r="C896" s="193"/>
      <c r="D896" s="193"/>
      <c r="E896" s="193"/>
      <c r="F896" s="193"/>
      <c r="G896" s="193"/>
      <c r="H896" s="81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</row>
    <row r="897" spans="1:19" ht="15.6">
      <c r="A897" s="193"/>
      <c r="B897" s="193"/>
      <c r="C897" s="193"/>
      <c r="D897" s="193"/>
      <c r="E897" s="193"/>
      <c r="F897" s="193"/>
      <c r="G897" s="193"/>
      <c r="H897" s="81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</row>
    <row r="898" spans="1:19" ht="15.6">
      <c r="A898" s="193"/>
      <c r="B898" s="193"/>
      <c r="C898" s="193"/>
      <c r="D898" s="193"/>
      <c r="E898" s="193"/>
      <c r="F898" s="193"/>
      <c r="G898" s="193"/>
      <c r="H898" s="81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</row>
    <row r="899" spans="1:19" ht="15.6">
      <c r="A899" s="193"/>
      <c r="B899" s="193"/>
      <c r="C899" s="193"/>
      <c r="D899" s="193"/>
      <c r="E899" s="193"/>
      <c r="F899" s="193"/>
      <c r="G899" s="193"/>
      <c r="H899" s="81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</row>
    <row r="900" spans="1:19" ht="15.6">
      <c r="A900" s="193"/>
      <c r="B900" s="193"/>
      <c r="C900" s="193"/>
      <c r="D900" s="193"/>
      <c r="E900" s="193"/>
      <c r="F900" s="193"/>
      <c r="G900" s="193"/>
      <c r="H900" s="81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</row>
    <row r="901" spans="1:19" ht="15.6">
      <c r="A901" s="193"/>
      <c r="B901" s="193"/>
      <c r="C901" s="193"/>
      <c r="D901" s="193"/>
      <c r="E901" s="193"/>
      <c r="F901" s="193"/>
      <c r="G901" s="193"/>
      <c r="H901" s="81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</row>
    <row r="902" spans="1:19" ht="15.6">
      <c r="A902" s="193"/>
      <c r="B902" s="193"/>
      <c r="C902" s="193"/>
      <c r="D902" s="193"/>
      <c r="E902" s="193"/>
      <c r="F902" s="193"/>
      <c r="G902" s="193"/>
      <c r="H902" s="81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</row>
    <row r="903" spans="1:19" ht="15.6">
      <c r="A903" s="193"/>
      <c r="B903" s="193"/>
      <c r="C903" s="193"/>
      <c r="D903" s="193"/>
      <c r="E903" s="193"/>
      <c r="F903" s="193"/>
      <c r="G903" s="193"/>
      <c r="H903" s="81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</row>
    <row r="904" spans="1:19" ht="15.6">
      <c r="A904" s="193"/>
      <c r="B904" s="193"/>
      <c r="C904" s="193"/>
      <c r="D904" s="193"/>
      <c r="E904" s="193"/>
      <c r="F904" s="193"/>
      <c r="G904" s="193"/>
      <c r="H904" s="81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</row>
    <row r="905" spans="1:19" ht="15.6">
      <c r="A905" s="193"/>
      <c r="B905" s="193"/>
      <c r="C905" s="193"/>
      <c r="D905" s="193"/>
      <c r="E905" s="193"/>
      <c r="F905" s="193"/>
      <c r="G905" s="193"/>
      <c r="H905" s="81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</row>
    <row r="906" spans="1:19" ht="15.6">
      <c r="A906" s="193"/>
      <c r="B906" s="193"/>
      <c r="C906" s="193"/>
      <c r="D906" s="193"/>
      <c r="E906" s="193"/>
      <c r="F906" s="193"/>
      <c r="G906" s="193"/>
      <c r="H906" s="81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</row>
    <row r="907" spans="1:19" ht="15.6">
      <c r="A907" s="193"/>
      <c r="B907" s="193"/>
      <c r="C907" s="193"/>
      <c r="D907" s="193"/>
      <c r="E907" s="193"/>
      <c r="F907" s="193"/>
      <c r="G907" s="193"/>
      <c r="H907" s="81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</row>
    <row r="908" spans="1:19" ht="15.6">
      <c r="A908" s="193"/>
      <c r="B908" s="193"/>
      <c r="C908" s="193"/>
      <c r="D908" s="193"/>
      <c r="E908" s="193"/>
      <c r="F908" s="193"/>
      <c r="G908" s="193"/>
      <c r="H908" s="81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</row>
    <row r="909" spans="1:19" ht="15.6">
      <c r="A909" s="193"/>
      <c r="B909" s="193"/>
      <c r="C909" s="193"/>
      <c r="D909" s="193"/>
      <c r="E909" s="193"/>
      <c r="F909" s="193"/>
      <c r="G909" s="193"/>
      <c r="H909" s="81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</row>
    <row r="910" spans="1:19" ht="15.6">
      <c r="A910" s="193"/>
      <c r="B910" s="193"/>
      <c r="C910" s="193"/>
      <c r="D910" s="193"/>
      <c r="E910" s="193"/>
      <c r="F910" s="193"/>
      <c r="G910" s="193"/>
      <c r="H910" s="81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</row>
    <row r="911" spans="1:19" ht="15.6">
      <c r="A911" s="193"/>
      <c r="B911" s="193"/>
      <c r="C911" s="193"/>
      <c r="D911" s="193"/>
      <c r="E911" s="193"/>
      <c r="F911" s="193"/>
      <c r="G911" s="193"/>
      <c r="H911" s="81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</row>
    <row r="912" spans="1:19" ht="15.6">
      <c r="A912" s="193"/>
      <c r="B912" s="193"/>
      <c r="C912" s="193"/>
      <c r="D912" s="193"/>
      <c r="E912" s="193"/>
      <c r="F912" s="193"/>
      <c r="G912" s="193"/>
      <c r="H912" s="81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</row>
    <row r="913" spans="1:19" ht="15.6">
      <c r="A913" s="193"/>
      <c r="B913" s="193"/>
      <c r="C913" s="193"/>
      <c r="D913" s="193"/>
      <c r="E913" s="193"/>
      <c r="F913" s="193"/>
      <c r="G913" s="193"/>
      <c r="H913" s="81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</row>
    <row r="914" spans="1:19" ht="15.6">
      <c r="A914" s="193"/>
      <c r="B914" s="193"/>
      <c r="C914" s="193"/>
      <c r="D914" s="193"/>
      <c r="E914" s="193"/>
      <c r="F914" s="193"/>
      <c r="G914" s="193"/>
      <c r="H914" s="81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</row>
    <row r="915" spans="1:19" ht="15.6">
      <c r="A915" s="193"/>
      <c r="B915" s="193"/>
      <c r="C915" s="193"/>
      <c r="D915" s="193"/>
      <c r="E915" s="193"/>
      <c r="F915" s="193"/>
      <c r="G915" s="193"/>
      <c r="H915" s="81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</row>
    <row r="916" spans="1:19" ht="15.6">
      <c r="A916" s="193"/>
      <c r="B916" s="193"/>
      <c r="C916" s="193"/>
      <c r="D916" s="193"/>
      <c r="E916" s="193"/>
      <c r="F916" s="193"/>
      <c r="G916" s="193"/>
      <c r="H916" s="81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</row>
    <row r="917" spans="1:19" ht="15.6">
      <c r="A917" s="193"/>
      <c r="B917" s="193"/>
      <c r="C917" s="193"/>
      <c r="D917" s="193"/>
      <c r="E917" s="193"/>
      <c r="F917" s="193"/>
      <c r="G917" s="193"/>
      <c r="H917" s="81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</row>
    <row r="918" spans="1:19" ht="15.6">
      <c r="A918" s="193"/>
      <c r="B918" s="193"/>
      <c r="C918" s="193"/>
      <c r="D918" s="193"/>
      <c r="E918" s="193"/>
      <c r="F918" s="193"/>
      <c r="G918" s="193"/>
      <c r="H918" s="81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</row>
    <row r="919" spans="1:19" ht="15.6">
      <c r="A919" s="193"/>
      <c r="B919" s="193"/>
      <c r="C919" s="193"/>
      <c r="D919" s="193"/>
      <c r="E919" s="193"/>
      <c r="F919" s="193"/>
      <c r="G919" s="193"/>
      <c r="H919" s="81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</row>
    <row r="920" spans="1:19" ht="15.6">
      <c r="A920" s="193"/>
      <c r="B920" s="193"/>
      <c r="C920" s="193"/>
      <c r="D920" s="193"/>
      <c r="E920" s="193"/>
      <c r="F920" s="193"/>
      <c r="G920" s="193"/>
      <c r="H920" s="81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</row>
    <row r="921" spans="1:19" ht="15.6">
      <c r="A921" s="193"/>
      <c r="B921" s="193"/>
      <c r="C921" s="193"/>
      <c r="D921" s="193"/>
      <c r="E921" s="193"/>
      <c r="F921" s="193"/>
      <c r="G921" s="193"/>
      <c r="H921" s="81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</row>
    <row r="922" spans="1:19" ht="15.6">
      <c r="A922" s="193"/>
      <c r="B922" s="193"/>
      <c r="C922" s="193"/>
      <c r="D922" s="193"/>
      <c r="E922" s="193"/>
      <c r="F922" s="193"/>
      <c r="G922" s="193"/>
      <c r="H922" s="81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</row>
    <row r="923" spans="1:19" ht="15.6">
      <c r="A923" s="193"/>
      <c r="B923" s="193"/>
      <c r="C923" s="193"/>
      <c r="D923" s="193"/>
      <c r="E923" s="193"/>
      <c r="F923" s="193"/>
      <c r="G923" s="193"/>
      <c r="H923" s="81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</row>
    <row r="924" spans="1:19" ht="15.6">
      <c r="A924" s="193"/>
      <c r="B924" s="193"/>
      <c r="C924" s="193"/>
      <c r="D924" s="193"/>
      <c r="E924" s="193"/>
      <c r="F924" s="193"/>
      <c r="G924" s="193"/>
      <c r="H924" s="81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</row>
    <row r="925" spans="1:19" ht="15.6">
      <c r="A925" s="193"/>
      <c r="B925" s="193"/>
      <c r="C925" s="193"/>
      <c r="D925" s="193"/>
      <c r="E925" s="193"/>
      <c r="F925" s="193"/>
      <c r="G925" s="193"/>
      <c r="H925" s="81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</row>
    <row r="926" spans="1:19" ht="15.6">
      <c r="A926" s="193"/>
      <c r="B926" s="193"/>
      <c r="C926" s="193"/>
      <c r="D926" s="193"/>
      <c r="E926" s="193"/>
      <c r="F926" s="193"/>
      <c r="G926" s="193"/>
      <c r="H926" s="81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</row>
    <row r="927" spans="1:19" ht="15.6">
      <c r="A927" s="193"/>
      <c r="B927" s="193"/>
      <c r="C927" s="193"/>
      <c r="D927" s="193"/>
      <c r="E927" s="193"/>
      <c r="F927" s="193"/>
      <c r="G927" s="193"/>
      <c r="H927" s="81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</row>
    <row r="928" spans="1:19" ht="15.6">
      <c r="A928" s="193"/>
      <c r="B928" s="193"/>
      <c r="C928" s="193"/>
      <c r="D928" s="193"/>
      <c r="E928" s="193"/>
      <c r="F928" s="193"/>
      <c r="G928" s="193"/>
      <c r="H928" s="81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</row>
    <row r="929" spans="1:19" ht="15.6">
      <c r="A929" s="193"/>
      <c r="B929" s="193"/>
      <c r="C929" s="193"/>
      <c r="D929" s="193"/>
      <c r="E929" s="193"/>
      <c r="F929" s="193"/>
      <c r="G929" s="193"/>
      <c r="H929" s="81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</row>
    <row r="930" spans="1:19" ht="15.6">
      <c r="A930" s="193"/>
      <c r="B930" s="193"/>
      <c r="C930" s="193"/>
      <c r="D930" s="193"/>
      <c r="E930" s="193"/>
      <c r="F930" s="193"/>
      <c r="G930" s="193"/>
      <c r="H930" s="81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</row>
    <row r="931" spans="1:19" ht="15.6">
      <c r="A931" s="193"/>
      <c r="B931" s="193"/>
      <c r="C931" s="193"/>
      <c r="D931" s="193"/>
      <c r="E931" s="193"/>
      <c r="F931" s="193"/>
      <c r="G931" s="193"/>
      <c r="H931" s="81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</row>
    <row r="932" spans="1:19" ht="15.6">
      <c r="A932" s="193"/>
      <c r="B932" s="193"/>
      <c r="C932" s="193"/>
      <c r="D932" s="193"/>
      <c r="E932" s="193"/>
      <c r="F932" s="193"/>
      <c r="G932" s="193"/>
      <c r="H932" s="81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</row>
    <row r="933" spans="1:19" ht="15.6">
      <c r="A933" s="193"/>
      <c r="B933" s="193"/>
      <c r="C933" s="193"/>
      <c r="D933" s="193"/>
      <c r="E933" s="193"/>
      <c r="F933" s="193"/>
      <c r="G933" s="193"/>
      <c r="H933" s="81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</row>
    <row r="934" spans="1:19" ht="15.6">
      <c r="A934" s="193"/>
      <c r="B934" s="193"/>
      <c r="C934" s="193"/>
      <c r="D934" s="193"/>
      <c r="E934" s="193"/>
      <c r="F934" s="193"/>
      <c r="G934" s="193"/>
      <c r="H934" s="81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</row>
    <row r="935" spans="1:19" ht="15.6">
      <c r="A935" s="193"/>
      <c r="B935" s="193"/>
      <c r="C935" s="193"/>
      <c r="D935" s="193"/>
      <c r="E935" s="193"/>
      <c r="F935" s="193"/>
      <c r="G935" s="193"/>
      <c r="H935" s="81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</row>
    <row r="936" spans="1:19" ht="15.6">
      <c r="A936" s="193"/>
      <c r="B936" s="193"/>
      <c r="C936" s="193"/>
      <c r="D936" s="193"/>
      <c r="E936" s="193"/>
      <c r="F936" s="193"/>
      <c r="G936" s="193"/>
      <c r="H936" s="81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</row>
    <row r="937" spans="1:19" ht="15.6">
      <c r="A937" s="193"/>
      <c r="B937" s="193"/>
      <c r="C937" s="193"/>
      <c r="D937" s="193"/>
      <c r="E937" s="193"/>
      <c r="F937" s="193"/>
      <c r="G937" s="193"/>
      <c r="H937" s="81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</row>
    <row r="938" spans="1:19" ht="15.6">
      <c r="A938" s="193"/>
      <c r="B938" s="193"/>
      <c r="C938" s="193"/>
      <c r="D938" s="193"/>
      <c r="E938" s="193"/>
      <c r="F938" s="193"/>
      <c r="G938" s="193"/>
      <c r="H938" s="81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</row>
    <row r="939" spans="1:19" ht="15.6">
      <c r="A939" s="193"/>
      <c r="B939" s="193"/>
      <c r="C939" s="193"/>
      <c r="D939" s="193"/>
      <c r="E939" s="193"/>
      <c r="F939" s="193"/>
      <c r="G939" s="193"/>
      <c r="H939" s="81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</row>
    <row r="940" spans="1:19" ht="15.6">
      <c r="A940" s="193"/>
      <c r="B940" s="193"/>
      <c r="C940" s="193"/>
      <c r="D940" s="193"/>
      <c r="E940" s="193"/>
      <c r="F940" s="193"/>
      <c r="G940" s="193"/>
      <c r="H940" s="81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</row>
    <row r="941" spans="1:19" ht="15.6">
      <c r="A941" s="193"/>
      <c r="B941" s="193"/>
      <c r="C941" s="193"/>
      <c r="D941" s="193"/>
      <c r="E941" s="193"/>
      <c r="F941" s="193"/>
      <c r="G941" s="193"/>
      <c r="H941" s="81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</row>
  </sheetData>
  <mergeCells count="1">
    <mergeCell ref="B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8A46-FAA4-46B9-B037-0A66EC63D5F7}">
  <sheetPr>
    <tabColor theme="7"/>
    <outlinePr summaryBelow="0" summaryRight="0"/>
  </sheetPr>
  <dimension ref="A1:AA1111"/>
  <sheetViews>
    <sheetView topLeftCell="A4" workbookViewId="0">
      <selection activeCell="J91" sqref="J91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79" customWidth="1"/>
    <col min="9" max="27" width="12.7109375" style="77"/>
    <col min="28" max="16384" width="12.7109375" style="79"/>
  </cols>
  <sheetData>
    <row r="1" spans="1:8" ht="33" customHeight="1">
      <c r="A1" s="204" t="s">
        <v>299</v>
      </c>
      <c r="B1" s="264" t="s">
        <v>300</v>
      </c>
      <c r="C1" s="264"/>
      <c r="D1" s="264"/>
      <c r="E1" s="264"/>
      <c r="F1" s="264"/>
      <c r="G1" s="264"/>
      <c r="H1" s="102" t="s">
        <v>301</v>
      </c>
    </row>
    <row r="2" spans="1:8" ht="20.25" customHeight="1">
      <c r="A2" s="100" t="s">
        <v>409</v>
      </c>
      <c r="B2" s="284" t="s">
        <v>410</v>
      </c>
      <c r="C2" s="285"/>
      <c r="D2" s="285"/>
      <c r="E2" s="285"/>
      <c r="F2" s="285"/>
      <c r="G2" s="285"/>
      <c r="H2" s="101">
        <f>AVERAGE(H4,H83)</f>
        <v>4</v>
      </c>
    </row>
    <row r="3" spans="1:8" ht="15" customHeight="1">
      <c r="A3" s="94"/>
      <c r="B3" s="95"/>
      <c r="C3" s="95"/>
      <c r="D3" s="96"/>
      <c r="E3" s="96"/>
      <c r="F3" s="96"/>
      <c r="G3" s="96"/>
      <c r="H3" s="97"/>
    </row>
    <row r="4" spans="1:8" ht="15.75" customHeight="1">
      <c r="A4" s="98">
        <v>1</v>
      </c>
      <c r="B4" s="215" t="s">
        <v>411</v>
      </c>
      <c r="C4" s="278"/>
      <c r="D4" s="278"/>
      <c r="E4" s="278"/>
      <c r="F4" s="278"/>
      <c r="G4" s="278"/>
      <c r="H4" s="90">
        <f>AVERAGE(H5:H81)</f>
        <v>4</v>
      </c>
    </row>
    <row r="5" spans="1:8" ht="15.75" customHeight="1">
      <c r="A5" s="82"/>
      <c r="B5" s="80">
        <v>46023</v>
      </c>
      <c r="C5" s="193"/>
      <c r="D5" s="193" t="s">
        <v>412</v>
      </c>
      <c r="E5" s="194"/>
      <c r="F5" s="194"/>
      <c r="G5" s="194"/>
      <c r="H5" s="90">
        <f>AVERAGE(G7:G12)</f>
        <v>4</v>
      </c>
    </row>
    <row r="6" spans="1:8" ht="15.75" hidden="1" customHeight="1">
      <c r="A6" s="82"/>
      <c r="B6" s="193"/>
      <c r="C6" s="193"/>
      <c r="D6" s="193"/>
      <c r="E6" s="92" t="s">
        <v>4</v>
      </c>
      <c r="F6" s="92" t="s">
        <v>10</v>
      </c>
      <c r="G6" s="92" t="s">
        <v>306</v>
      </c>
      <c r="H6" s="91"/>
    </row>
    <row r="7" spans="1:8" ht="15.75" hidden="1" customHeight="1">
      <c r="A7" s="82"/>
      <c r="B7" s="193"/>
      <c r="C7" s="193" t="s">
        <v>307</v>
      </c>
      <c r="D7" s="193" t="s">
        <v>413</v>
      </c>
      <c r="E7" s="92">
        <v>4</v>
      </c>
      <c r="F7" s="92">
        <v>4</v>
      </c>
      <c r="G7" s="133">
        <f t="shared" ref="G7" si="0">AVERAGE(E7:F7)</f>
        <v>4</v>
      </c>
      <c r="H7" s="91"/>
    </row>
    <row r="8" spans="1:8" ht="15.75" hidden="1" customHeight="1">
      <c r="A8" s="82"/>
      <c r="B8" s="193"/>
      <c r="C8" s="193" t="s">
        <v>309</v>
      </c>
      <c r="D8" s="193" t="s">
        <v>414</v>
      </c>
      <c r="E8" s="92">
        <v>4</v>
      </c>
      <c r="F8" s="92">
        <v>4</v>
      </c>
      <c r="G8" s="133">
        <f t="shared" ref="G8:G12" si="1">AVERAGE(E8:F8)</f>
        <v>4</v>
      </c>
      <c r="H8" s="90"/>
    </row>
    <row r="9" spans="1:8" ht="15.75" hidden="1" customHeight="1">
      <c r="A9" s="82"/>
      <c r="B9" s="193"/>
      <c r="C9" s="193" t="s">
        <v>316</v>
      </c>
      <c r="D9" s="193" t="s">
        <v>415</v>
      </c>
      <c r="E9" s="92">
        <v>4</v>
      </c>
      <c r="F9" s="92">
        <v>4</v>
      </c>
      <c r="G9" s="133">
        <f t="shared" si="1"/>
        <v>4</v>
      </c>
      <c r="H9" s="90"/>
    </row>
    <row r="10" spans="1:8" ht="15.75" hidden="1" customHeight="1">
      <c r="A10" s="82"/>
      <c r="B10" s="193"/>
      <c r="C10" s="193" t="s">
        <v>318</v>
      </c>
      <c r="D10" s="193" t="s">
        <v>416</v>
      </c>
      <c r="E10" s="92">
        <v>4</v>
      </c>
      <c r="F10" s="92">
        <v>4</v>
      </c>
      <c r="G10" s="133">
        <f t="shared" si="1"/>
        <v>4</v>
      </c>
      <c r="H10" s="90"/>
    </row>
    <row r="11" spans="1:8" ht="15.75" hidden="1" customHeight="1">
      <c r="A11" s="82"/>
      <c r="B11" s="193"/>
      <c r="C11" s="193" t="s">
        <v>320</v>
      </c>
      <c r="D11" s="193" t="s">
        <v>417</v>
      </c>
      <c r="E11" s="92">
        <v>4</v>
      </c>
      <c r="F11" s="92">
        <v>4</v>
      </c>
      <c r="G11" s="133">
        <f t="shared" si="1"/>
        <v>4</v>
      </c>
      <c r="H11" s="90"/>
    </row>
    <row r="12" spans="1:8" ht="15.75" hidden="1" customHeight="1">
      <c r="A12" s="82"/>
      <c r="B12" s="193"/>
      <c r="C12" s="193" t="s">
        <v>353</v>
      </c>
      <c r="D12" s="193" t="s">
        <v>418</v>
      </c>
      <c r="E12" s="92">
        <v>4</v>
      </c>
      <c r="F12" s="92">
        <v>4</v>
      </c>
      <c r="G12" s="133">
        <f t="shared" si="1"/>
        <v>4</v>
      </c>
      <c r="H12" s="90"/>
    </row>
    <row r="13" spans="1:8" ht="15.75" hidden="1" customHeight="1">
      <c r="A13" s="82"/>
      <c r="B13" s="192" t="s">
        <v>311</v>
      </c>
      <c r="C13" s="271"/>
      <c r="D13" s="271"/>
      <c r="E13" s="271"/>
      <c r="F13" s="271"/>
      <c r="G13" s="271"/>
      <c r="H13" s="272"/>
    </row>
    <row r="14" spans="1:8" ht="15.75" hidden="1" customHeight="1">
      <c r="A14" s="99"/>
      <c r="B14" s="87" t="s">
        <v>285</v>
      </c>
      <c r="C14" s="271" t="s">
        <v>312</v>
      </c>
      <c r="D14" s="271"/>
      <c r="E14" s="271"/>
      <c r="F14" s="271"/>
      <c r="G14" s="271"/>
      <c r="H14" s="272"/>
    </row>
    <row r="15" spans="1:8" ht="15.75" hidden="1" customHeight="1">
      <c r="A15" s="82"/>
      <c r="B15" s="87" t="s">
        <v>285</v>
      </c>
      <c r="C15" s="271" t="s">
        <v>312</v>
      </c>
      <c r="D15" s="271"/>
      <c r="E15" s="271"/>
      <c r="F15" s="271"/>
      <c r="G15" s="271"/>
      <c r="H15" s="272"/>
    </row>
    <row r="16" spans="1:8" ht="15.75" hidden="1" customHeight="1">
      <c r="A16" s="82"/>
      <c r="B16" s="86"/>
      <c r="C16" s="193"/>
      <c r="D16" s="193"/>
      <c r="E16" s="92"/>
      <c r="F16" s="92"/>
      <c r="G16" s="92"/>
      <c r="H16" s="91"/>
    </row>
    <row r="17" spans="1:8" ht="15.75" customHeight="1">
      <c r="A17" s="82"/>
      <c r="B17" s="80">
        <v>46054</v>
      </c>
      <c r="C17" s="193"/>
      <c r="D17" s="193" t="s">
        <v>419</v>
      </c>
      <c r="E17" s="93"/>
      <c r="F17" s="93"/>
      <c r="G17" s="93"/>
      <c r="H17" s="90">
        <f>AVERAGE(G19:G24)</f>
        <v>4</v>
      </c>
    </row>
    <row r="18" spans="1:8" ht="15.75" hidden="1" customHeight="1">
      <c r="A18" s="82"/>
      <c r="B18" s="193"/>
      <c r="C18" s="193"/>
      <c r="D18" s="193"/>
      <c r="E18" s="92" t="s">
        <v>4</v>
      </c>
      <c r="F18" s="92" t="s">
        <v>10</v>
      </c>
      <c r="G18" s="92" t="s">
        <v>306</v>
      </c>
      <c r="H18" s="91"/>
    </row>
    <row r="19" spans="1:8" ht="15.75" hidden="1" customHeight="1">
      <c r="A19" s="82"/>
      <c r="B19" s="193"/>
      <c r="C19" s="193" t="s">
        <v>307</v>
      </c>
      <c r="D19" s="193" t="s">
        <v>413</v>
      </c>
      <c r="E19" s="92">
        <v>4</v>
      </c>
      <c r="F19" s="92">
        <v>4</v>
      </c>
      <c r="G19" s="133">
        <f t="shared" ref="G19:G24" si="2">AVERAGE(E19:F19)</f>
        <v>4</v>
      </c>
      <c r="H19" s="91"/>
    </row>
    <row r="20" spans="1:8" ht="15.75" hidden="1" customHeight="1">
      <c r="A20" s="82"/>
      <c r="B20" s="193"/>
      <c r="C20" s="193" t="s">
        <v>309</v>
      </c>
      <c r="D20" s="193" t="s">
        <v>414</v>
      </c>
      <c r="E20" s="92">
        <v>4</v>
      </c>
      <c r="F20" s="92">
        <v>4</v>
      </c>
      <c r="G20" s="133">
        <f t="shared" si="2"/>
        <v>4</v>
      </c>
      <c r="H20" s="90"/>
    </row>
    <row r="21" spans="1:8" ht="15.75" hidden="1" customHeight="1">
      <c r="A21" s="82"/>
      <c r="B21" s="193"/>
      <c r="C21" s="193" t="s">
        <v>316</v>
      </c>
      <c r="D21" s="193" t="s">
        <v>415</v>
      </c>
      <c r="E21" s="92">
        <v>4</v>
      </c>
      <c r="F21" s="92">
        <v>4</v>
      </c>
      <c r="G21" s="133">
        <f t="shared" si="2"/>
        <v>4</v>
      </c>
      <c r="H21" s="90"/>
    </row>
    <row r="22" spans="1:8" ht="15.75" hidden="1" customHeight="1">
      <c r="A22" s="82"/>
      <c r="B22" s="86"/>
      <c r="C22" s="193" t="s">
        <v>318</v>
      </c>
      <c r="D22" s="193" t="s">
        <v>416</v>
      </c>
      <c r="E22" s="92">
        <v>4</v>
      </c>
      <c r="F22" s="92">
        <v>4</v>
      </c>
      <c r="G22" s="133">
        <f t="shared" si="2"/>
        <v>4</v>
      </c>
      <c r="H22" s="90"/>
    </row>
    <row r="23" spans="1:8" ht="15.75" hidden="1" customHeight="1">
      <c r="A23" s="82"/>
      <c r="B23" s="86"/>
      <c r="C23" s="193" t="s">
        <v>320</v>
      </c>
      <c r="D23" s="193" t="s">
        <v>417</v>
      </c>
      <c r="E23" s="92">
        <v>4</v>
      </c>
      <c r="F23" s="92">
        <v>4</v>
      </c>
      <c r="G23" s="133">
        <f t="shared" si="2"/>
        <v>4</v>
      </c>
      <c r="H23" s="90"/>
    </row>
    <row r="24" spans="1:8" ht="15.75" hidden="1" customHeight="1">
      <c r="A24" s="82"/>
      <c r="B24" s="86"/>
      <c r="C24" s="193" t="s">
        <v>353</v>
      </c>
      <c r="D24" s="193" t="s">
        <v>418</v>
      </c>
      <c r="E24" s="92">
        <v>4</v>
      </c>
      <c r="F24" s="92">
        <v>4</v>
      </c>
      <c r="G24" s="133">
        <f t="shared" si="2"/>
        <v>4</v>
      </c>
      <c r="H24" s="90"/>
    </row>
    <row r="25" spans="1:8" ht="15.75" hidden="1" customHeight="1">
      <c r="A25" s="82"/>
      <c r="B25" s="192" t="s">
        <v>311</v>
      </c>
      <c r="C25" s="271"/>
      <c r="D25" s="271"/>
      <c r="E25" s="271"/>
      <c r="F25" s="271"/>
      <c r="G25" s="271"/>
      <c r="H25" s="272"/>
    </row>
    <row r="26" spans="1:8" ht="15.75" hidden="1" customHeight="1">
      <c r="A26" s="99"/>
      <c r="B26" s="87" t="s">
        <v>285</v>
      </c>
      <c r="C26" s="271" t="s">
        <v>312</v>
      </c>
      <c r="D26" s="271"/>
      <c r="E26" s="271"/>
      <c r="F26" s="271"/>
      <c r="G26" s="271"/>
      <c r="H26" s="272"/>
    </row>
    <row r="27" spans="1:8" ht="15.75" hidden="1" customHeight="1">
      <c r="A27" s="82"/>
      <c r="B27" s="87" t="s">
        <v>285</v>
      </c>
      <c r="C27" s="271" t="s">
        <v>312</v>
      </c>
      <c r="D27" s="271"/>
      <c r="E27" s="271"/>
      <c r="F27" s="271"/>
      <c r="G27" s="271"/>
      <c r="H27" s="272"/>
    </row>
    <row r="28" spans="1:8" ht="15.75" hidden="1" customHeight="1">
      <c r="A28" s="82"/>
      <c r="B28" s="86"/>
      <c r="C28" s="193"/>
      <c r="D28" s="193"/>
      <c r="E28" s="92"/>
      <c r="F28" s="92"/>
      <c r="G28" s="92"/>
      <c r="H28" s="91"/>
    </row>
    <row r="29" spans="1:8" ht="15.75" customHeight="1">
      <c r="A29" s="82"/>
      <c r="B29" s="78">
        <v>1.3</v>
      </c>
      <c r="C29" s="193"/>
      <c r="D29" s="193" t="s">
        <v>420</v>
      </c>
      <c r="E29" s="93"/>
      <c r="F29" s="93"/>
      <c r="G29" s="93"/>
      <c r="H29" s="90">
        <f>AVERAGE(G31:G39)</f>
        <v>4</v>
      </c>
    </row>
    <row r="30" spans="1:8" ht="15.75" hidden="1" customHeight="1">
      <c r="A30" s="82"/>
      <c r="B30" s="193"/>
      <c r="C30" s="193"/>
      <c r="D30" s="193"/>
      <c r="E30" s="92"/>
      <c r="F30" s="92" t="s">
        <v>10</v>
      </c>
      <c r="G30" s="92" t="s">
        <v>306</v>
      </c>
      <c r="H30" s="91"/>
    </row>
    <row r="31" spans="1:8" ht="15.75" hidden="1" customHeight="1">
      <c r="A31" s="82"/>
      <c r="B31" s="193"/>
      <c r="C31" s="193" t="s">
        <v>307</v>
      </c>
      <c r="D31" s="193" t="s">
        <v>421</v>
      </c>
      <c r="E31" s="92"/>
      <c r="F31" s="92">
        <v>4</v>
      </c>
      <c r="G31" s="133">
        <f t="shared" ref="G31:G39" si="3">AVERAGE(E31:F31)</f>
        <v>4</v>
      </c>
      <c r="H31" s="91"/>
    </row>
    <row r="32" spans="1:8" ht="15.75" hidden="1" customHeight="1">
      <c r="A32" s="82"/>
      <c r="B32" s="193"/>
      <c r="C32" s="193" t="s">
        <v>309</v>
      </c>
      <c r="D32" s="193" t="s">
        <v>422</v>
      </c>
      <c r="E32" s="92"/>
      <c r="F32" s="92">
        <v>4</v>
      </c>
      <c r="G32" s="133">
        <f t="shared" si="3"/>
        <v>4</v>
      </c>
      <c r="H32" s="90"/>
    </row>
    <row r="33" spans="1:8" ht="15.75" hidden="1" customHeight="1">
      <c r="A33" s="82"/>
      <c r="B33" s="193"/>
      <c r="C33" s="193" t="s">
        <v>316</v>
      </c>
      <c r="D33" s="193" t="s">
        <v>423</v>
      </c>
      <c r="E33" s="92"/>
      <c r="F33" s="92">
        <v>4</v>
      </c>
      <c r="G33" s="133">
        <f t="shared" si="3"/>
        <v>4</v>
      </c>
      <c r="H33" s="91"/>
    </row>
    <row r="34" spans="1:8" ht="15.75" hidden="1" customHeight="1">
      <c r="A34" s="82"/>
      <c r="B34" s="193"/>
      <c r="C34" s="193" t="s">
        <v>318</v>
      </c>
      <c r="D34" s="193" t="s">
        <v>424</v>
      </c>
      <c r="E34" s="92"/>
      <c r="F34" s="92">
        <v>4</v>
      </c>
      <c r="G34" s="133">
        <f t="shared" si="3"/>
        <v>4</v>
      </c>
      <c r="H34" s="91"/>
    </row>
    <row r="35" spans="1:8" ht="15.75" hidden="1" customHeight="1">
      <c r="A35" s="82"/>
      <c r="B35" s="193"/>
      <c r="C35" s="193" t="s">
        <v>320</v>
      </c>
      <c r="D35" s="193" t="s">
        <v>425</v>
      </c>
      <c r="E35" s="92"/>
      <c r="F35" s="92">
        <v>4</v>
      </c>
      <c r="G35" s="133">
        <f t="shared" si="3"/>
        <v>4</v>
      </c>
      <c r="H35" s="91"/>
    </row>
    <row r="36" spans="1:8" ht="15.75" hidden="1" customHeight="1">
      <c r="A36" s="82"/>
      <c r="B36" s="193"/>
      <c r="C36" s="193" t="s">
        <v>353</v>
      </c>
      <c r="D36" s="193" t="s">
        <v>426</v>
      </c>
      <c r="E36" s="92"/>
      <c r="F36" s="92">
        <v>4</v>
      </c>
      <c r="G36" s="133">
        <f t="shared" si="3"/>
        <v>4</v>
      </c>
      <c r="H36" s="91"/>
    </row>
    <row r="37" spans="1:8" ht="15.75" hidden="1" customHeight="1">
      <c r="A37" s="82"/>
      <c r="B37" s="193"/>
      <c r="C37" s="193" t="s">
        <v>355</v>
      </c>
      <c r="D37" s="193" t="s">
        <v>427</v>
      </c>
      <c r="E37" s="92"/>
      <c r="F37" s="92">
        <v>4</v>
      </c>
      <c r="G37" s="133">
        <f t="shared" si="3"/>
        <v>4</v>
      </c>
      <c r="H37" s="91"/>
    </row>
    <row r="38" spans="1:8" ht="15.75" hidden="1" customHeight="1">
      <c r="A38" s="82"/>
      <c r="B38" s="193"/>
      <c r="C38" s="193" t="s">
        <v>398</v>
      </c>
      <c r="D38" s="193" t="s">
        <v>326</v>
      </c>
      <c r="E38" s="92"/>
      <c r="F38" s="92">
        <v>4</v>
      </c>
      <c r="G38" s="133">
        <f t="shared" si="3"/>
        <v>4</v>
      </c>
      <c r="H38" s="91"/>
    </row>
    <row r="39" spans="1:8" ht="15.75" hidden="1" customHeight="1">
      <c r="A39" s="82"/>
      <c r="B39" s="193"/>
      <c r="C39" s="193" t="s">
        <v>407</v>
      </c>
      <c r="D39" s="193" t="s">
        <v>354</v>
      </c>
      <c r="E39" s="92"/>
      <c r="F39" s="92">
        <v>4</v>
      </c>
      <c r="G39" s="133">
        <f t="shared" si="3"/>
        <v>4</v>
      </c>
      <c r="H39" s="91"/>
    </row>
    <row r="40" spans="1:8" ht="15.75" hidden="1" customHeight="1">
      <c r="A40" s="82"/>
      <c r="B40" s="192" t="s">
        <v>311</v>
      </c>
      <c r="C40" s="271"/>
      <c r="D40" s="271"/>
      <c r="E40" s="271"/>
      <c r="F40" s="271"/>
      <c r="G40" s="271"/>
      <c r="H40" s="272"/>
    </row>
    <row r="41" spans="1:8" ht="15.75" hidden="1" customHeight="1">
      <c r="A41" s="99"/>
      <c r="B41" s="87" t="s">
        <v>285</v>
      </c>
      <c r="C41" s="271" t="s">
        <v>312</v>
      </c>
      <c r="D41" s="271"/>
      <c r="E41" s="271"/>
      <c r="F41" s="271"/>
      <c r="G41" s="271"/>
      <c r="H41" s="272"/>
    </row>
    <row r="42" spans="1:8" ht="15.75" hidden="1" customHeight="1">
      <c r="A42" s="82"/>
      <c r="B42" s="87" t="s">
        <v>285</v>
      </c>
      <c r="C42" s="271" t="s">
        <v>312</v>
      </c>
      <c r="D42" s="271"/>
      <c r="E42" s="271"/>
      <c r="F42" s="271"/>
      <c r="G42" s="271"/>
      <c r="H42" s="272"/>
    </row>
    <row r="43" spans="1:8" ht="15.75" hidden="1" customHeight="1">
      <c r="A43" s="82"/>
      <c r="B43" s="87"/>
      <c r="C43" s="208"/>
      <c r="D43" s="208"/>
      <c r="E43" s="208"/>
      <c r="F43" s="208"/>
      <c r="G43" s="208"/>
      <c r="H43" s="209"/>
    </row>
    <row r="44" spans="1:8" ht="15.6">
      <c r="A44" s="82"/>
      <c r="B44" s="78">
        <v>1.4</v>
      </c>
      <c r="C44" s="193"/>
      <c r="D44" s="193" t="s">
        <v>428</v>
      </c>
      <c r="E44" s="93"/>
      <c r="F44" s="93"/>
      <c r="G44" s="93"/>
      <c r="H44" s="90">
        <f>AVERAGE(G46:G54)</f>
        <v>4</v>
      </c>
    </row>
    <row r="45" spans="1:8" ht="15.6" hidden="1">
      <c r="A45" s="82"/>
      <c r="B45" s="193"/>
      <c r="C45" s="193"/>
      <c r="D45" s="193"/>
      <c r="E45" s="92"/>
      <c r="F45" s="92" t="s">
        <v>10</v>
      </c>
      <c r="G45" s="92" t="s">
        <v>306</v>
      </c>
      <c r="H45" s="91"/>
    </row>
    <row r="46" spans="1:8" ht="15.6" hidden="1">
      <c r="A46" s="82"/>
      <c r="B46" s="193"/>
      <c r="C46" s="193" t="s">
        <v>307</v>
      </c>
      <c r="D46" s="193" t="s">
        <v>421</v>
      </c>
      <c r="E46" s="92"/>
      <c r="F46" s="92">
        <v>4</v>
      </c>
      <c r="G46" s="133">
        <f t="shared" ref="G46:G54" si="4">AVERAGE(E46:F46)</f>
        <v>4</v>
      </c>
      <c r="H46" s="91"/>
    </row>
    <row r="47" spans="1:8" ht="15.6" hidden="1">
      <c r="A47" s="82"/>
      <c r="B47" s="193"/>
      <c r="C47" s="193" t="s">
        <v>309</v>
      </c>
      <c r="D47" s="193" t="s">
        <v>422</v>
      </c>
      <c r="E47" s="92"/>
      <c r="F47" s="92">
        <v>4</v>
      </c>
      <c r="G47" s="133">
        <f t="shared" si="4"/>
        <v>4</v>
      </c>
      <c r="H47" s="90"/>
    </row>
    <row r="48" spans="1:8" ht="15.6" hidden="1">
      <c r="A48" s="82"/>
      <c r="B48" s="193"/>
      <c r="C48" s="193" t="s">
        <v>316</v>
      </c>
      <c r="D48" s="193" t="s">
        <v>423</v>
      </c>
      <c r="E48" s="92"/>
      <c r="F48" s="92">
        <v>4</v>
      </c>
      <c r="G48" s="133">
        <f t="shared" si="4"/>
        <v>4</v>
      </c>
      <c r="H48" s="91"/>
    </row>
    <row r="49" spans="1:27" ht="15.6" hidden="1">
      <c r="A49" s="82"/>
      <c r="B49" s="193"/>
      <c r="C49" s="193" t="s">
        <v>318</v>
      </c>
      <c r="D49" s="193" t="s">
        <v>424</v>
      </c>
      <c r="E49" s="92"/>
      <c r="F49" s="92">
        <v>4</v>
      </c>
      <c r="G49" s="133">
        <f t="shared" si="4"/>
        <v>4</v>
      </c>
      <c r="H49" s="9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6" hidden="1">
      <c r="A50" s="82"/>
      <c r="B50" s="193"/>
      <c r="C50" s="193" t="s">
        <v>320</v>
      </c>
      <c r="D50" s="193" t="s">
        <v>425</v>
      </c>
      <c r="E50" s="92"/>
      <c r="F50" s="92">
        <v>4</v>
      </c>
      <c r="G50" s="133">
        <f t="shared" si="4"/>
        <v>4</v>
      </c>
      <c r="H50" s="91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6" hidden="1">
      <c r="A51" s="82"/>
      <c r="B51" s="193"/>
      <c r="C51" s="193" t="s">
        <v>353</v>
      </c>
      <c r="D51" s="193" t="s">
        <v>426</v>
      </c>
      <c r="E51" s="92"/>
      <c r="F51" s="92">
        <v>4</v>
      </c>
      <c r="G51" s="133">
        <f t="shared" si="4"/>
        <v>4</v>
      </c>
      <c r="H51" s="91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6" hidden="1">
      <c r="A52" s="82"/>
      <c r="B52" s="193"/>
      <c r="C52" s="193" t="s">
        <v>355</v>
      </c>
      <c r="D52" s="193" t="s">
        <v>427</v>
      </c>
      <c r="E52" s="92"/>
      <c r="F52" s="92">
        <v>4</v>
      </c>
      <c r="G52" s="133">
        <f t="shared" si="4"/>
        <v>4</v>
      </c>
      <c r="H52" s="91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6" hidden="1">
      <c r="A53" s="82"/>
      <c r="B53" s="193"/>
      <c r="C53" s="193" t="s">
        <v>398</v>
      </c>
      <c r="D53" s="193" t="s">
        <v>326</v>
      </c>
      <c r="E53" s="92"/>
      <c r="F53" s="92">
        <v>4</v>
      </c>
      <c r="G53" s="133">
        <f t="shared" si="4"/>
        <v>4</v>
      </c>
      <c r="H53" s="91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6" hidden="1">
      <c r="A54" s="82"/>
      <c r="B54" s="193"/>
      <c r="C54" s="193" t="s">
        <v>407</v>
      </c>
      <c r="D54" s="193" t="s">
        <v>354</v>
      </c>
      <c r="E54" s="92"/>
      <c r="F54" s="92">
        <v>4</v>
      </c>
      <c r="G54" s="133">
        <f t="shared" si="4"/>
        <v>4</v>
      </c>
      <c r="H54" s="91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6" hidden="1">
      <c r="A55" s="82"/>
      <c r="B55" s="192" t="s">
        <v>311</v>
      </c>
      <c r="C55" s="271"/>
      <c r="D55" s="271"/>
      <c r="E55" s="271"/>
      <c r="F55" s="271"/>
      <c r="G55" s="271"/>
      <c r="H55" s="272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5.6" hidden="1">
      <c r="A56" s="82"/>
      <c r="B56" s="87" t="s">
        <v>285</v>
      </c>
      <c r="C56" s="271" t="s">
        <v>312</v>
      </c>
      <c r="D56" s="271"/>
      <c r="E56" s="271"/>
      <c r="F56" s="271"/>
      <c r="G56" s="271"/>
      <c r="H56" s="272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spans="1:27" ht="15.6" hidden="1">
      <c r="A57" s="82"/>
      <c r="B57" s="87" t="s">
        <v>285</v>
      </c>
      <c r="C57" s="271" t="s">
        <v>312</v>
      </c>
      <c r="D57" s="271"/>
      <c r="E57" s="271"/>
      <c r="F57" s="271"/>
      <c r="G57" s="271"/>
      <c r="H57" s="272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spans="1:27" ht="15.6" hidden="1">
      <c r="A58" s="82"/>
      <c r="B58" s="87"/>
      <c r="C58" s="208"/>
      <c r="D58" s="208"/>
      <c r="E58" s="208"/>
      <c r="F58" s="208"/>
      <c r="G58" s="208"/>
      <c r="H58" s="209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 ht="15.6">
      <c r="A59" s="82"/>
      <c r="B59" s="78">
        <v>1.5</v>
      </c>
      <c r="C59" s="193"/>
      <c r="D59" s="193" t="s">
        <v>429</v>
      </c>
      <c r="E59" s="93"/>
      <c r="F59" s="93"/>
      <c r="G59" s="93"/>
      <c r="H59" s="90">
        <f>AVERAGE(G61:G68)</f>
        <v>4</v>
      </c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spans="1:27" ht="15.6" hidden="1">
      <c r="A60" s="82"/>
      <c r="B60" s="193"/>
      <c r="C60" s="193"/>
      <c r="D60" s="193"/>
      <c r="E60" s="92"/>
      <c r="F60" s="92" t="s">
        <v>10</v>
      </c>
      <c r="G60" s="92" t="s">
        <v>306</v>
      </c>
      <c r="H60" s="91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spans="1:27" ht="15.6" hidden="1">
      <c r="A61" s="82"/>
      <c r="B61" s="193"/>
      <c r="C61" s="193" t="s">
        <v>307</v>
      </c>
      <c r="D61" s="193" t="s">
        <v>430</v>
      </c>
      <c r="E61" s="92"/>
      <c r="F61" s="92">
        <v>4</v>
      </c>
      <c r="G61" s="133">
        <f t="shared" ref="G61" si="5">AVERAGE(E61:F61)</f>
        <v>4</v>
      </c>
      <c r="H61" s="91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spans="1:27" ht="15.6" hidden="1">
      <c r="A62" s="82"/>
      <c r="B62" s="193"/>
      <c r="C62" s="193" t="s">
        <v>309</v>
      </c>
      <c r="D62" s="193" t="s">
        <v>350</v>
      </c>
      <c r="E62" s="92"/>
      <c r="F62" s="92">
        <v>4</v>
      </c>
      <c r="G62" s="133">
        <f t="shared" ref="G62:G68" si="6">AVERAGE(E62:F62)</f>
        <v>4</v>
      </c>
      <c r="H62" s="90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spans="1:27" s="72" customFormat="1" ht="15.75" hidden="1" customHeight="1">
      <c r="A63" s="111"/>
      <c r="B63" s="104"/>
      <c r="C63" s="104"/>
      <c r="D63" s="104" t="s">
        <v>351</v>
      </c>
      <c r="E63" s="107"/>
      <c r="F63" s="107"/>
      <c r="G63" s="134"/>
      <c r="H63" s="110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 spans="1:27" ht="15.6" hidden="1">
      <c r="A64" s="82"/>
      <c r="B64" s="193"/>
      <c r="C64" s="193" t="s">
        <v>316</v>
      </c>
      <c r="D64" s="193" t="s">
        <v>349</v>
      </c>
      <c r="E64" s="92"/>
      <c r="F64" s="92">
        <v>4</v>
      </c>
      <c r="G64" s="133">
        <f t="shared" si="6"/>
        <v>4</v>
      </c>
      <c r="H64" s="91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8" ht="15.6" hidden="1">
      <c r="A65" s="82"/>
      <c r="B65" s="193"/>
      <c r="C65" s="193" t="s">
        <v>318</v>
      </c>
      <c r="D65" s="193" t="s">
        <v>431</v>
      </c>
      <c r="E65" s="92"/>
      <c r="F65" s="92">
        <v>4</v>
      </c>
      <c r="G65" s="133">
        <f t="shared" si="6"/>
        <v>4</v>
      </c>
      <c r="H65" s="91"/>
    </row>
    <row r="66" spans="1:8" ht="15.6" hidden="1">
      <c r="A66" s="82"/>
      <c r="B66" s="193"/>
      <c r="C66" s="193" t="s">
        <v>320</v>
      </c>
      <c r="D66" s="193" t="s">
        <v>432</v>
      </c>
      <c r="E66" s="92"/>
      <c r="F66" s="92">
        <v>4</v>
      </c>
      <c r="G66" s="133">
        <f t="shared" si="6"/>
        <v>4</v>
      </c>
      <c r="H66" s="91"/>
    </row>
    <row r="67" spans="1:8" ht="15.6" hidden="1">
      <c r="A67" s="82"/>
      <c r="B67" s="193"/>
      <c r="C67" s="193" t="s">
        <v>353</v>
      </c>
      <c r="D67" s="193" t="s">
        <v>433</v>
      </c>
      <c r="E67" s="92"/>
      <c r="F67" s="92">
        <v>4</v>
      </c>
      <c r="G67" s="133">
        <f t="shared" si="6"/>
        <v>4</v>
      </c>
      <c r="H67" s="91"/>
    </row>
    <row r="68" spans="1:8" ht="15.6" hidden="1">
      <c r="A68" s="82"/>
      <c r="B68" s="193"/>
      <c r="C68" s="193" t="s">
        <v>355</v>
      </c>
      <c r="D68" s="193" t="s">
        <v>434</v>
      </c>
      <c r="E68" s="92"/>
      <c r="F68" s="92">
        <v>4</v>
      </c>
      <c r="G68" s="133">
        <f t="shared" si="6"/>
        <v>4</v>
      </c>
      <c r="H68" s="91"/>
    </row>
    <row r="69" spans="1:8" ht="15.6" hidden="1">
      <c r="A69" s="82"/>
      <c r="B69" s="192" t="s">
        <v>311</v>
      </c>
      <c r="C69" s="271"/>
      <c r="D69" s="271"/>
      <c r="E69" s="271"/>
      <c r="F69" s="271"/>
      <c r="G69" s="271"/>
      <c r="H69" s="272"/>
    </row>
    <row r="70" spans="1:8" ht="15.6" hidden="1">
      <c r="A70" s="82"/>
      <c r="B70" s="87" t="s">
        <v>285</v>
      </c>
      <c r="C70" s="271" t="s">
        <v>312</v>
      </c>
      <c r="D70" s="271"/>
      <c r="E70" s="271"/>
      <c r="F70" s="271"/>
      <c r="G70" s="271"/>
      <c r="H70" s="272"/>
    </row>
    <row r="71" spans="1:8" ht="15.6" hidden="1">
      <c r="A71" s="82"/>
      <c r="B71" s="87" t="s">
        <v>285</v>
      </c>
      <c r="C71" s="271" t="s">
        <v>312</v>
      </c>
      <c r="D71" s="271"/>
      <c r="E71" s="271"/>
      <c r="F71" s="271"/>
      <c r="G71" s="271"/>
      <c r="H71" s="272"/>
    </row>
    <row r="72" spans="1:8" ht="15.6" hidden="1">
      <c r="A72" s="82"/>
      <c r="B72" s="87"/>
      <c r="C72" s="208"/>
      <c r="D72" s="208"/>
      <c r="E72" s="208"/>
      <c r="F72" s="208"/>
      <c r="G72" s="208"/>
      <c r="H72" s="209"/>
    </row>
    <row r="73" spans="1:8" ht="15.6">
      <c r="A73" s="82"/>
      <c r="B73" s="78">
        <v>1.6</v>
      </c>
      <c r="C73" s="193"/>
      <c r="D73" s="193" t="s">
        <v>429</v>
      </c>
      <c r="E73" s="93"/>
      <c r="F73" s="93"/>
      <c r="G73" s="93"/>
      <c r="H73" s="90">
        <f>AVERAGE(G75:G77)</f>
        <v>4</v>
      </c>
    </row>
    <row r="74" spans="1:8" ht="15.6" hidden="1">
      <c r="A74" s="82"/>
      <c r="B74" s="193"/>
      <c r="C74" s="193"/>
      <c r="D74" s="193"/>
      <c r="E74" s="92"/>
      <c r="F74" s="92" t="s">
        <v>10</v>
      </c>
      <c r="G74" s="92" t="s">
        <v>306</v>
      </c>
      <c r="H74" s="91"/>
    </row>
    <row r="75" spans="1:8" ht="15.6" hidden="1">
      <c r="A75" s="82"/>
      <c r="B75" s="193"/>
      <c r="C75" s="193" t="s">
        <v>307</v>
      </c>
      <c r="D75" s="193" t="s">
        <v>435</v>
      </c>
      <c r="E75" s="92"/>
      <c r="F75" s="92">
        <v>4</v>
      </c>
      <c r="G75" s="133">
        <f t="shared" ref="G75" si="7">AVERAGE(E75:F75)</f>
        <v>4</v>
      </c>
      <c r="H75" s="91"/>
    </row>
    <row r="76" spans="1:8" ht="15.6" hidden="1">
      <c r="A76" s="82"/>
      <c r="B76" s="193"/>
      <c r="C76" s="193" t="s">
        <v>309</v>
      </c>
      <c r="D76" s="193" t="s">
        <v>436</v>
      </c>
      <c r="E76" s="92"/>
      <c r="F76" s="92">
        <v>4</v>
      </c>
      <c r="G76" s="133">
        <f>AVERAGE(E76:F76)</f>
        <v>4</v>
      </c>
      <c r="H76" s="90"/>
    </row>
    <row r="77" spans="1:8" ht="15.6" hidden="1">
      <c r="A77" s="82"/>
      <c r="B77" s="193"/>
      <c r="C77" s="193" t="s">
        <v>316</v>
      </c>
      <c r="D77" s="193" t="s">
        <v>437</v>
      </c>
      <c r="E77" s="92"/>
      <c r="F77" s="92">
        <v>4</v>
      </c>
      <c r="G77" s="133">
        <f t="shared" ref="G77" si="8">AVERAGE(E77:F77)</f>
        <v>4</v>
      </c>
      <c r="H77" s="91"/>
    </row>
    <row r="78" spans="1:8" ht="15.6" hidden="1">
      <c r="A78" s="82"/>
      <c r="B78" s="192" t="s">
        <v>311</v>
      </c>
      <c r="C78" s="271"/>
      <c r="D78" s="271"/>
      <c r="E78" s="271"/>
      <c r="F78" s="271"/>
      <c r="G78" s="271"/>
      <c r="H78" s="272"/>
    </row>
    <row r="79" spans="1:8" ht="15.6" hidden="1">
      <c r="A79" s="82"/>
      <c r="B79" s="87" t="s">
        <v>285</v>
      </c>
      <c r="C79" s="271" t="s">
        <v>312</v>
      </c>
      <c r="D79" s="271"/>
      <c r="E79" s="271"/>
      <c r="F79" s="271"/>
      <c r="G79" s="271"/>
      <c r="H79" s="272"/>
    </row>
    <row r="80" spans="1:8" ht="15.6" hidden="1">
      <c r="A80" s="82"/>
      <c r="B80" s="87" t="s">
        <v>285</v>
      </c>
      <c r="C80" s="271" t="s">
        <v>312</v>
      </c>
      <c r="D80" s="271"/>
      <c r="E80" s="271"/>
      <c r="F80" s="271"/>
      <c r="G80" s="271"/>
      <c r="H80" s="272"/>
    </row>
    <row r="81" spans="1:8" ht="15.6" hidden="1">
      <c r="A81" s="82"/>
      <c r="B81" s="87"/>
      <c r="C81" s="208"/>
      <c r="D81" s="208"/>
      <c r="E81" s="208"/>
      <c r="F81" s="208"/>
      <c r="G81" s="208"/>
      <c r="H81" s="209"/>
    </row>
    <row r="82" spans="1:8" ht="15.75" customHeight="1">
      <c r="A82" s="94"/>
      <c r="B82" s="95"/>
      <c r="C82" s="95"/>
      <c r="D82" s="96"/>
      <c r="E82" s="96"/>
      <c r="F82" s="96"/>
      <c r="G82" s="96"/>
      <c r="H82" s="97"/>
    </row>
    <row r="83" spans="1:8" ht="15.75" customHeight="1">
      <c r="A83" s="98">
        <v>2</v>
      </c>
      <c r="B83" s="275" t="s">
        <v>438</v>
      </c>
      <c r="C83" s="275"/>
      <c r="D83" s="275"/>
      <c r="E83" s="275"/>
      <c r="F83" s="275"/>
      <c r="G83" s="275"/>
      <c r="H83" s="103">
        <f>AVERAGE(H84:H200)</f>
        <v>4</v>
      </c>
    </row>
    <row r="84" spans="1:8" ht="15.75" customHeight="1">
      <c r="A84" s="82"/>
      <c r="B84" s="124" t="s">
        <v>439</v>
      </c>
      <c r="C84" s="193"/>
      <c r="D84" s="193" t="s">
        <v>440</v>
      </c>
      <c r="E84" s="194"/>
      <c r="F84" s="194"/>
      <c r="G84" s="194"/>
      <c r="H84" s="90">
        <f>AVERAGE(G86:G86)</f>
        <v>4</v>
      </c>
    </row>
    <row r="85" spans="1:8" ht="15.75" hidden="1" customHeight="1">
      <c r="A85" s="82"/>
      <c r="B85" s="193"/>
      <c r="C85" s="193"/>
      <c r="D85" s="193"/>
      <c r="E85" s="92" t="s">
        <v>4</v>
      </c>
      <c r="F85" s="92" t="s">
        <v>10</v>
      </c>
      <c r="G85" s="92" t="s">
        <v>306</v>
      </c>
      <c r="H85" s="84"/>
    </row>
    <row r="86" spans="1:8" ht="15.75" hidden="1" customHeight="1">
      <c r="A86" s="82"/>
      <c r="B86" s="193"/>
      <c r="C86" s="193" t="s">
        <v>307</v>
      </c>
      <c r="D86" s="193" t="s">
        <v>326</v>
      </c>
      <c r="E86" s="92">
        <v>4</v>
      </c>
      <c r="F86" s="92">
        <v>4</v>
      </c>
      <c r="G86" s="133">
        <f t="shared" ref="G86" si="9">AVERAGE(E86:F86)</f>
        <v>4</v>
      </c>
      <c r="H86" s="84"/>
    </row>
    <row r="87" spans="1:8" ht="15.75" hidden="1" customHeight="1">
      <c r="A87" s="82"/>
      <c r="B87" s="192" t="s">
        <v>311</v>
      </c>
      <c r="C87" s="271"/>
      <c r="D87" s="271"/>
      <c r="E87" s="271"/>
      <c r="F87" s="271"/>
      <c r="G87" s="271"/>
      <c r="H87" s="272"/>
    </row>
    <row r="88" spans="1:8" ht="15.75" hidden="1" customHeight="1">
      <c r="A88" s="99"/>
      <c r="B88" s="87" t="s">
        <v>285</v>
      </c>
      <c r="C88" s="271" t="s">
        <v>312</v>
      </c>
      <c r="D88" s="271"/>
      <c r="E88" s="271"/>
      <c r="F88" s="271"/>
      <c r="G88" s="271"/>
      <c r="H88" s="272"/>
    </row>
    <row r="89" spans="1:8" ht="15.75" hidden="1" customHeight="1">
      <c r="A89" s="82"/>
      <c r="B89" s="87" t="s">
        <v>285</v>
      </c>
      <c r="C89" s="271" t="s">
        <v>312</v>
      </c>
      <c r="D89" s="271"/>
      <c r="E89" s="271"/>
      <c r="F89" s="271"/>
      <c r="G89" s="271"/>
      <c r="H89" s="272"/>
    </row>
    <row r="90" spans="1:8" ht="15.6" hidden="1">
      <c r="A90" s="82"/>
      <c r="B90" s="80"/>
      <c r="C90" s="193"/>
      <c r="D90" s="193"/>
      <c r="E90" s="92"/>
      <c r="F90" s="92"/>
      <c r="G90" s="92"/>
      <c r="H90" s="83"/>
    </row>
    <row r="91" spans="1:8" ht="15.6">
      <c r="A91" s="82"/>
      <c r="B91" s="124" t="s">
        <v>441</v>
      </c>
      <c r="C91" s="193"/>
      <c r="D91" s="193" t="s">
        <v>442</v>
      </c>
      <c r="E91" s="92"/>
      <c r="F91" s="92"/>
      <c r="G91" s="92"/>
      <c r="H91" s="90">
        <f>AVERAGE(G93:G93)</f>
        <v>4</v>
      </c>
    </row>
    <row r="92" spans="1:8" ht="15.6" hidden="1">
      <c r="A92" s="82"/>
      <c r="B92" s="193"/>
      <c r="C92" s="193"/>
      <c r="D92" s="193"/>
      <c r="E92" s="92" t="s">
        <v>4</v>
      </c>
      <c r="F92" s="92" t="s">
        <v>10</v>
      </c>
      <c r="G92" s="92" t="s">
        <v>306</v>
      </c>
      <c r="H92" s="84"/>
    </row>
    <row r="93" spans="1:8" ht="15.6" hidden="1">
      <c r="A93" s="82"/>
      <c r="B93" s="193"/>
      <c r="C93" s="193" t="s">
        <v>307</v>
      </c>
      <c r="D93" s="193" t="s">
        <v>326</v>
      </c>
      <c r="E93" s="92">
        <v>4</v>
      </c>
      <c r="F93" s="92">
        <v>4</v>
      </c>
      <c r="G93" s="133">
        <f t="shared" ref="G93" si="10">AVERAGE(E93:F93)</f>
        <v>4</v>
      </c>
      <c r="H93" s="84"/>
    </row>
    <row r="94" spans="1:8" ht="15.75" hidden="1" customHeight="1">
      <c r="A94" s="82"/>
      <c r="B94" s="192" t="s">
        <v>311</v>
      </c>
      <c r="C94" s="271"/>
      <c r="D94" s="271"/>
      <c r="E94" s="271"/>
      <c r="F94" s="271"/>
      <c r="G94" s="271"/>
      <c r="H94" s="272"/>
    </row>
    <row r="95" spans="1:8" ht="15.75" hidden="1" customHeight="1">
      <c r="A95" s="99"/>
      <c r="B95" s="87" t="s">
        <v>285</v>
      </c>
      <c r="C95" s="271" t="s">
        <v>312</v>
      </c>
      <c r="D95" s="271"/>
      <c r="E95" s="271"/>
      <c r="F95" s="271"/>
      <c r="G95" s="271"/>
      <c r="H95" s="272"/>
    </row>
    <row r="96" spans="1:8" ht="15.75" hidden="1" customHeight="1">
      <c r="A96" s="82"/>
      <c r="B96" s="87" t="s">
        <v>285</v>
      </c>
      <c r="C96" s="271" t="s">
        <v>312</v>
      </c>
      <c r="D96" s="271"/>
      <c r="E96" s="271"/>
      <c r="F96" s="271"/>
      <c r="G96" s="271"/>
      <c r="H96" s="272"/>
    </row>
    <row r="97" spans="1:8" ht="15.6" hidden="1">
      <c r="A97" s="82"/>
      <c r="B97" s="86"/>
      <c r="C97" s="193"/>
      <c r="D97" s="193"/>
      <c r="E97" s="92"/>
      <c r="F97" s="92"/>
      <c r="G97" s="92"/>
      <c r="H97" s="84"/>
    </row>
    <row r="98" spans="1:8" ht="15.6">
      <c r="A98" s="82"/>
      <c r="B98" s="124" t="s">
        <v>443</v>
      </c>
      <c r="C98" s="193"/>
      <c r="D98" s="193" t="s">
        <v>444</v>
      </c>
      <c r="E98" s="93"/>
      <c r="F98" s="93"/>
      <c r="G98" s="93"/>
      <c r="H98" s="90">
        <f>AVERAGE(G100:G101)</f>
        <v>4</v>
      </c>
    </row>
    <row r="99" spans="1:8" ht="15.6" hidden="1">
      <c r="A99" s="82"/>
      <c r="B99" s="193"/>
      <c r="C99" s="193"/>
      <c r="D99" s="193"/>
      <c r="E99" s="92" t="s">
        <v>4</v>
      </c>
      <c r="F99" s="92" t="s">
        <v>10</v>
      </c>
      <c r="G99" s="92" t="s">
        <v>306</v>
      </c>
      <c r="H99" s="85"/>
    </row>
    <row r="100" spans="1:8" ht="15.6" hidden="1">
      <c r="A100" s="82"/>
      <c r="B100" s="193"/>
      <c r="C100" s="193" t="s">
        <v>307</v>
      </c>
      <c r="D100" s="193" t="s">
        <v>349</v>
      </c>
      <c r="E100" s="92">
        <v>4</v>
      </c>
      <c r="F100" s="92">
        <v>4</v>
      </c>
      <c r="G100" s="133">
        <f t="shared" ref="G100:G101" si="11">AVERAGE(E100:F100)</f>
        <v>4</v>
      </c>
      <c r="H100" s="85"/>
    </row>
    <row r="101" spans="1:8" ht="15.6" hidden="1">
      <c r="A101" s="82"/>
      <c r="B101" s="193"/>
      <c r="C101" s="193" t="s">
        <v>309</v>
      </c>
      <c r="D101" s="193" t="s">
        <v>326</v>
      </c>
      <c r="E101" s="92">
        <v>4</v>
      </c>
      <c r="F101" s="92">
        <v>4</v>
      </c>
      <c r="G101" s="133">
        <f t="shared" si="11"/>
        <v>4</v>
      </c>
      <c r="H101" s="85"/>
    </row>
    <row r="102" spans="1:8" ht="15.6" hidden="1">
      <c r="A102" s="82"/>
      <c r="B102" s="192" t="s">
        <v>311</v>
      </c>
      <c r="C102" s="193"/>
      <c r="D102" s="193"/>
      <c r="E102" s="78"/>
      <c r="F102" s="193"/>
      <c r="G102" s="78"/>
      <c r="H102" s="85"/>
    </row>
    <row r="103" spans="1:8" ht="15.75" hidden="1" customHeight="1">
      <c r="A103" s="99"/>
      <c r="B103" s="87" t="s">
        <v>285</v>
      </c>
      <c r="C103" s="271" t="s">
        <v>312</v>
      </c>
      <c r="D103" s="271"/>
      <c r="E103" s="271"/>
      <c r="F103" s="271"/>
      <c r="G103" s="271"/>
      <c r="H103" s="272"/>
    </row>
    <row r="104" spans="1:8" ht="15.75" hidden="1" customHeight="1">
      <c r="A104" s="82"/>
      <c r="B104" s="87" t="s">
        <v>285</v>
      </c>
      <c r="C104" s="271" t="s">
        <v>312</v>
      </c>
      <c r="D104" s="271"/>
      <c r="E104" s="271"/>
      <c r="F104" s="271"/>
      <c r="G104" s="271"/>
      <c r="H104" s="272"/>
    </row>
    <row r="105" spans="1:8" ht="15.75" hidden="1" customHeight="1">
      <c r="A105" s="82"/>
      <c r="B105" s="87"/>
      <c r="C105" s="208"/>
      <c r="D105" s="208"/>
      <c r="E105" s="208"/>
      <c r="F105" s="208"/>
      <c r="G105" s="208"/>
      <c r="H105" s="209"/>
    </row>
    <row r="106" spans="1:8" ht="15.75" customHeight="1">
      <c r="A106" s="82"/>
      <c r="B106" s="124" t="s">
        <v>445</v>
      </c>
      <c r="C106" s="193"/>
      <c r="D106" s="193" t="s">
        <v>446</v>
      </c>
      <c r="E106" s="92"/>
      <c r="F106" s="92"/>
      <c r="G106" s="92"/>
      <c r="H106" s="90">
        <f>AVERAGE(G108:G111)</f>
        <v>4</v>
      </c>
    </row>
    <row r="107" spans="1:8" ht="15.75" hidden="1" customHeight="1">
      <c r="A107" s="82"/>
      <c r="B107" s="193"/>
      <c r="C107" s="193"/>
      <c r="D107" s="193"/>
      <c r="E107" s="92" t="s">
        <v>4</v>
      </c>
      <c r="F107" s="92" t="s">
        <v>10</v>
      </c>
      <c r="G107" s="92" t="s">
        <v>306</v>
      </c>
      <c r="H107" s="84"/>
    </row>
    <row r="108" spans="1:8" ht="15.75" hidden="1" customHeight="1">
      <c r="A108" s="82"/>
      <c r="B108" s="193"/>
      <c r="C108" s="193" t="s">
        <v>307</v>
      </c>
      <c r="D108" s="193" t="s">
        <v>447</v>
      </c>
      <c r="E108" s="92" t="s">
        <v>285</v>
      </c>
      <c r="F108" s="92">
        <v>4</v>
      </c>
      <c r="G108" s="133">
        <f t="shared" ref="G108:G111" si="12">AVERAGE(E108:F108)</f>
        <v>4</v>
      </c>
      <c r="H108" s="84"/>
    </row>
    <row r="109" spans="1:8" ht="15.75" hidden="1" customHeight="1">
      <c r="A109" s="82"/>
      <c r="B109" s="193"/>
      <c r="C109" s="193" t="s">
        <v>309</v>
      </c>
      <c r="D109" s="193" t="s">
        <v>448</v>
      </c>
      <c r="E109" s="92">
        <v>4</v>
      </c>
      <c r="F109" s="92">
        <v>4</v>
      </c>
      <c r="G109" s="133">
        <f t="shared" si="12"/>
        <v>4</v>
      </c>
      <c r="H109" s="84"/>
    </row>
    <row r="110" spans="1:8" ht="15.75" hidden="1" customHeight="1">
      <c r="A110" s="82"/>
      <c r="B110" s="193"/>
      <c r="C110" s="193" t="s">
        <v>316</v>
      </c>
      <c r="D110" s="193" t="s">
        <v>449</v>
      </c>
      <c r="E110" s="92" t="s">
        <v>285</v>
      </c>
      <c r="F110" s="92">
        <v>4</v>
      </c>
      <c r="G110" s="133">
        <f t="shared" si="12"/>
        <v>4</v>
      </c>
      <c r="H110" s="84"/>
    </row>
    <row r="111" spans="1:8" ht="15.75" hidden="1" customHeight="1">
      <c r="A111" s="82"/>
      <c r="B111" s="193"/>
      <c r="C111" s="193" t="s">
        <v>318</v>
      </c>
      <c r="D111" s="193" t="s">
        <v>450</v>
      </c>
      <c r="E111" s="92" t="s">
        <v>285</v>
      </c>
      <c r="F111" s="92">
        <v>4</v>
      </c>
      <c r="G111" s="133">
        <f t="shared" si="12"/>
        <v>4</v>
      </c>
      <c r="H111" s="84"/>
    </row>
    <row r="112" spans="1:8" ht="15.75" hidden="1" customHeight="1">
      <c r="A112" s="82"/>
      <c r="B112" s="192" t="s">
        <v>311</v>
      </c>
      <c r="C112" s="271"/>
      <c r="D112" s="271"/>
      <c r="E112" s="271"/>
      <c r="F112" s="271"/>
      <c r="G112" s="271"/>
      <c r="H112" s="272"/>
    </row>
    <row r="113" spans="1:8" ht="15.75" hidden="1" customHeight="1">
      <c r="A113" s="99"/>
      <c r="B113" s="87" t="s">
        <v>285</v>
      </c>
      <c r="C113" s="271" t="s">
        <v>312</v>
      </c>
      <c r="D113" s="271"/>
      <c r="E113" s="271"/>
      <c r="F113" s="271"/>
      <c r="G113" s="271"/>
      <c r="H113" s="272"/>
    </row>
    <row r="114" spans="1:8" ht="15.75" hidden="1" customHeight="1">
      <c r="A114" s="82"/>
      <c r="B114" s="87" t="s">
        <v>285</v>
      </c>
      <c r="C114" s="271" t="s">
        <v>312</v>
      </c>
      <c r="D114" s="271"/>
      <c r="E114" s="271"/>
      <c r="F114" s="271"/>
      <c r="G114" s="271"/>
      <c r="H114" s="272"/>
    </row>
    <row r="115" spans="1:8" ht="15.75" hidden="1" customHeight="1">
      <c r="A115" s="82"/>
      <c r="B115" s="86"/>
      <c r="C115" s="193"/>
      <c r="D115" s="193"/>
      <c r="E115" s="92"/>
      <c r="F115" s="92"/>
      <c r="G115" s="92"/>
      <c r="H115" s="84"/>
    </row>
    <row r="116" spans="1:8" ht="15.75" customHeight="1">
      <c r="A116" s="82"/>
      <c r="B116" s="124" t="s">
        <v>451</v>
      </c>
      <c r="C116" s="193"/>
      <c r="D116" s="193" t="s">
        <v>452</v>
      </c>
      <c r="E116" s="93"/>
      <c r="F116" s="93"/>
      <c r="G116" s="93"/>
      <c r="H116" s="90">
        <f>AVERAGE(G118:G118)</f>
        <v>4</v>
      </c>
    </row>
    <row r="117" spans="1:8" ht="15.75" hidden="1" customHeight="1">
      <c r="A117" s="82"/>
      <c r="B117" s="193"/>
      <c r="C117" s="193"/>
      <c r="D117" s="193"/>
      <c r="E117" s="92" t="s">
        <v>4</v>
      </c>
      <c r="F117" s="92" t="s">
        <v>10</v>
      </c>
      <c r="G117" s="92" t="s">
        <v>306</v>
      </c>
      <c r="H117" s="85"/>
    </row>
    <row r="118" spans="1:8" ht="15.75" hidden="1" customHeight="1">
      <c r="A118" s="82"/>
      <c r="B118" s="193"/>
      <c r="C118" s="193" t="s">
        <v>307</v>
      </c>
      <c r="D118" s="193" t="s">
        <v>453</v>
      </c>
      <c r="E118" s="92">
        <v>4</v>
      </c>
      <c r="F118" s="92">
        <v>4</v>
      </c>
      <c r="G118" s="133">
        <f>AVERAGE(E118:F118)</f>
        <v>4</v>
      </c>
      <c r="H118" s="85"/>
    </row>
    <row r="119" spans="1:8" ht="15.75" hidden="1" customHeight="1">
      <c r="A119" s="82"/>
      <c r="B119" s="192" t="s">
        <v>311</v>
      </c>
      <c r="C119" s="193"/>
      <c r="D119" s="193"/>
      <c r="E119" s="78"/>
      <c r="F119" s="193"/>
      <c r="G119" s="78"/>
      <c r="H119" s="85"/>
    </row>
    <row r="120" spans="1:8" ht="15.75" hidden="1" customHeight="1">
      <c r="A120" s="99"/>
      <c r="B120" s="87" t="s">
        <v>285</v>
      </c>
      <c r="C120" s="271" t="s">
        <v>312</v>
      </c>
      <c r="D120" s="271"/>
      <c r="E120" s="271"/>
      <c r="F120" s="271"/>
      <c r="G120" s="271"/>
      <c r="H120" s="272"/>
    </row>
    <row r="121" spans="1:8" ht="15.75" hidden="1" customHeight="1">
      <c r="A121" s="82"/>
      <c r="B121" s="87" t="s">
        <v>285</v>
      </c>
      <c r="C121" s="271" t="s">
        <v>312</v>
      </c>
      <c r="D121" s="271"/>
      <c r="E121" s="271"/>
      <c r="F121" s="271"/>
      <c r="G121" s="271"/>
      <c r="H121" s="272"/>
    </row>
    <row r="122" spans="1:8" ht="15.75" hidden="1" customHeight="1">
      <c r="A122" s="82"/>
      <c r="B122" s="87"/>
      <c r="C122" s="208"/>
      <c r="D122" s="208"/>
      <c r="E122" s="208"/>
      <c r="F122" s="208"/>
      <c r="G122" s="208"/>
      <c r="H122" s="209"/>
    </row>
    <row r="123" spans="1:8" ht="15.75" customHeight="1">
      <c r="A123" s="82"/>
      <c r="B123" s="124" t="s">
        <v>454</v>
      </c>
      <c r="C123" s="193"/>
      <c r="D123" s="193" t="s">
        <v>455</v>
      </c>
      <c r="E123" s="92"/>
      <c r="F123" s="92"/>
      <c r="G123" s="92"/>
      <c r="H123" s="90">
        <f>AVERAGE(G125:G125)</f>
        <v>4</v>
      </c>
    </row>
    <row r="124" spans="1:8" ht="15.75" hidden="1" customHeight="1">
      <c r="A124" s="82"/>
      <c r="B124" s="193"/>
      <c r="C124" s="193"/>
      <c r="D124" s="193"/>
      <c r="E124" s="92" t="s">
        <v>4</v>
      </c>
      <c r="F124" s="92" t="s">
        <v>10</v>
      </c>
      <c r="G124" s="92" t="s">
        <v>306</v>
      </c>
      <c r="H124" s="84"/>
    </row>
    <row r="125" spans="1:8" ht="15.75" hidden="1" customHeight="1">
      <c r="A125" s="82"/>
      <c r="B125" s="193"/>
      <c r="C125" s="193" t="s">
        <v>307</v>
      </c>
      <c r="D125" s="193" t="s">
        <v>326</v>
      </c>
      <c r="E125" s="92">
        <v>4</v>
      </c>
      <c r="F125" s="92">
        <v>4</v>
      </c>
      <c r="G125" s="133">
        <f>AVERAGE(E125:F125)</f>
        <v>4</v>
      </c>
      <c r="H125" s="84"/>
    </row>
    <row r="126" spans="1:8" ht="15.75" hidden="1" customHeight="1">
      <c r="A126" s="82"/>
      <c r="B126" s="192" t="s">
        <v>311</v>
      </c>
      <c r="C126" s="271"/>
      <c r="D126" s="271"/>
      <c r="E126" s="271"/>
      <c r="F126" s="271"/>
      <c r="G126" s="271"/>
      <c r="H126" s="272"/>
    </row>
    <row r="127" spans="1:8" ht="15.75" hidden="1" customHeight="1">
      <c r="A127" s="99"/>
      <c r="B127" s="87" t="s">
        <v>285</v>
      </c>
      <c r="C127" s="271" t="s">
        <v>312</v>
      </c>
      <c r="D127" s="271"/>
      <c r="E127" s="271"/>
      <c r="F127" s="271"/>
      <c r="G127" s="271"/>
      <c r="H127" s="272"/>
    </row>
    <row r="128" spans="1:8" ht="15.75" hidden="1" customHeight="1">
      <c r="A128" s="82"/>
      <c r="B128" s="87" t="s">
        <v>285</v>
      </c>
      <c r="C128" s="271" t="s">
        <v>312</v>
      </c>
      <c r="D128" s="271"/>
      <c r="E128" s="271"/>
      <c r="F128" s="271"/>
      <c r="G128" s="271"/>
      <c r="H128" s="272"/>
    </row>
    <row r="129" spans="1:8" ht="15.75" hidden="1" customHeight="1">
      <c r="A129" s="82"/>
      <c r="B129" s="86"/>
      <c r="C129" s="193"/>
      <c r="D129" s="193"/>
      <c r="E129" s="92"/>
      <c r="F129" s="92"/>
      <c r="G129" s="92"/>
      <c r="H129" s="84"/>
    </row>
    <row r="130" spans="1:8" ht="15.75" customHeight="1">
      <c r="A130" s="82"/>
      <c r="B130" s="124" t="s">
        <v>456</v>
      </c>
      <c r="C130" s="193"/>
      <c r="D130" s="193" t="s">
        <v>457</v>
      </c>
      <c r="E130" s="93"/>
      <c r="F130" s="93"/>
      <c r="G130" s="93"/>
      <c r="H130" s="90">
        <f>AVERAGE(G132:G133)</f>
        <v>4</v>
      </c>
    </row>
    <row r="131" spans="1:8" ht="15.75" hidden="1" customHeight="1">
      <c r="A131" s="82"/>
      <c r="B131" s="193"/>
      <c r="C131" s="193"/>
      <c r="D131" s="193"/>
      <c r="E131" s="92" t="s">
        <v>4</v>
      </c>
      <c r="F131" s="92" t="s">
        <v>10</v>
      </c>
      <c r="G131" s="92" t="s">
        <v>306</v>
      </c>
      <c r="H131" s="85"/>
    </row>
    <row r="132" spans="1:8" ht="15.75" hidden="1" customHeight="1">
      <c r="A132" s="82"/>
      <c r="B132" s="193"/>
      <c r="C132" s="193" t="s">
        <v>307</v>
      </c>
      <c r="D132" s="193" t="s">
        <v>458</v>
      </c>
      <c r="E132" s="92">
        <v>4</v>
      </c>
      <c r="F132" s="92">
        <v>4</v>
      </c>
      <c r="G132" s="133">
        <f t="shared" ref="G132:G133" si="13">AVERAGE(E132:F132)</f>
        <v>4</v>
      </c>
      <c r="H132" s="85"/>
    </row>
    <row r="133" spans="1:8" ht="15.75" hidden="1" customHeight="1">
      <c r="A133" s="82"/>
      <c r="B133" s="193"/>
      <c r="C133" s="193" t="s">
        <v>309</v>
      </c>
      <c r="D133" s="193" t="s">
        <v>326</v>
      </c>
      <c r="E133" s="92">
        <v>4</v>
      </c>
      <c r="F133" s="92">
        <v>4</v>
      </c>
      <c r="G133" s="133">
        <f t="shared" si="13"/>
        <v>4</v>
      </c>
      <c r="H133" s="85"/>
    </row>
    <row r="134" spans="1:8" ht="15.75" hidden="1" customHeight="1">
      <c r="A134" s="82"/>
      <c r="B134" s="192" t="s">
        <v>311</v>
      </c>
      <c r="C134" s="193"/>
      <c r="D134" s="193"/>
      <c r="E134" s="78"/>
      <c r="F134" s="193"/>
      <c r="G134" s="78"/>
      <c r="H134" s="85"/>
    </row>
    <row r="135" spans="1:8" ht="15.75" hidden="1" customHeight="1">
      <c r="A135" s="99"/>
      <c r="B135" s="87" t="s">
        <v>285</v>
      </c>
      <c r="C135" s="271" t="s">
        <v>312</v>
      </c>
      <c r="D135" s="271"/>
      <c r="E135" s="271"/>
      <c r="F135" s="271"/>
      <c r="G135" s="271"/>
      <c r="H135" s="272"/>
    </row>
    <row r="136" spans="1:8" ht="15.75" hidden="1" customHeight="1">
      <c r="A136" s="82"/>
      <c r="B136" s="87" t="s">
        <v>285</v>
      </c>
      <c r="C136" s="271" t="s">
        <v>312</v>
      </c>
      <c r="D136" s="271"/>
      <c r="E136" s="271"/>
      <c r="F136" s="271"/>
      <c r="G136" s="271"/>
      <c r="H136" s="272"/>
    </row>
    <row r="137" spans="1:8" ht="15.75" hidden="1" customHeight="1">
      <c r="A137" s="82"/>
      <c r="B137" s="87"/>
      <c r="C137" s="208"/>
      <c r="D137" s="208"/>
      <c r="E137" s="208"/>
      <c r="F137" s="208"/>
      <c r="G137" s="208"/>
      <c r="H137" s="209"/>
    </row>
    <row r="138" spans="1:8" ht="15.75" customHeight="1">
      <c r="A138" s="82"/>
      <c r="B138" s="124" t="s">
        <v>459</v>
      </c>
      <c r="C138" s="193"/>
      <c r="D138" s="193" t="s">
        <v>460</v>
      </c>
      <c r="E138" s="92"/>
      <c r="F138" s="92"/>
      <c r="G138" s="92"/>
      <c r="H138" s="90">
        <f>AVERAGE(G140:G141)</f>
        <v>4</v>
      </c>
    </row>
    <row r="139" spans="1:8" ht="15.75" hidden="1" customHeight="1">
      <c r="A139" s="82"/>
      <c r="B139" s="126"/>
      <c r="C139" s="193"/>
      <c r="D139" s="193"/>
      <c r="E139" s="92" t="s">
        <v>4</v>
      </c>
      <c r="F139" s="92" t="s">
        <v>10</v>
      </c>
      <c r="G139" s="92" t="s">
        <v>306</v>
      </c>
      <c r="H139" s="84"/>
    </row>
    <row r="140" spans="1:8" ht="15.75" hidden="1" customHeight="1">
      <c r="A140" s="82"/>
      <c r="B140" s="126"/>
      <c r="C140" s="193" t="s">
        <v>307</v>
      </c>
      <c r="D140" s="193" t="s">
        <v>458</v>
      </c>
      <c r="E140" s="92">
        <v>4</v>
      </c>
      <c r="F140" s="92">
        <v>4</v>
      </c>
      <c r="G140" s="133">
        <f t="shared" ref="G140:G141" si="14">AVERAGE(E140:F140)</f>
        <v>4</v>
      </c>
      <c r="H140" s="84"/>
    </row>
    <row r="141" spans="1:8" ht="15.75" hidden="1" customHeight="1">
      <c r="A141" s="82"/>
      <c r="B141" s="126"/>
      <c r="C141" s="193" t="s">
        <v>309</v>
      </c>
      <c r="D141" s="193" t="s">
        <v>326</v>
      </c>
      <c r="E141" s="92">
        <v>4</v>
      </c>
      <c r="F141" s="92">
        <v>4</v>
      </c>
      <c r="G141" s="133">
        <f t="shared" si="14"/>
        <v>4</v>
      </c>
      <c r="H141" s="84"/>
    </row>
    <row r="142" spans="1:8" ht="15.75" hidden="1" customHeight="1">
      <c r="A142" s="82"/>
      <c r="B142" s="192" t="s">
        <v>311</v>
      </c>
      <c r="C142" s="271"/>
      <c r="D142" s="271"/>
      <c r="E142" s="271"/>
      <c r="F142" s="271"/>
      <c r="G142" s="271"/>
      <c r="H142" s="272"/>
    </row>
    <row r="143" spans="1:8" ht="15.75" hidden="1" customHeight="1">
      <c r="A143" s="99"/>
      <c r="B143" s="87" t="s">
        <v>285</v>
      </c>
      <c r="C143" s="271" t="s">
        <v>312</v>
      </c>
      <c r="D143" s="271"/>
      <c r="E143" s="271"/>
      <c r="F143" s="271"/>
      <c r="G143" s="271"/>
      <c r="H143" s="272"/>
    </row>
    <row r="144" spans="1:8" ht="15.75" hidden="1" customHeight="1">
      <c r="A144" s="82"/>
      <c r="B144" s="87" t="s">
        <v>285</v>
      </c>
      <c r="C144" s="271" t="s">
        <v>312</v>
      </c>
      <c r="D144" s="271"/>
      <c r="E144" s="271"/>
      <c r="F144" s="271"/>
      <c r="G144" s="271"/>
      <c r="H144" s="272"/>
    </row>
    <row r="145" spans="1:8" ht="15.75" hidden="1" customHeight="1">
      <c r="A145" s="82"/>
      <c r="B145" s="137"/>
      <c r="C145" s="193"/>
      <c r="D145" s="193"/>
      <c r="E145" s="92"/>
      <c r="F145" s="92"/>
      <c r="G145" s="92"/>
      <c r="H145" s="84"/>
    </row>
    <row r="146" spans="1:8" ht="15.75" customHeight="1">
      <c r="A146" s="82"/>
      <c r="B146" s="124" t="s">
        <v>461</v>
      </c>
      <c r="C146" s="193"/>
      <c r="D146" s="193" t="s">
        <v>462</v>
      </c>
      <c r="E146" s="93"/>
      <c r="F146" s="93"/>
      <c r="G146" s="93"/>
      <c r="H146" s="90">
        <f>AVERAGE(G148:G150)</f>
        <v>4</v>
      </c>
    </row>
    <row r="147" spans="1:8" ht="15.75" hidden="1" customHeight="1">
      <c r="A147" s="82"/>
      <c r="B147" s="126"/>
      <c r="C147" s="193"/>
      <c r="D147" s="193"/>
      <c r="E147" s="92" t="s">
        <v>4</v>
      </c>
      <c r="F147" s="92" t="s">
        <v>10</v>
      </c>
      <c r="G147" s="92" t="s">
        <v>306</v>
      </c>
      <c r="H147" s="85"/>
    </row>
    <row r="148" spans="1:8" ht="15.75" hidden="1" customHeight="1">
      <c r="A148" s="82"/>
      <c r="B148" s="126"/>
      <c r="C148" s="193" t="s">
        <v>307</v>
      </c>
      <c r="D148" s="193" t="s">
        <v>463</v>
      </c>
      <c r="E148" s="92">
        <v>4</v>
      </c>
      <c r="F148" s="92">
        <v>4</v>
      </c>
      <c r="G148" s="133">
        <f t="shared" ref="G148:G150" si="15">AVERAGE(E148:F148)</f>
        <v>4</v>
      </c>
      <c r="H148" s="85"/>
    </row>
    <row r="149" spans="1:8" ht="15.75" hidden="1" customHeight="1">
      <c r="A149" s="82"/>
      <c r="B149" s="126"/>
      <c r="C149" s="193" t="s">
        <v>309</v>
      </c>
      <c r="D149" s="193" t="s">
        <v>458</v>
      </c>
      <c r="E149" s="92">
        <v>4</v>
      </c>
      <c r="F149" s="92">
        <v>4</v>
      </c>
      <c r="G149" s="133">
        <f t="shared" si="15"/>
        <v>4</v>
      </c>
      <c r="H149" s="85"/>
    </row>
    <row r="150" spans="1:8" ht="15.75" hidden="1" customHeight="1">
      <c r="A150" s="82"/>
      <c r="B150" s="126"/>
      <c r="C150" s="193" t="s">
        <v>316</v>
      </c>
      <c r="D150" s="193" t="s">
        <v>464</v>
      </c>
      <c r="E150" s="92">
        <v>4</v>
      </c>
      <c r="F150" s="92">
        <v>4</v>
      </c>
      <c r="G150" s="133">
        <f t="shared" si="15"/>
        <v>4</v>
      </c>
      <c r="H150" s="85"/>
    </row>
    <row r="151" spans="1:8" ht="15.75" hidden="1" customHeight="1">
      <c r="A151" s="82"/>
      <c r="B151" s="192" t="s">
        <v>311</v>
      </c>
      <c r="C151" s="193"/>
      <c r="D151" s="193"/>
      <c r="E151" s="78"/>
      <c r="F151" s="193"/>
      <c r="G151" s="78"/>
      <c r="H151" s="85"/>
    </row>
    <row r="152" spans="1:8" ht="15.75" hidden="1" customHeight="1">
      <c r="A152" s="99"/>
      <c r="B152" s="87" t="s">
        <v>285</v>
      </c>
      <c r="C152" s="271" t="s">
        <v>312</v>
      </c>
      <c r="D152" s="271"/>
      <c r="E152" s="271"/>
      <c r="F152" s="271"/>
      <c r="G152" s="271"/>
      <c r="H152" s="272"/>
    </row>
    <row r="153" spans="1:8" ht="15.75" hidden="1" customHeight="1">
      <c r="A153" s="82"/>
      <c r="B153" s="87" t="s">
        <v>285</v>
      </c>
      <c r="C153" s="271" t="s">
        <v>312</v>
      </c>
      <c r="D153" s="271"/>
      <c r="E153" s="271"/>
      <c r="F153" s="271"/>
      <c r="G153" s="271"/>
      <c r="H153" s="272"/>
    </row>
    <row r="154" spans="1:8" ht="15.75" hidden="1" customHeight="1">
      <c r="A154" s="82"/>
      <c r="B154" s="87"/>
      <c r="C154" s="208"/>
      <c r="D154" s="208"/>
      <c r="E154" s="208"/>
      <c r="F154" s="208"/>
      <c r="G154" s="208"/>
      <c r="H154" s="209"/>
    </row>
    <row r="155" spans="1:8" ht="15.75" customHeight="1">
      <c r="A155" s="82"/>
      <c r="B155" s="124" t="s">
        <v>465</v>
      </c>
      <c r="C155" s="193"/>
      <c r="D155" s="193" t="s">
        <v>466</v>
      </c>
      <c r="E155" s="92"/>
      <c r="F155" s="92"/>
      <c r="G155" s="92"/>
      <c r="H155" s="90">
        <f>AVERAGE(G157:G160)</f>
        <v>4</v>
      </c>
    </row>
    <row r="156" spans="1:8" ht="15.75" hidden="1" customHeight="1">
      <c r="A156" s="82"/>
      <c r="B156" s="126"/>
      <c r="C156" s="193"/>
      <c r="D156" s="193"/>
      <c r="E156" s="92" t="s">
        <v>4</v>
      </c>
      <c r="F156" s="92" t="s">
        <v>10</v>
      </c>
      <c r="G156" s="92" t="s">
        <v>306</v>
      </c>
      <c r="H156" s="84"/>
    </row>
    <row r="157" spans="1:8" ht="15.6" hidden="1">
      <c r="A157" s="82"/>
      <c r="B157" s="193"/>
      <c r="C157" s="193" t="s">
        <v>307</v>
      </c>
      <c r="D157" s="193" t="s">
        <v>467</v>
      </c>
      <c r="E157" s="92">
        <v>4</v>
      </c>
      <c r="F157" s="92">
        <v>4</v>
      </c>
      <c r="G157" s="133">
        <f t="shared" ref="G157:G160" si="16">AVERAGE(E157:F157)</f>
        <v>4</v>
      </c>
      <c r="H157" s="84"/>
    </row>
    <row r="158" spans="1:8" ht="15.6" hidden="1">
      <c r="A158" s="82"/>
      <c r="B158" s="193"/>
      <c r="C158" s="193" t="s">
        <v>309</v>
      </c>
      <c r="D158" s="193" t="s">
        <v>468</v>
      </c>
      <c r="E158" s="92">
        <v>4</v>
      </c>
      <c r="F158" s="92">
        <v>4</v>
      </c>
      <c r="G158" s="133">
        <f t="shared" si="16"/>
        <v>4</v>
      </c>
      <c r="H158" s="84"/>
    </row>
    <row r="159" spans="1:8" ht="15.6" hidden="1">
      <c r="A159" s="82"/>
      <c r="B159" s="193"/>
      <c r="C159" s="193" t="s">
        <v>316</v>
      </c>
      <c r="D159" s="193" t="s">
        <v>469</v>
      </c>
      <c r="E159" s="92">
        <v>4</v>
      </c>
      <c r="F159" s="92">
        <v>4</v>
      </c>
      <c r="G159" s="133">
        <f t="shared" si="16"/>
        <v>4</v>
      </c>
      <c r="H159" s="84"/>
    </row>
    <row r="160" spans="1:8" ht="15.6" hidden="1">
      <c r="A160" s="82"/>
      <c r="B160" s="193"/>
      <c r="C160" s="193" t="s">
        <v>318</v>
      </c>
      <c r="D160" s="193" t="s">
        <v>470</v>
      </c>
      <c r="E160" s="92">
        <v>4</v>
      </c>
      <c r="F160" s="92">
        <v>4</v>
      </c>
      <c r="G160" s="133">
        <f t="shared" si="16"/>
        <v>4</v>
      </c>
      <c r="H160" s="84"/>
    </row>
    <row r="161" spans="1:8" ht="15.6" hidden="1">
      <c r="A161" s="82"/>
      <c r="B161" s="192" t="s">
        <v>311</v>
      </c>
      <c r="C161" s="271"/>
      <c r="D161" s="271"/>
      <c r="E161" s="271"/>
      <c r="F161" s="271"/>
      <c r="G161" s="271"/>
      <c r="H161" s="272"/>
    </row>
    <row r="162" spans="1:8" ht="15.6" hidden="1">
      <c r="A162" s="99"/>
      <c r="B162" s="87" t="s">
        <v>285</v>
      </c>
      <c r="C162" s="271" t="s">
        <v>312</v>
      </c>
      <c r="D162" s="271"/>
      <c r="E162" s="271"/>
      <c r="F162" s="271"/>
      <c r="G162" s="271"/>
      <c r="H162" s="272"/>
    </row>
    <row r="163" spans="1:8" ht="15.6" hidden="1">
      <c r="A163" s="82"/>
      <c r="B163" s="87" t="s">
        <v>285</v>
      </c>
      <c r="C163" s="271" t="s">
        <v>312</v>
      </c>
      <c r="D163" s="271"/>
      <c r="E163" s="271"/>
      <c r="F163" s="271"/>
      <c r="G163" s="271"/>
      <c r="H163" s="272"/>
    </row>
    <row r="164" spans="1:8" ht="15.6" hidden="1">
      <c r="A164" s="82"/>
      <c r="B164" s="86"/>
      <c r="C164" s="193"/>
      <c r="D164" s="193"/>
      <c r="E164" s="92"/>
      <c r="F164" s="92"/>
      <c r="G164" s="92"/>
      <c r="H164" s="84"/>
    </row>
    <row r="165" spans="1:8" ht="15.6">
      <c r="A165" s="82"/>
      <c r="B165" s="124" t="s">
        <v>471</v>
      </c>
      <c r="C165" s="193"/>
      <c r="D165" s="193" t="s">
        <v>462</v>
      </c>
      <c r="E165" s="93"/>
      <c r="F165" s="93"/>
      <c r="G165" s="93"/>
      <c r="H165" s="90">
        <f>AVERAGE(G167:G169)</f>
        <v>4</v>
      </c>
    </row>
    <row r="166" spans="1:8" ht="15.6" hidden="1">
      <c r="A166" s="82"/>
      <c r="B166" s="193"/>
      <c r="C166" s="193"/>
      <c r="D166" s="193"/>
      <c r="E166" s="92" t="s">
        <v>4</v>
      </c>
      <c r="F166" s="92" t="s">
        <v>10</v>
      </c>
      <c r="G166" s="92" t="s">
        <v>306</v>
      </c>
      <c r="H166" s="85"/>
    </row>
    <row r="167" spans="1:8" ht="15.6" hidden="1">
      <c r="A167" s="82"/>
      <c r="B167" s="193"/>
      <c r="C167" s="193" t="s">
        <v>307</v>
      </c>
      <c r="D167" s="193" t="s">
        <v>463</v>
      </c>
      <c r="E167" s="92">
        <v>4</v>
      </c>
      <c r="F167" s="92">
        <v>4</v>
      </c>
      <c r="G167" s="133">
        <f t="shared" ref="G167:G169" si="17">AVERAGE(E167:F167)</f>
        <v>4</v>
      </c>
      <c r="H167" s="85"/>
    </row>
    <row r="168" spans="1:8" ht="15.6" hidden="1">
      <c r="A168" s="82"/>
      <c r="B168" s="193"/>
      <c r="C168" s="193" t="s">
        <v>309</v>
      </c>
      <c r="D168" s="193" t="s">
        <v>458</v>
      </c>
      <c r="E168" s="92">
        <v>4</v>
      </c>
      <c r="F168" s="92">
        <v>4</v>
      </c>
      <c r="G168" s="133">
        <f t="shared" si="17"/>
        <v>4</v>
      </c>
      <c r="H168" s="85"/>
    </row>
    <row r="169" spans="1:8" ht="15.6" hidden="1">
      <c r="A169" s="82"/>
      <c r="B169" s="193"/>
      <c r="C169" s="193" t="s">
        <v>316</v>
      </c>
      <c r="D169" s="193" t="s">
        <v>464</v>
      </c>
      <c r="E169" s="92" t="s">
        <v>285</v>
      </c>
      <c r="F169" s="92">
        <v>4</v>
      </c>
      <c r="G169" s="133">
        <f t="shared" si="17"/>
        <v>4</v>
      </c>
      <c r="H169" s="85"/>
    </row>
    <row r="170" spans="1:8" ht="15.6" hidden="1">
      <c r="A170" s="82"/>
      <c r="B170" s="192" t="s">
        <v>311</v>
      </c>
      <c r="C170" s="193"/>
      <c r="D170" s="193"/>
      <c r="E170" s="78"/>
      <c r="F170" s="193"/>
      <c r="G170" s="78"/>
      <c r="H170" s="85"/>
    </row>
    <row r="171" spans="1:8" ht="15.6" hidden="1">
      <c r="A171" s="99"/>
      <c r="B171" s="87" t="s">
        <v>285</v>
      </c>
      <c r="C171" s="271" t="s">
        <v>312</v>
      </c>
      <c r="D171" s="271"/>
      <c r="E171" s="271"/>
      <c r="F171" s="271"/>
      <c r="G171" s="271"/>
      <c r="H171" s="272"/>
    </row>
    <row r="172" spans="1:8" ht="15.6" hidden="1">
      <c r="A172" s="82"/>
      <c r="B172" s="87" t="s">
        <v>285</v>
      </c>
      <c r="C172" s="271" t="s">
        <v>312</v>
      </c>
      <c r="D172" s="271"/>
      <c r="E172" s="271"/>
      <c r="F172" s="271"/>
      <c r="G172" s="271"/>
      <c r="H172" s="272"/>
    </row>
    <row r="173" spans="1:8" ht="15.6" hidden="1">
      <c r="A173" s="82"/>
      <c r="B173" s="87"/>
      <c r="C173" s="208"/>
      <c r="D173" s="208"/>
      <c r="E173" s="208"/>
      <c r="F173" s="208"/>
      <c r="G173" s="208"/>
      <c r="H173" s="209"/>
    </row>
    <row r="174" spans="1:8" ht="15.6">
      <c r="A174" s="82"/>
      <c r="B174" s="124" t="s">
        <v>472</v>
      </c>
      <c r="C174" s="193"/>
      <c r="D174" s="193" t="s">
        <v>473</v>
      </c>
      <c r="E174" s="92"/>
      <c r="F174" s="92"/>
      <c r="G174" s="92"/>
      <c r="H174" s="90">
        <f>AVERAGE(G176:G179)</f>
        <v>4</v>
      </c>
    </row>
    <row r="175" spans="1:8" ht="15.6" hidden="1">
      <c r="A175" s="82"/>
      <c r="B175" s="126"/>
      <c r="C175" s="193"/>
      <c r="D175" s="193"/>
      <c r="E175" s="92" t="s">
        <v>4</v>
      </c>
      <c r="F175" s="92" t="s">
        <v>10</v>
      </c>
      <c r="G175" s="92" t="s">
        <v>306</v>
      </c>
      <c r="H175" s="84"/>
    </row>
    <row r="176" spans="1:8" ht="15.6" hidden="1">
      <c r="A176" s="82"/>
      <c r="B176" s="193"/>
      <c r="C176" s="193" t="s">
        <v>307</v>
      </c>
      <c r="D176" s="193" t="s">
        <v>458</v>
      </c>
      <c r="E176" s="92">
        <v>4</v>
      </c>
      <c r="F176" s="92">
        <v>4</v>
      </c>
      <c r="G176" s="133">
        <f t="shared" ref="G176:G179" si="18">AVERAGE(E176:F176)</f>
        <v>4</v>
      </c>
      <c r="H176" s="84"/>
    </row>
    <row r="177" spans="1:8" ht="15.6" hidden="1">
      <c r="A177" s="82"/>
      <c r="B177" s="193"/>
      <c r="C177" s="193" t="s">
        <v>309</v>
      </c>
      <c r="D177" s="193" t="s">
        <v>474</v>
      </c>
      <c r="E177" s="92" t="s">
        <v>285</v>
      </c>
      <c r="F177" s="92">
        <v>4</v>
      </c>
      <c r="G177" s="133">
        <f t="shared" si="18"/>
        <v>4</v>
      </c>
      <c r="H177" s="84"/>
    </row>
    <row r="178" spans="1:8" ht="15.6" hidden="1">
      <c r="A178" s="82"/>
      <c r="B178" s="193"/>
      <c r="C178" s="193" t="s">
        <v>316</v>
      </c>
      <c r="D178" s="193" t="s">
        <v>475</v>
      </c>
      <c r="E178" s="92" t="s">
        <v>285</v>
      </c>
      <c r="F178" s="92">
        <v>4</v>
      </c>
      <c r="G178" s="133">
        <f t="shared" si="18"/>
        <v>4</v>
      </c>
      <c r="H178" s="84"/>
    </row>
    <row r="179" spans="1:8" ht="15.6" hidden="1">
      <c r="A179" s="82"/>
      <c r="B179" s="193"/>
      <c r="C179" s="193" t="s">
        <v>318</v>
      </c>
      <c r="D179" s="193" t="s">
        <v>476</v>
      </c>
      <c r="E179" s="92" t="s">
        <v>285</v>
      </c>
      <c r="F179" s="92">
        <v>4</v>
      </c>
      <c r="G179" s="133">
        <f t="shared" si="18"/>
        <v>4</v>
      </c>
      <c r="H179" s="84"/>
    </row>
    <row r="180" spans="1:8" ht="15.6" hidden="1">
      <c r="A180" s="82"/>
      <c r="B180" s="192" t="s">
        <v>311</v>
      </c>
      <c r="C180" s="271"/>
      <c r="D180" s="271"/>
      <c r="E180" s="271"/>
      <c r="F180" s="271"/>
      <c r="G180" s="271"/>
      <c r="H180" s="272"/>
    </row>
    <row r="181" spans="1:8" ht="15.6" hidden="1">
      <c r="A181" s="99"/>
      <c r="B181" s="87" t="s">
        <v>285</v>
      </c>
      <c r="C181" s="271" t="s">
        <v>312</v>
      </c>
      <c r="D181" s="271"/>
      <c r="E181" s="271"/>
      <c r="F181" s="271"/>
      <c r="G181" s="271"/>
      <c r="H181" s="272"/>
    </row>
    <row r="182" spans="1:8" ht="15.6" hidden="1">
      <c r="A182" s="82"/>
      <c r="B182" s="87" t="s">
        <v>285</v>
      </c>
      <c r="C182" s="271" t="s">
        <v>312</v>
      </c>
      <c r="D182" s="271"/>
      <c r="E182" s="271"/>
      <c r="F182" s="271"/>
      <c r="G182" s="271"/>
      <c r="H182" s="272"/>
    </row>
    <row r="183" spans="1:8" ht="15.6" hidden="1">
      <c r="A183" s="82"/>
      <c r="B183" s="86"/>
      <c r="C183" s="193"/>
      <c r="D183" s="193"/>
      <c r="E183" s="92"/>
      <c r="F183" s="92"/>
      <c r="G183" s="92"/>
      <c r="H183" s="84"/>
    </row>
    <row r="184" spans="1:8" ht="15.6">
      <c r="A184" s="82"/>
      <c r="B184" s="124" t="s">
        <v>477</v>
      </c>
      <c r="C184" s="193"/>
      <c r="D184" s="193" t="s">
        <v>478</v>
      </c>
      <c r="E184" s="93"/>
      <c r="F184" s="93"/>
      <c r="G184" s="93"/>
      <c r="H184" s="90">
        <f>AVERAGE(G186:G188)</f>
        <v>4</v>
      </c>
    </row>
    <row r="185" spans="1:8" ht="15.6" hidden="1">
      <c r="A185" s="82"/>
      <c r="B185" s="193"/>
      <c r="C185" s="193"/>
      <c r="D185" s="193"/>
      <c r="E185" s="92" t="s">
        <v>4</v>
      </c>
      <c r="F185" s="92" t="s">
        <v>10</v>
      </c>
      <c r="G185" s="92" t="s">
        <v>306</v>
      </c>
      <c r="H185" s="85"/>
    </row>
    <row r="186" spans="1:8" ht="15.6" hidden="1">
      <c r="A186" s="82"/>
      <c r="B186" s="193"/>
      <c r="C186" s="193" t="s">
        <v>307</v>
      </c>
      <c r="D186" s="193" t="s">
        <v>455</v>
      </c>
      <c r="E186" s="92">
        <v>4</v>
      </c>
      <c r="F186" s="92">
        <v>4</v>
      </c>
      <c r="G186" s="133">
        <f>AVERAGE(E186:F186)</f>
        <v>4</v>
      </c>
      <c r="H186" s="85"/>
    </row>
    <row r="187" spans="1:8" ht="15.6" hidden="1">
      <c r="A187" s="82"/>
      <c r="B187" s="193"/>
      <c r="C187" s="193" t="s">
        <v>309</v>
      </c>
      <c r="D187" s="193" t="s">
        <v>458</v>
      </c>
      <c r="E187" s="92">
        <v>4</v>
      </c>
      <c r="F187" s="92">
        <v>4</v>
      </c>
      <c r="G187" s="133">
        <f t="shared" ref="G187:G188" si="19">AVERAGE(E187:F187)</f>
        <v>4</v>
      </c>
      <c r="H187" s="85"/>
    </row>
    <row r="188" spans="1:8" ht="15.6" hidden="1">
      <c r="A188" s="82"/>
      <c r="B188" s="193"/>
      <c r="C188" s="193" t="s">
        <v>316</v>
      </c>
      <c r="D188" s="193" t="s">
        <v>326</v>
      </c>
      <c r="E188" s="92">
        <v>4</v>
      </c>
      <c r="F188" s="92">
        <v>4</v>
      </c>
      <c r="G188" s="133">
        <f t="shared" si="19"/>
        <v>4</v>
      </c>
      <c r="H188" s="85"/>
    </row>
    <row r="189" spans="1:8" ht="15.6" hidden="1">
      <c r="A189" s="82"/>
      <c r="B189" s="192" t="s">
        <v>311</v>
      </c>
      <c r="C189" s="193"/>
      <c r="D189" s="193"/>
      <c r="E189" s="78"/>
      <c r="F189" s="193"/>
      <c r="G189" s="78"/>
      <c r="H189" s="85"/>
    </row>
    <row r="190" spans="1:8" ht="15.6" hidden="1">
      <c r="A190" s="99"/>
      <c r="B190" s="87" t="s">
        <v>285</v>
      </c>
      <c r="C190" s="271" t="s">
        <v>312</v>
      </c>
      <c r="D190" s="271"/>
      <c r="E190" s="271"/>
      <c r="F190" s="271"/>
      <c r="G190" s="271"/>
      <c r="H190" s="272"/>
    </row>
    <row r="191" spans="1:8" ht="15.6" hidden="1">
      <c r="A191" s="82"/>
      <c r="B191" s="87" t="s">
        <v>285</v>
      </c>
      <c r="C191" s="271" t="s">
        <v>312</v>
      </c>
      <c r="D191" s="271"/>
      <c r="E191" s="271"/>
      <c r="F191" s="271"/>
      <c r="G191" s="271"/>
      <c r="H191" s="272"/>
    </row>
    <row r="192" spans="1:8" ht="15.6" hidden="1">
      <c r="A192" s="82"/>
      <c r="B192" s="87"/>
      <c r="C192" s="208"/>
      <c r="D192" s="208"/>
      <c r="E192" s="208"/>
      <c r="F192" s="208"/>
      <c r="G192" s="208"/>
      <c r="H192" s="209"/>
    </row>
    <row r="193" spans="1:8" ht="15.6">
      <c r="A193" s="82"/>
      <c r="B193" s="124" t="s">
        <v>479</v>
      </c>
      <c r="C193" s="193"/>
      <c r="D193" s="193" t="s">
        <v>473</v>
      </c>
      <c r="E193" s="92"/>
      <c r="F193" s="92"/>
      <c r="G193" s="92"/>
      <c r="H193" s="90">
        <f>AVERAGE(G195:G197)</f>
        <v>4</v>
      </c>
    </row>
    <row r="194" spans="1:8" ht="15.6" hidden="1">
      <c r="A194" s="82"/>
      <c r="B194" s="126"/>
      <c r="C194" s="193"/>
      <c r="D194" s="193"/>
      <c r="E194" s="92"/>
      <c r="F194" s="92" t="s">
        <v>10</v>
      </c>
      <c r="G194" s="92" t="s">
        <v>306</v>
      </c>
      <c r="H194" s="84"/>
    </row>
    <row r="195" spans="1:8" ht="15.6" hidden="1">
      <c r="A195" s="82"/>
      <c r="B195" s="193"/>
      <c r="C195" s="193" t="s">
        <v>307</v>
      </c>
      <c r="D195" s="193" t="s">
        <v>475</v>
      </c>
      <c r="E195" s="92"/>
      <c r="F195" s="92">
        <v>4</v>
      </c>
      <c r="G195" s="133">
        <f t="shared" ref="G195:G197" si="20">AVERAGE(E195:F195)</f>
        <v>4</v>
      </c>
      <c r="H195" s="84"/>
    </row>
    <row r="196" spans="1:8" ht="15.6" hidden="1">
      <c r="A196" s="82"/>
      <c r="B196" s="193"/>
      <c r="C196" s="193" t="s">
        <v>309</v>
      </c>
      <c r="D196" s="193" t="s">
        <v>476</v>
      </c>
      <c r="E196" s="92"/>
      <c r="F196" s="92">
        <v>4</v>
      </c>
      <c r="G196" s="133">
        <f t="shared" si="20"/>
        <v>4</v>
      </c>
      <c r="H196" s="84"/>
    </row>
    <row r="197" spans="1:8" ht="15.6" hidden="1">
      <c r="A197" s="82"/>
      <c r="B197" s="193"/>
      <c r="C197" s="193" t="s">
        <v>316</v>
      </c>
      <c r="D197" s="193" t="s">
        <v>480</v>
      </c>
      <c r="E197" s="92"/>
      <c r="F197" s="92">
        <v>4</v>
      </c>
      <c r="G197" s="133">
        <f t="shared" si="20"/>
        <v>4</v>
      </c>
      <c r="H197" s="84"/>
    </row>
    <row r="198" spans="1:8" ht="15.6" hidden="1">
      <c r="A198" s="82"/>
      <c r="B198" s="192" t="s">
        <v>311</v>
      </c>
      <c r="C198" s="271"/>
      <c r="D198" s="271"/>
      <c r="E198" s="271"/>
      <c r="F198" s="271"/>
      <c r="G198" s="271"/>
      <c r="H198" s="272"/>
    </row>
    <row r="199" spans="1:8" ht="15.6" hidden="1">
      <c r="A199" s="99"/>
      <c r="B199" s="87" t="s">
        <v>285</v>
      </c>
      <c r="C199" s="271" t="s">
        <v>312</v>
      </c>
      <c r="D199" s="271"/>
      <c r="E199" s="271"/>
      <c r="F199" s="271"/>
      <c r="G199" s="271"/>
      <c r="H199" s="272"/>
    </row>
    <row r="200" spans="1:8" ht="15.6" hidden="1">
      <c r="A200" s="88"/>
      <c r="B200" s="89" t="s">
        <v>285</v>
      </c>
      <c r="C200" s="273" t="s">
        <v>312</v>
      </c>
      <c r="D200" s="273"/>
      <c r="E200" s="273"/>
      <c r="F200" s="273"/>
      <c r="G200" s="273"/>
      <c r="H200" s="274"/>
    </row>
    <row r="201" spans="1:8" ht="15.6">
      <c r="A201" s="193"/>
      <c r="B201" s="193"/>
      <c r="C201" s="193"/>
      <c r="D201" s="193"/>
      <c r="E201" s="193"/>
      <c r="F201" s="193"/>
      <c r="G201" s="193"/>
      <c r="H201" s="193"/>
    </row>
    <row r="202" spans="1:8" ht="15.6">
      <c r="A202" s="193"/>
      <c r="B202" s="193"/>
      <c r="C202" s="193"/>
      <c r="D202" s="193"/>
      <c r="E202" s="193"/>
      <c r="F202" s="193"/>
      <c r="G202" s="193"/>
      <c r="H202" s="193"/>
    </row>
    <row r="203" spans="1:8" ht="15.6">
      <c r="A203" s="193"/>
      <c r="B203" s="193"/>
      <c r="C203" s="193"/>
      <c r="D203" s="193"/>
      <c r="E203" s="193"/>
      <c r="F203" s="193"/>
      <c r="G203" s="193"/>
      <c r="H203" s="193"/>
    </row>
    <row r="204" spans="1:8" ht="15.6">
      <c r="A204" s="193"/>
      <c r="B204" s="193"/>
      <c r="C204" s="193"/>
      <c r="D204" s="193"/>
      <c r="E204" s="193"/>
      <c r="F204" s="193"/>
      <c r="G204" s="193"/>
      <c r="H204" s="193"/>
    </row>
    <row r="205" spans="1:8" ht="15.6">
      <c r="A205" s="193"/>
      <c r="B205" s="193"/>
      <c r="C205" s="193"/>
      <c r="D205" s="193"/>
      <c r="E205" s="193"/>
      <c r="F205" s="193"/>
      <c r="G205" s="193"/>
      <c r="H205" s="193"/>
    </row>
    <row r="206" spans="1:8" ht="15.6">
      <c r="A206" s="193"/>
      <c r="B206" s="193"/>
      <c r="C206" s="193"/>
      <c r="D206" s="193"/>
      <c r="E206" s="193"/>
      <c r="F206" s="193"/>
      <c r="G206" s="193"/>
      <c r="H206" s="193"/>
    </row>
    <row r="207" spans="1:8" ht="15.6">
      <c r="A207" s="193"/>
      <c r="B207" s="193"/>
      <c r="C207" s="193"/>
      <c r="D207" s="193"/>
      <c r="E207" s="193"/>
      <c r="F207" s="193"/>
      <c r="G207" s="193"/>
      <c r="H207" s="193"/>
    </row>
    <row r="208" spans="1:8" ht="15.6">
      <c r="A208" s="193"/>
      <c r="B208" s="193"/>
      <c r="C208" s="193"/>
      <c r="D208" s="193"/>
      <c r="E208" s="193"/>
      <c r="F208" s="193"/>
      <c r="G208" s="193"/>
      <c r="H208" s="193"/>
    </row>
    <row r="209" spans="1:8" ht="15.6">
      <c r="A209" s="193"/>
      <c r="B209" s="193"/>
      <c r="C209" s="193"/>
      <c r="D209" s="193"/>
      <c r="E209" s="193"/>
      <c r="F209" s="193"/>
      <c r="G209" s="193"/>
      <c r="H209" s="193"/>
    </row>
    <row r="210" spans="1:8" ht="15.6">
      <c r="A210" s="193"/>
      <c r="B210" s="193"/>
      <c r="C210" s="193"/>
      <c r="D210" s="193"/>
      <c r="E210" s="193"/>
      <c r="F210" s="193"/>
      <c r="G210" s="193"/>
      <c r="H210" s="193"/>
    </row>
    <row r="211" spans="1:8" ht="15.6">
      <c r="A211" s="193"/>
      <c r="B211" s="193"/>
      <c r="C211" s="193"/>
      <c r="D211" s="193"/>
      <c r="E211" s="193"/>
      <c r="F211" s="193"/>
      <c r="G211" s="193"/>
      <c r="H211" s="193"/>
    </row>
    <row r="212" spans="1:8" ht="15.6">
      <c r="A212" s="193"/>
      <c r="B212" s="193"/>
      <c r="C212" s="193"/>
      <c r="D212" s="193"/>
      <c r="E212" s="193"/>
      <c r="F212" s="193"/>
      <c r="G212" s="193"/>
      <c r="H212" s="193"/>
    </row>
    <row r="213" spans="1:8" ht="15.6">
      <c r="A213" s="193"/>
      <c r="B213" s="193"/>
      <c r="C213" s="193"/>
      <c r="D213" s="193"/>
      <c r="E213" s="193"/>
      <c r="F213" s="193"/>
      <c r="G213" s="193"/>
      <c r="H213" s="193"/>
    </row>
    <row r="214" spans="1:8" ht="15.6">
      <c r="A214" s="193"/>
      <c r="B214" s="193"/>
      <c r="C214" s="193"/>
      <c r="D214" s="193"/>
      <c r="E214" s="193"/>
      <c r="F214" s="193"/>
      <c r="G214" s="193"/>
      <c r="H214" s="193"/>
    </row>
    <row r="215" spans="1:8" ht="15.6">
      <c r="A215" s="193"/>
      <c r="B215" s="193"/>
      <c r="C215" s="193"/>
      <c r="D215" s="193"/>
      <c r="E215" s="193"/>
      <c r="F215" s="193"/>
      <c r="G215" s="193"/>
      <c r="H215" s="193"/>
    </row>
    <row r="216" spans="1:8" ht="15.6">
      <c r="A216" s="193"/>
      <c r="B216" s="193"/>
      <c r="C216" s="193"/>
      <c r="D216" s="193"/>
      <c r="E216" s="193"/>
      <c r="F216" s="193"/>
      <c r="G216" s="193"/>
      <c r="H216" s="193"/>
    </row>
    <row r="217" spans="1:8" ht="15.6">
      <c r="A217" s="193"/>
      <c r="B217" s="193"/>
      <c r="C217" s="193"/>
      <c r="D217" s="193"/>
      <c r="E217" s="193"/>
      <c r="F217" s="193"/>
      <c r="G217" s="193"/>
      <c r="H217" s="193"/>
    </row>
    <row r="218" spans="1:8" ht="15.6">
      <c r="A218" s="193"/>
      <c r="B218" s="193"/>
      <c r="C218" s="193"/>
      <c r="D218" s="193"/>
      <c r="E218" s="193"/>
      <c r="F218" s="193"/>
      <c r="G218" s="193"/>
      <c r="H218" s="193"/>
    </row>
    <row r="219" spans="1:8" ht="15.6">
      <c r="A219" s="193"/>
      <c r="B219" s="193"/>
      <c r="C219" s="193"/>
      <c r="D219" s="193"/>
      <c r="E219" s="193"/>
      <c r="F219" s="193"/>
      <c r="G219" s="193"/>
      <c r="H219" s="193"/>
    </row>
    <row r="220" spans="1:8" ht="15.6">
      <c r="A220" s="193"/>
      <c r="B220" s="193"/>
      <c r="C220" s="193"/>
      <c r="D220" s="193"/>
      <c r="E220" s="193"/>
      <c r="F220" s="193"/>
      <c r="G220" s="193"/>
      <c r="H220" s="193"/>
    </row>
    <row r="221" spans="1:8" ht="15.6">
      <c r="A221" s="193"/>
      <c r="B221" s="193"/>
      <c r="C221" s="193"/>
      <c r="D221" s="193"/>
      <c r="E221" s="193"/>
      <c r="F221" s="193"/>
      <c r="G221" s="193"/>
      <c r="H221" s="193"/>
    </row>
    <row r="222" spans="1:8" ht="15.6">
      <c r="A222" s="193"/>
      <c r="B222" s="193"/>
      <c r="C222" s="193"/>
      <c r="D222" s="193"/>
      <c r="E222" s="193"/>
      <c r="F222" s="193"/>
      <c r="G222" s="193"/>
      <c r="H222" s="193"/>
    </row>
    <row r="223" spans="1:8" ht="15.6">
      <c r="A223" s="193"/>
      <c r="B223" s="193"/>
      <c r="C223" s="193"/>
      <c r="D223" s="193"/>
      <c r="E223" s="193"/>
      <c r="F223" s="193"/>
      <c r="G223" s="193"/>
      <c r="H223" s="193"/>
    </row>
    <row r="224" spans="1:8" ht="15.6">
      <c r="A224" s="193"/>
      <c r="B224" s="193"/>
      <c r="C224" s="193"/>
      <c r="D224" s="193"/>
      <c r="E224" s="193"/>
      <c r="F224" s="193"/>
      <c r="G224" s="193"/>
      <c r="H224" s="193"/>
    </row>
    <row r="225" spans="1:8" ht="15.6">
      <c r="A225" s="193"/>
      <c r="B225" s="193"/>
      <c r="C225" s="193"/>
      <c r="D225" s="193"/>
      <c r="E225" s="193"/>
      <c r="F225" s="193"/>
      <c r="G225" s="193"/>
      <c r="H225" s="193"/>
    </row>
    <row r="226" spans="1:8" ht="15.6">
      <c r="A226" s="193"/>
      <c r="B226" s="193"/>
      <c r="C226" s="193"/>
      <c r="D226" s="193"/>
      <c r="E226" s="193"/>
      <c r="F226" s="193"/>
      <c r="G226" s="193"/>
      <c r="H226" s="193"/>
    </row>
    <row r="227" spans="1:8" ht="15.6">
      <c r="A227" s="193"/>
      <c r="B227" s="193"/>
      <c r="C227" s="193"/>
      <c r="D227" s="193"/>
      <c r="E227" s="193"/>
      <c r="F227" s="193"/>
      <c r="G227" s="193"/>
      <c r="H227" s="193"/>
    </row>
    <row r="228" spans="1:8" ht="15.6">
      <c r="A228" s="193"/>
      <c r="B228" s="193"/>
      <c r="C228" s="193"/>
      <c r="D228" s="193"/>
      <c r="E228" s="193"/>
      <c r="F228" s="193"/>
      <c r="G228" s="193"/>
      <c r="H228" s="193"/>
    </row>
    <row r="229" spans="1:8" ht="15.6">
      <c r="A229" s="193"/>
      <c r="B229" s="193"/>
      <c r="C229" s="193"/>
      <c r="D229" s="193"/>
      <c r="E229" s="193"/>
      <c r="F229" s="193"/>
      <c r="G229" s="193"/>
      <c r="H229" s="193"/>
    </row>
    <row r="230" spans="1:8" ht="15.6">
      <c r="A230" s="193"/>
      <c r="B230" s="193"/>
      <c r="C230" s="193"/>
      <c r="D230" s="193"/>
      <c r="E230" s="193"/>
      <c r="F230" s="193"/>
      <c r="G230" s="193"/>
      <c r="H230" s="193"/>
    </row>
    <row r="231" spans="1:8" ht="15.6">
      <c r="A231" s="193"/>
      <c r="B231" s="193"/>
      <c r="C231" s="193"/>
      <c r="D231" s="193"/>
      <c r="E231" s="193"/>
      <c r="F231" s="193"/>
      <c r="G231" s="193"/>
      <c r="H231" s="193"/>
    </row>
    <row r="232" spans="1:8" ht="15.6">
      <c r="A232" s="193"/>
      <c r="B232" s="193"/>
      <c r="C232" s="193"/>
      <c r="D232" s="193"/>
      <c r="E232" s="193"/>
      <c r="F232" s="193"/>
      <c r="G232" s="193"/>
      <c r="H232" s="193"/>
    </row>
    <row r="233" spans="1:8" ht="15.6">
      <c r="A233" s="193"/>
      <c r="B233" s="193"/>
      <c r="C233" s="193"/>
      <c r="D233" s="193"/>
      <c r="E233" s="193"/>
      <c r="F233" s="193"/>
      <c r="G233" s="193"/>
      <c r="H233" s="193"/>
    </row>
    <row r="234" spans="1:8" ht="15.6">
      <c r="A234" s="193"/>
      <c r="B234" s="193"/>
      <c r="C234" s="193"/>
      <c r="D234" s="193"/>
      <c r="E234" s="193"/>
      <c r="F234" s="193"/>
      <c r="G234" s="193"/>
      <c r="H234" s="193"/>
    </row>
    <row r="235" spans="1:8" ht="15.6">
      <c r="A235" s="193"/>
      <c r="B235" s="193"/>
      <c r="C235" s="193"/>
      <c r="D235" s="193"/>
      <c r="E235" s="193"/>
      <c r="F235" s="193"/>
      <c r="G235" s="193"/>
      <c r="H235" s="193"/>
    </row>
    <row r="236" spans="1:8" ht="15.6">
      <c r="A236" s="193"/>
      <c r="B236" s="193"/>
      <c r="C236" s="193"/>
      <c r="D236" s="193"/>
      <c r="E236" s="193"/>
      <c r="F236" s="193"/>
      <c r="G236" s="193"/>
      <c r="H236" s="193"/>
    </row>
    <row r="237" spans="1:8" ht="15.6">
      <c r="A237" s="193"/>
      <c r="B237" s="193"/>
      <c r="C237" s="193"/>
      <c r="D237" s="193"/>
      <c r="E237" s="193"/>
      <c r="F237" s="193"/>
      <c r="G237" s="193"/>
      <c r="H237" s="193"/>
    </row>
    <row r="238" spans="1:8" ht="15.6">
      <c r="A238" s="193"/>
      <c r="B238" s="193"/>
      <c r="C238" s="193"/>
      <c r="D238" s="193"/>
      <c r="E238" s="193"/>
      <c r="F238" s="193"/>
      <c r="G238" s="193"/>
      <c r="H238" s="193"/>
    </row>
    <row r="239" spans="1:8" ht="15.6">
      <c r="A239" s="193"/>
      <c r="B239" s="193"/>
      <c r="C239" s="193"/>
      <c r="D239" s="193"/>
      <c r="E239" s="193"/>
      <c r="F239" s="193"/>
      <c r="G239" s="193"/>
      <c r="H239" s="193"/>
    </row>
    <row r="240" spans="1:8" ht="15.6">
      <c r="A240" s="193"/>
      <c r="B240" s="193"/>
      <c r="C240" s="193"/>
      <c r="D240" s="193"/>
      <c r="E240" s="193"/>
      <c r="F240" s="193"/>
      <c r="G240" s="193"/>
      <c r="H240" s="193"/>
    </row>
    <row r="241" spans="1:8" ht="15.6">
      <c r="A241" s="193"/>
      <c r="B241" s="193"/>
      <c r="C241" s="193"/>
      <c r="D241" s="193"/>
      <c r="E241" s="193"/>
      <c r="F241" s="193"/>
      <c r="G241" s="193"/>
      <c r="H241" s="193"/>
    </row>
    <row r="242" spans="1:8" ht="15.6">
      <c r="A242" s="193"/>
      <c r="B242" s="193"/>
      <c r="C242" s="193"/>
      <c r="D242" s="193"/>
      <c r="E242" s="193"/>
      <c r="F242" s="193"/>
      <c r="G242" s="193"/>
      <c r="H242" s="193"/>
    </row>
    <row r="243" spans="1:8" ht="15.6">
      <c r="A243" s="193"/>
      <c r="B243" s="193"/>
      <c r="C243" s="193"/>
      <c r="D243" s="193"/>
      <c r="E243" s="193"/>
      <c r="F243" s="193"/>
      <c r="G243" s="193"/>
      <c r="H243" s="193"/>
    </row>
    <row r="244" spans="1:8" ht="15.6">
      <c r="A244" s="193"/>
      <c r="B244" s="193"/>
      <c r="C244" s="193"/>
      <c r="D244" s="193"/>
      <c r="E244" s="193"/>
      <c r="F244" s="193"/>
      <c r="G244" s="193"/>
      <c r="H244" s="193"/>
    </row>
    <row r="245" spans="1:8" ht="15.6">
      <c r="A245" s="193"/>
      <c r="B245" s="193"/>
      <c r="C245" s="193"/>
      <c r="D245" s="193"/>
      <c r="E245" s="193"/>
      <c r="F245" s="193"/>
      <c r="G245" s="193"/>
      <c r="H245" s="193"/>
    </row>
    <row r="246" spans="1:8" ht="15.6">
      <c r="A246" s="193"/>
      <c r="B246" s="193"/>
      <c r="C246" s="193"/>
      <c r="D246" s="193"/>
      <c r="E246" s="193"/>
      <c r="F246" s="193"/>
      <c r="G246" s="193"/>
      <c r="H246" s="193"/>
    </row>
    <row r="247" spans="1:8" ht="15.6">
      <c r="A247" s="193"/>
      <c r="B247" s="193"/>
      <c r="C247" s="193"/>
      <c r="D247" s="193"/>
      <c r="E247" s="193"/>
      <c r="F247" s="193"/>
      <c r="G247" s="193"/>
      <c r="H247" s="193"/>
    </row>
    <row r="248" spans="1:8" ht="15.6">
      <c r="A248" s="193"/>
      <c r="B248" s="193"/>
      <c r="C248" s="193"/>
      <c r="D248" s="193"/>
      <c r="E248" s="193"/>
      <c r="F248" s="193"/>
      <c r="G248" s="193"/>
      <c r="H248" s="193"/>
    </row>
    <row r="249" spans="1:8" ht="15.6">
      <c r="A249" s="193"/>
      <c r="B249" s="193"/>
      <c r="C249" s="193"/>
      <c r="D249" s="193"/>
      <c r="E249" s="193"/>
      <c r="F249" s="193"/>
      <c r="G249" s="193"/>
      <c r="H249" s="193"/>
    </row>
    <row r="250" spans="1:8" ht="15.6">
      <c r="A250" s="193"/>
      <c r="B250" s="193"/>
      <c r="C250" s="193"/>
      <c r="D250" s="193"/>
      <c r="E250" s="193"/>
      <c r="F250" s="193"/>
      <c r="G250" s="193"/>
      <c r="H250" s="193"/>
    </row>
    <row r="251" spans="1:8" ht="15.6">
      <c r="A251" s="193"/>
      <c r="B251" s="193"/>
      <c r="C251" s="193"/>
      <c r="D251" s="193"/>
      <c r="E251" s="193"/>
      <c r="F251" s="193"/>
      <c r="G251" s="193"/>
      <c r="H251" s="193"/>
    </row>
    <row r="252" spans="1:8" ht="15.6">
      <c r="A252" s="193"/>
      <c r="B252" s="193"/>
      <c r="C252" s="193"/>
      <c r="D252" s="193"/>
      <c r="E252" s="193"/>
      <c r="F252" s="193"/>
      <c r="G252" s="193"/>
      <c r="H252" s="193"/>
    </row>
    <row r="253" spans="1:8" ht="15.6">
      <c r="A253" s="193"/>
      <c r="B253" s="193"/>
      <c r="C253" s="193"/>
      <c r="D253" s="193"/>
      <c r="E253" s="193"/>
      <c r="F253" s="193"/>
      <c r="G253" s="193"/>
      <c r="H253" s="193"/>
    </row>
    <row r="254" spans="1:8" ht="15.6">
      <c r="A254" s="193"/>
      <c r="B254" s="193"/>
      <c r="C254" s="193"/>
      <c r="D254" s="193"/>
      <c r="E254" s="193"/>
      <c r="F254" s="193"/>
      <c r="G254" s="193"/>
      <c r="H254" s="193"/>
    </row>
    <row r="255" spans="1:8" ht="15.6">
      <c r="A255" s="193"/>
      <c r="B255" s="193"/>
      <c r="C255" s="193"/>
      <c r="D255" s="193"/>
      <c r="E255" s="193"/>
      <c r="F255" s="193"/>
      <c r="G255" s="193"/>
      <c r="H255" s="193"/>
    </row>
    <row r="256" spans="1:8" ht="15.6">
      <c r="A256" s="193"/>
      <c r="B256" s="193"/>
      <c r="C256" s="193"/>
      <c r="D256" s="193"/>
      <c r="E256" s="193"/>
      <c r="F256" s="193"/>
      <c r="G256" s="193"/>
      <c r="H256" s="193"/>
    </row>
    <row r="257" spans="1:8" ht="15.6">
      <c r="A257" s="193"/>
      <c r="B257" s="193"/>
      <c r="C257" s="193"/>
      <c r="D257" s="193"/>
      <c r="E257" s="193"/>
      <c r="F257" s="193"/>
      <c r="G257" s="193"/>
      <c r="H257" s="193"/>
    </row>
    <row r="258" spans="1:8" ht="15.6">
      <c r="A258" s="193"/>
      <c r="B258" s="193"/>
      <c r="C258" s="193"/>
      <c r="D258" s="193"/>
      <c r="E258" s="193"/>
      <c r="F258" s="193"/>
      <c r="G258" s="193"/>
      <c r="H258" s="193"/>
    </row>
    <row r="259" spans="1:8" ht="15.6">
      <c r="A259" s="193"/>
      <c r="B259" s="193"/>
      <c r="C259" s="193"/>
      <c r="D259" s="193"/>
      <c r="E259" s="193"/>
      <c r="F259" s="193"/>
      <c r="G259" s="193"/>
      <c r="H259" s="193"/>
    </row>
    <row r="260" spans="1:8" ht="15.6">
      <c r="A260" s="193"/>
      <c r="B260" s="193"/>
      <c r="C260" s="193"/>
      <c r="D260" s="193"/>
      <c r="E260" s="193"/>
      <c r="F260" s="193"/>
      <c r="G260" s="193"/>
      <c r="H260" s="193"/>
    </row>
    <row r="261" spans="1:8" ht="15.6">
      <c r="A261" s="193"/>
      <c r="B261" s="193"/>
      <c r="C261" s="193"/>
      <c r="D261" s="193"/>
      <c r="E261" s="193"/>
      <c r="F261" s="193"/>
      <c r="G261" s="193"/>
      <c r="H261" s="193"/>
    </row>
    <row r="262" spans="1:8" ht="15.6">
      <c r="A262" s="193"/>
      <c r="B262" s="193"/>
      <c r="C262" s="193"/>
      <c r="D262" s="193"/>
      <c r="E262" s="193"/>
      <c r="F262" s="193"/>
      <c r="G262" s="193"/>
      <c r="H262" s="193"/>
    </row>
    <row r="263" spans="1:8" ht="15.6">
      <c r="A263" s="193"/>
      <c r="B263" s="193"/>
      <c r="C263" s="193"/>
      <c r="D263" s="193"/>
      <c r="E263" s="193"/>
      <c r="F263" s="193"/>
      <c r="G263" s="193"/>
      <c r="H263" s="193"/>
    </row>
    <row r="264" spans="1:8" ht="15.6">
      <c r="A264" s="193"/>
      <c r="B264" s="193"/>
      <c r="C264" s="193"/>
      <c r="D264" s="193"/>
      <c r="E264" s="193"/>
      <c r="F264" s="193"/>
      <c r="G264" s="193"/>
      <c r="H264" s="193"/>
    </row>
    <row r="265" spans="1:8" ht="15.6">
      <c r="A265" s="193"/>
      <c r="B265" s="193"/>
      <c r="C265" s="193"/>
      <c r="D265" s="193"/>
      <c r="E265" s="193"/>
      <c r="F265" s="193"/>
      <c r="G265" s="193"/>
      <c r="H265" s="193"/>
    </row>
    <row r="266" spans="1:8" ht="15.6">
      <c r="A266" s="193"/>
      <c r="B266" s="193"/>
      <c r="C266" s="193"/>
      <c r="D266" s="193"/>
      <c r="E266" s="193"/>
      <c r="F266" s="193"/>
      <c r="G266" s="193"/>
      <c r="H266" s="193"/>
    </row>
    <row r="267" spans="1:8" ht="15.6">
      <c r="A267" s="193"/>
      <c r="B267" s="193"/>
      <c r="C267" s="193"/>
      <c r="D267" s="193"/>
      <c r="E267" s="193"/>
      <c r="F267" s="193"/>
      <c r="G267" s="193"/>
      <c r="H267" s="193"/>
    </row>
    <row r="268" spans="1:8" ht="15.6">
      <c r="A268" s="193"/>
      <c r="B268" s="193"/>
      <c r="C268" s="193"/>
      <c r="D268" s="193"/>
      <c r="E268" s="193"/>
      <c r="F268" s="193"/>
      <c r="G268" s="193"/>
      <c r="H268" s="193"/>
    </row>
    <row r="269" spans="1:8" ht="15.6">
      <c r="A269" s="193"/>
      <c r="B269" s="193"/>
      <c r="C269" s="193"/>
      <c r="D269" s="193"/>
      <c r="E269" s="193"/>
      <c r="F269" s="193"/>
      <c r="G269" s="193"/>
      <c r="H269" s="193"/>
    </row>
    <row r="270" spans="1:8" ht="15.6">
      <c r="A270" s="193"/>
      <c r="B270" s="193"/>
      <c r="C270" s="193"/>
      <c r="D270" s="193"/>
      <c r="E270" s="193"/>
      <c r="F270" s="193"/>
      <c r="G270" s="193"/>
      <c r="H270" s="193"/>
    </row>
    <row r="271" spans="1:8" ht="15.6">
      <c r="A271" s="193"/>
      <c r="B271" s="193"/>
      <c r="C271" s="193"/>
      <c r="D271" s="193"/>
      <c r="E271" s="193"/>
      <c r="F271" s="193"/>
      <c r="G271" s="193"/>
      <c r="H271" s="193"/>
    </row>
    <row r="272" spans="1:8" ht="15.6">
      <c r="A272" s="193"/>
      <c r="B272" s="193"/>
      <c r="C272" s="193"/>
      <c r="D272" s="193"/>
      <c r="E272" s="193"/>
      <c r="F272" s="193"/>
      <c r="G272" s="193"/>
      <c r="H272" s="193"/>
    </row>
    <row r="273" spans="1:8" ht="15.6">
      <c r="A273" s="193"/>
      <c r="B273" s="193"/>
      <c r="C273" s="193"/>
      <c r="D273" s="193"/>
      <c r="E273" s="193"/>
      <c r="F273" s="193"/>
      <c r="G273" s="193"/>
      <c r="H273" s="193"/>
    </row>
    <row r="274" spans="1:8" ht="15.6">
      <c r="A274" s="193"/>
      <c r="B274" s="193"/>
      <c r="C274" s="193"/>
      <c r="D274" s="193"/>
      <c r="E274" s="193"/>
      <c r="F274" s="193"/>
      <c r="G274" s="193"/>
      <c r="H274" s="193"/>
    </row>
    <row r="275" spans="1:8" ht="15.6">
      <c r="A275" s="193"/>
      <c r="B275" s="193"/>
      <c r="C275" s="193"/>
      <c r="D275" s="193"/>
      <c r="E275" s="193"/>
      <c r="F275" s="193"/>
      <c r="G275" s="193"/>
      <c r="H275" s="193"/>
    </row>
    <row r="276" spans="1:8" ht="15.6">
      <c r="A276" s="193"/>
      <c r="B276" s="193"/>
      <c r="C276" s="193"/>
      <c r="D276" s="193"/>
      <c r="E276" s="193"/>
      <c r="F276" s="193"/>
      <c r="G276" s="193"/>
      <c r="H276" s="193"/>
    </row>
    <row r="277" spans="1:8" ht="15.6">
      <c r="A277" s="193"/>
      <c r="B277" s="193"/>
      <c r="C277" s="193"/>
      <c r="D277" s="193"/>
      <c r="E277" s="193"/>
      <c r="F277" s="193"/>
      <c r="G277" s="193"/>
      <c r="H277" s="193"/>
    </row>
    <row r="278" spans="1:8" ht="15.6">
      <c r="A278" s="193"/>
      <c r="B278" s="193"/>
      <c r="C278" s="193"/>
      <c r="D278" s="193"/>
      <c r="E278" s="193"/>
      <c r="F278" s="193"/>
      <c r="G278" s="193"/>
      <c r="H278" s="193"/>
    </row>
    <row r="279" spans="1:8" ht="15.6">
      <c r="A279" s="193"/>
      <c r="B279" s="193"/>
      <c r="C279" s="193"/>
      <c r="D279" s="193"/>
      <c r="E279" s="193"/>
      <c r="F279" s="193"/>
      <c r="G279" s="193"/>
      <c r="H279" s="193"/>
    </row>
    <row r="280" spans="1:8" ht="15.6">
      <c r="A280" s="193"/>
      <c r="B280" s="193"/>
      <c r="C280" s="193"/>
      <c r="D280" s="193"/>
      <c r="E280" s="193"/>
      <c r="F280" s="193"/>
      <c r="G280" s="193"/>
      <c r="H280" s="193"/>
    </row>
    <row r="281" spans="1:8" ht="15.6">
      <c r="A281" s="193"/>
      <c r="B281" s="193"/>
      <c r="C281" s="193"/>
      <c r="D281" s="193"/>
      <c r="E281" s="193"/>
      <c r="F281" s="193"/>
      <c r="G281" s="193"/>
      <c r="H281" s="193"/>
    </row>
    <row r="282" spans="1:8" ht="15.6">
      <c r="A282" s="193"/>
      <c r="B282" s="193"/>
      <c r="C282" s="193"/>
      <c r="D282" s="193"/>
      <c r="E282" s="193"/>
      <c r="F282" s="193"/>
      <c r="G282" s="193"/>
      <c r="H282" s="193"/>
    </row>
    <row r="283" spans="1:8" ht="15.6">
      <c r="A283" s="193"/>
      <c r="B283" s="193"/>
      <c r="C283" s="193"/>
      <c r="D283" s="193"/>
      <c r="E283" s="193"/>
      <c r="F283" s="193"/>
      <c r="G283" s="193"/>
      <c r="H283" s="193"/>
    </row>
    <row r="284" spans="1:8" ht="15.6">
      <c r="A284" s="193"/>
      <c r="B284" s="193"/>
      <c r="C284" s="193"/>
      <c r="D284" s="193"/>
      <c r="E284" s="193"/>
      <c r="F284" s="193"/>
      <c r="G284" s="193"/>
      <c r="H284" s="193"/>
    </row>
    <row r="285" spans="1:8" ht="15.6">
      <c r="A285" s="193"/>
      <c r="B285" s="193"/>
      <c r="C285" s="193"/>
      <c r="D285" s="193"/>
      <c r="E285" s="193"/>
      <c r="F285" s="193"/>
      <c r="G285" s="193"/>
      <c r="H285" s="193"/>
    </row>
    <row r="286" spans="1:8" ht="15.6">
      <c r="A286" s="193"/>
      <c r="B286" s="193"/>
      <c r="C286" s="193"/>
      <c r="D286" s="193"/>
      <c r="E286" s="193"/>
      <c r="F286" s="193"/>
      <c r="G286" s="193"/>
      <c r="H286" s="193"/>
    </row>
    <row r="287" spans="1:8" ht="15.6">
      <c r="A287" s="193"/>
      <c r="B287" s="193"/>
      <c r="C287" s="193"/>
      <c r="D287" s="193"/>
      <c r="E287" s="193"/>
      <c r="F287" s="193"/>
      <c r="G287" s="193"/>
      <c r="H287" s="193"/>
    </row>
    <row r="288" spans="1:8" ht="15.6">
      <c r="A288" s="193"/>
      <c r="B288" s="193"/>
      <c r="C288" s="193"/>
      <c r="D288" s="193"/>
      <c r="E288" s="193"/>
      <c r="F288" s="193"/>
      <c r="G288" s="193"/>
      <c r="H288" s="193"/>
    </row>
    <row r="289" spans="1:8" ht="15.6">
      <c r="A289" s="193"/>
      <c r="B289" s="193"/>
      <c r="C289" s="193"/>
      <c r="D289" s="193"/>
      <c r="E289" s="193"/>
      <c r="F289" s="193"/>
      <c r="G289" s="193"/>
      <c r="H289" s="193"/>
    </row>
    <row r="290" spans="1:8" ht="15.6">
      <c r="A290" s="193"/>
      <c r="B290" s="193"/>
      <c r="C290" s="193"/>
      <c r="D290" s="193"/>
      <c r="E290" s="193"/>
      <c r="F290" s="193"/>
      <c r="G290" s="193"/>
      <c r="H290" s="193"/>
    </row>
    <row r="291" spans="1:8" ht="15.6">
      <c r="A291" s="193"/>
      <c r="B291" s="193"/>
      <c r="C291" s="193"/>
      <c r="D291" s="193"/>
      <c r="E291" s="193"/>
      <c r="F291" s="193"/>
      <c r="G291" s="193"/>
      <c r="H291" s="193"/>
    </row>
    <row r="292" spans="1:8" ht="15.6">
      <c r="A292" s="193"/>
      <c r="B292" s="193"/>
      <c r="C292" s="193"/>
      <c r="D292" s="193"/>
      <c r="E292" s="193"/>
      <c r="F292" s="193"/>
      <c r="G292" s="193"/>
      <c r="H292" s="193"/>
    </row>
    <row r="293" spans="1:8" ht="15.6">
      <c r="A293" s="193"/>
      <c r="B293" s="193"/>
      <c r="C293" s="193"/>
      <c r="D293" s="193"/>
      <c r="E293" s="193"/>
      <c r="F293" s="193"/>
      <c r="G293" s="193"/>
      <c r="H293" s="193"/>
    </row>
    <row r="294" spans="1:8" ht="15.6">
      <c r="A294" s="193"/>
      <c r="B294" s="193"/>
      <c r="C294" s="193"/>
      <c r="D294" s="193"/>
      <c r="E294" s="193"/>
      <c r="F294" s="193"/>
      <c r="G294" s="193"/>
      <c r="H294" s="193"/>
    </row>
    <row r="295" spans="1:8" ht="15.6">
      <c r="A295" s="193"/>
      <c r="B295" s="193"/>
      <c r="C295" s="193"/>
      <c r="D295" s="193"/>
      <c r="E295" s="193"/>
      <c r="F295" s="193"/>
      <c r="G295" s="193"/>
      <c r="H295" s="193"/>
    </row>
    <row r="296" spans="1:8" ht="15.6">
      <c r="A296" s="193"/>
      <c r="B296" s="193"/>
      <c r="C296" s="193"/>
      <c r="D296" s="193"/>
      <c r="E296" s="193"/>
      <c r="F296" s="193"/>
      <c r="G296" s="193"/>
      <c r="H296" s="193"/>
    </row>
    <row r="297" spans="1:8" ht="15.6">
      <c r="A297" s="193"/>
      <c r="B297" s="193"/>
      <c r="C297" s="193"/>
      <c r="D297" s="193"/>
      <c r="E297" s="193"/>
      <c r="F297" s="193"/>
      <c r="G297" s="193"/>
      <c r="H297" s="193"/>
    </row>
    <row r="298" spans="1:8" ht="15.6">
      <c r="A298" s="193"/>
      <c r="B298" s="193"/>
      <c r="C298" s="193"/>
      <c r="D298" s="193"/>
      <c r="E298" s="193"/>
      <c r="F298" s="193"/>
      <c r="G298" s="193"/>
      <c r="H298" s="193"/>
    </row>
    <row r="299" spans="1:8" ht="15.6">
      <c r="A299" s="193"/>
      <c r="B299" s="193"/>
      <c r="C299" s="193"/>
      <c r="D299" s="193"/>
      <c r="E299" s="193"/>
      <c r="F299" s="193"/>
      <c r="G299" s="193"/>
      <c r="H299" s="193"/>
    </row>
    <row r="300" spans="1:8" ht="15.6">
      <c r="A300" s="193"/>
      <c r="B300" s="193"/>
      <c r="C300" s="193"/>
      <c r="D300" s="193"/>
      <c r="E300" s="193"/>
      <c r="F300" s="193"/>
      <c r="G300" s="193"/>
      <c r="H300" s="193"/>
    </row>
    <row r="301" spans="1:8" ht="15.6">
      <c r="A301" s="193"/>
      <c r="B301" s="193"/>
      <c r="C301" s="193"/>
      <c r="D301" s="193"/>
      <c r="E301" s="193"/>
      <c r="F301" s="193"/>
      <c r="G301" s="193"/>
      <c r="H301" s="193"/>
    </row>
    <row r="302" spans="1:8" ht="15.6">
      <c r="A302" s="193"/>
      <c r="B302" s="193"/>
      <c r="C302" s="193"/>
      <c r="D302" s="193"/>
      <c r="E302" s="193"/>
      <c r="F302" s="193"/>
      <c r="G302" s="193"/>
      <c r="H302" s="193"/>
    </row>
    <row r="303" spans="1:8" ht="15.6">
      <c r="A303" s="193"/>
      <c r="B303" s="193"/>
      <c r="C303" s="193"/>
      <c r="D303" s="193"/>
      <c r="E303" s="193"/>
      <c r="F303" s="193"/>
      <c r="G303" s="193"/>
      <c r="H303" s="193"/>
    </row>
    <row r="304" spans="1:8" ht="15.6">
      <c r="A304" s="193"/>
      <c r="B304" s="193"/>
      <c r="C304" s="193"/>
      <c r="D304" s="193"/>
      <c r="E304" s="193"/>
      <c r="F304" s="193"/>
      <c r="G304" s="193"/>
      <c r="H304" s="193"/>
    </row>
    <row r="305" spans="1:8" ht="15.6">
      <c r="A305" s="193"/>
      <c r="B305" s="193"/>
      <c r="C305" s="193"/>
      <c r="D305" s="193"/>
      <c r="E305" s="193"/>
      <c r="F305" s="193"/>
      <c r="G305" s="193"/>
      <c r="H305" s="193"/>
    </row>
    <row r="306" spans="1:8" ht="15.6">
      <c r="A306" s="193"/>
      <c r="B306" s="193"/>
      <c r="C306" s="193"/>
      <c r="D306" s="193"/>
      <c r="E306" s="193"/>
      <c r="F306" s="193"/>
      <c r="G306" s="193"/>
      <c r="H306" s="193"/>
    </row>
    <row r="307" spans="1:8" ht="15.6">
      <c r="A307" s="193"/>
      <c r="B307" s="193"/>
      <c r="C307" s="193"/>
      <c r="D307" s="193"/>
      <c r="E307" s="193"/>
      <c r="F307" s="193"/>
      <c r="G307" s="193"/>
      <c r="H307" s="193"/>
    </row>
    <row r="308" spans="1:8" ht="15.6">
      <c r="A308" s="193"/>
      <c r="B308" s="193"/>
      <c r="C308" s="193"/>
      <c r="D308" s="193"/>
      <c r="E308" s="193"/>
      <c r="F308" s="193"/>
      <c r="G308" s="193"/>
      <c r="H308" s="193"/>
    </row>
    <row r="309" spans="1:8" ht="15.6">
      <c r="A309" s="193"/>
      <c r="B309" s="193"/>
      <c r="C309" s="193"/>
      <c r="D309" s="193"/>
      <c r="E309" s="193"/>
      <c r="F309" s="193"/>
      <c r="G309" s="193"/>
      <c r="H309" s="193"/>
    </row>
    <row r="310" spans="1:8" ht="15.6">
      <c r="A310" s="193"/>
      <c r="B310" s="193"/>
      <c r="C310" s="193"/>
      <c r="D310" s="193"/>
      <c r="E310" s="193"/>
      <c r="F310" s="193"/>
      <c r="G310" s="193"/>
      <c r="H310" s="193"/>
    </row>
    <row r="311" spans="1:8" ht="15.6">
      <c r="A311" s="193"/>
      <c r="B311" s="193"/>
      <c r="C311" s="193"/>
      <c r="D311" s="193"/>
      <c r="E311" s="193"/>
      <c r="F311" s="193"/>
      <c r="G311" s="193"/>
      <c r="H311" s="193"/>
    </row>
    <row r="312" spans="1:8" ht="15.6">
      <c r="A312" s="193"/>
      <c r="B312" s="193"/>
      <c r="C312" s="193"/>
      <c r="D312" s="193"/>
      <c r="E312" s="193"/>
      <c r="F312" s="193"/>
      <c r="G312" s="193"/>
      <c r="H312" s="193"/>
    </row>
    <row r="313" spans="1:8" ht="15.6">
      <c r="A313" s="193"/>
      <c r="B313" s="193"/>
      <c r="C313" s="193"/>
      <c r="D313" s="193"/>
      <c r="E313" s="193"/>
      <c r="F313" s="193"/>
      <c r="G313" s="193"/>
      <c r="H313" s="193"/>
    </row>
    <row r="314" spans="1:8" ht="15.6">
      <c r="A314" s="193"/>
      <c r="B314" s="193"/>
      <c r="C314" s="193"/>
      <c r="D314" s="193"/>
      <c r="E314" s="193"/>
      <c r="F314" s="193"/>
      <c r="G314" s="193"/>
      <c r="H314" s="193"/>
    </row>
    <row r="315" spans="1:8" ht="15.6">
      <c r="A315" s="193"/>
      <c r="B315" s="193"/>
      <c r="C315" s="193"/>
      <c r="D315" s="193"/>
      <c r="E315" s="193"/>
      <c r="F315" s="193"/>
      <c r="G315" s="193"/>
      <c r="H315" s="193"/>
    </row>
    <row r="316" spans="1:8" ht="15.6">
      <c r="A316" s="193"/>
      <c r="B316" s="193"/>
      <c r="C316" s="193"/>
      <c r="D316" s="193"/>
      <c r="E316" s="193"/>
      <c r="F316" s="193"/>
      <c r="G316" s="193"/>
      <c r="H316" s="193"/>
    </row>
    <row r="317" spans="1:8" ht="15.6">
      <c r="A317" s="193"/>
      <c r="B317" s="193"/>
      <c r="C317" s="193"/>
      <c r="D317" s="193"/>
      <c r="E317" s="193"/>
      <c r="F317" s="193"/>
      <c r="G317" s="193"/>
      <c r="H317" s="193"/>
    </row>
    <row r="318" spans="1:8" ht="15.6">
      <c r="A318" s="193"/>
      <c r="B318" s="193"/>
      <c r="C318" s="193"/>
      <c r="D318" s="193"/>
      <c r="E318" s="193"/>
      <c r="F318" s="193"/>
      <c r="G318" s="193"/>
      <c r="H318" s="193"/>
    </row>
    <row r="319" spans="1:8" ht="15.6">
      <c r="A319" s="193"/>
      <c r="B319" s="193"/>
      <c r="C319" s="193"/>
      <c r="D319" s="193"/>
      <c r="E319" s="193"/>
      <c r="F319" s="193"/>
      <c r="G319" s="193"/>
      <c r="H319" s="193"/>
    </row>
    <row r="320" spans="1:8" ht="15.6">
      <c r="A320" s="193"/>
      <c r="B320" s="193"/>
      <c r="C320" s="193"/>
      <c r="D320" s="193"/>
      <c r="E320" s="193"/>
      <c r="F320" s="193"/>
      <c r="G320" s="193"/>
      <c r="H320" s="193"/>
    </row>
    <row r="321" spans="1:8" ht="15.6">
      <c r="A321" s="193"/>
      <c r="B321" s="193"/>
      <c r="C321" s="193"/>
      <c r="D321" s="193"/>
      <c r="E321" s="193"/>
      <c r="F321" s="193"/>
      <c r="G321" s="193"/>
      <c r="H321" s="193"/>
    </row>
    <row r="322" spans="1:8" ht="15.6">
      <c r="A322" s="193"/>
      <c r="B322" s="193"/>
      <c r="C322" s="193"/>
      <c r="D322" s="193"/>
      <c r="E322" s="193"/>
      <c r="F322" s="193"/>
      <c r="G322" s="193"/>
      <c r="H322" s="193"/>
    </row>
    <row r="323" spans="1:8" ht="15.6">
      <c r="A323" s="193"/>
      <c r="B323" s="193"/>
      <c r="C323" s="193"/>
      <c r="D323" s="193"/>
      <c r="E323" s="193"/>
      <c r="F323" s="193"/>
      <c r="G323" s="193"/>
      <c r="H323" s="193"/>
    </row>
    <row r="324" spans="1:8" ht="15.6">
      <c r="A324" s="193"/>
      <c r="B324" s="193"/>
      <c r="C324" s="193"/>
      <c r="D324" s="193"/>
      <c r="E324" s="193"/>
      <c r="F324" s="193"/>
      <c r="G324" s="193"/>
      <c r="H324" s="193"/>
    </row>
    <row r="325" spans="1:8" ht="15.6">
      <c r="A325" s="193"/>
      <c r="B325" s="193"/>
      <c r="C325" s="193"/>
      <c r="D325" s="193"/>
      <c r="E325" s="193"/>
      <c r="F325" s="193"/>
      <c r="G325" s="193"/>
      <c r="H325" s="193"/>
    </row>
    <row r="326" spans="1:8" ht="15.6">
      <c r="A326" s="193"/>
      <c r="B326" s="193"/>
      <c r="C326" s="193"/>
      <c r="D326" s="193"/>
      <c r="E326" s="193"/>
      <c r="F326" s="193"/>
      <c r="G326" s="193"/>
      <c r="H326" s="193"/>
    </row>
    <row r="327" spans="1:8" ht="15.6">
      <c r="A327" s="193"/>
      <c r="B327" s="193"/>
      <c r="C327" s="193"/>
      <c r="D327" s="193"/>
      <c r="E327" s="193"/>
      <c r="F327" s="193"/>
      <c r="G327" s="193"/>
      <c r="H327" s="193"/>
    </row>
    <row r="328" spans="1:8" ht="15.6">
      <c r="A328" s="193"/>
      <c r="B328" s="193"/>
      <c r="C328" s="193"/>
      <c r="D328" s="193"/>
      <c r="E328" s="193"/>
      <c r="F328" s="193"/>
      <c r="G328" s="193"/>
      <c r="H328" s="193"/>
    </row>
    <row r="329" spans="1:8" ht="15.6">
      <c r="A329" s="193"/>
      <c r="B329" s="193"/>
      <c r="C329" s="193"/>
      <c r="D329" s="193"/>
      <c r="E329" s="193"/>
      <c r="F329" s="193"/>
      <c r="G329" s="193"/>
      <c r="H329" s="193"/>
    </row>
    <row r="330" spans="1:8" ht="15.6">
      <c r="A330" s="193"/>
      <c r="B330" s="193"/>
      <c r="C330" s="193"/>
      <c r="D330" s="193"/>
      <c r="E330" s="193"/>
      <c r="F330" s="193"/>
      <c r="G330" s="193"/>
      <c r="H330" s="193"/>
    </row>
    <row r="331" spans="1:8" ht="15.6">
      <c r="A331" s="193"/>
      <c r="B331" s="193"/>
      <c r="C331" s="193"/>
      <c r="D331" s="193"/>
      <c r="E331" s="193"/>
      <c r="F331" s="193"/>
      <c r="G331" s="193"/>
      <c r="H331" s="193"/>
    </row>
    <row r="332" spans="1:8" ht="15.6">
      <c r="A332" s="193"/>
      <c r="B332" s="193"/>
      <c r="C332" s="193"/>
      <c r="D332" s="193"/>
      <c r="E332" s="193"/>
      <c r="F332" s="193"/>
      <c r="G332" s="193"/>
      <c r="H332" s="193"/>
    </row>
    <row r="333" spans="1:8" ht="15.6">
      <c r="A333" s="193"/>
      <c r="B333" s="193"/>
      <c r="C333" s="193"/>
      <c r="D333" s="193"/>
      <c r="E333" s="193"/>
      <c r="F333" s="193"/>
      <c r="G333" s="193"/>
      <c r="H333" s="193"/>
    </row>
    <row r="334" spans="1:8" ht="15.6">
      <c r="A334" s="193"/>
      <c r="B334" s="193"/>
      <c r="C334" s="193"/>
      <c r="D334" s="193"/>
      <c r="E334" s="193"/>
      <c r="F334" s="193"/>
      <c r="G334" s="193"/>
      <c r="H334" s="193"/>
    </row>
    <row r="335" spans="1:8" ht="15.6">
      <c r="A335" s="193"/>
      <c r="B335" s="193"/>
      <c r="C335" s="193"/>
      <c r="D335" s="193"/>
      <c r="E335" s="193"/>
      <c r="F335" s="193"/>
      <c r="G335" s="193"/>
      <c r="H335" s="193"/>
    </row>
    <row r="336" spans="1:8" ht="15.6">
      <c r="A336" s="193"/>
      <c r="B336" s="193"/>
      <c r="C336" s="193"/>
      <c r="D336" s="193"/>
      <c r="E336" s="193"/>
      <c r="F336" s="193"/>
      <c r="G336" s="193"/>
      <c r="H336" s="193"/>
    </row>
    <row r="337" spans="1:8" ht="15.6">
      <c r="A337" s="193"/>
      <c r="B337" s="193"/>
      <c r="C337" s="193"/>
      <c r="D337" s="193"/>
      <c r="E337" s="193"/>
      <c r="F337" s="193"/>
      <c r="G337" s="193"/>
      <c r="H337" s="193"/>
    </row>
    <row r="338" spans="1:8" ht="15.6">
      <c r="A338" s="193"/>
      <c r="B338" s="193"/>
      <c r="C338" s="193"/>
      <c r="D338" s="193"/>
      <c r="E338" s="193"/>
      <c r="F338" s="193"/>
      <c r="G338" s="193"/>
      <c r="H338" s="193"/>
    </row>
    <row r="339" spans="1:8" ht="15.6">
      <c r="A339" s="193"/>
      <c r="B339" s="193"/>
      <c r="C339" s="193"/>
      <c r="D339" s="193"/>
      <c r="E339" s="193"/>
      <c r="F339" s="193"/>
      <c r="G339" s="193"/>
      <c r="H339" s="193"/>
    </row>
    <row r="340" spans="1:8" ht="15.6">
      <c r="A340" s="193"/>
      <c r="B340" s="193"/>
      <c r="C340" s="193"/>
      <c r="D340" s="193"/>
      <c r="E340" s="193"/>
      <c r="F340" s="193"/>
      <c r="G340" s="193"/>
      <c r="H340" s="193"/>
    </row>
    <row r="341" spans="1:8" ht="15.6">
      <c r="A341" s="193"/>
      <c r="B341" s="193"/>
      <c r="C341" s="193"/>
      <c r="D341" s="193"/>
      <c r="E341" s="193"/>
      <c r="F341" s="193"/>
      <c r="G341" s="193"/>
      <c r="H341" s="193"/>
    </row>
    <row r="342" spans="1:8" ht="15.6">
      <c r="A342" s="193"/>
      <c r="B342" s="193"/>
      <c r="C342" s="193"/>
      <c r="D342" s="193"/>
      <c r="E342" s="193"/>
      <c r="F342" s="193"/>
      <c r="G342" s="193"/>
      <c r="H342" s="193"/>
    </row>
    <row r="343" spans="1:8" ht="15.6">
      <c r="A343" s="193"/>
      <c r="B343" s="193"/>
      <c r="C343" s="193"/>
      <c r="D343" s="193"/>
      <c r="E343" s="193"/>
      <c r="F343" s="193"/>
      <c r="G343" s="193"/>
      <c r="H343" s="193"/>
    </row>
    <row r="344" spans="1:8" ht="15.6">
      <c r="A344" s="193"/>
      <c r="B344" s="193"/>
      <c r="C344" s="193"/>
      <c r="D344" s="193"/>
      <c r="E344" s="193"/>
      <c r="F344" s="193"/>
      <c r="G344" s="193"/>
      <c r="H344" s="193"/>
    </row>
    <row r="345" spans="1:8" ht="15.6">
      <c r="A345" s="193"/>
      <c r="B345" s="193"/>
      <c r="C345" s="193"/>
      <c r="D345" s="193"/>
      <c r="E345" s="193"/>
      <c r="F345" s="193"/>
      <c r="G345" s="193"/>
      <c r="H345" s="193"/>
    </row>
    <row r="346" spans="1:8" ht="15.6">
      <c r="A346" s="193"/>
      <c r="B346" s="193"/>
      <c r="C346" s="193"/>
      <c r="D346" s="193"/>
      <c r="E346" s="193"/>
      <c r="F346" s="193"/>
      <c r="G346" s="193"/>
      <c r="H346" s="193"/>
    </row>
    <row r="347" spans="1:8" ht="15.6">
      <c r="A347" s="193"/>
      <c r="B347" s="193"/>
      <c r="C347" s="193"/>
      <c r="D347" s="193"/>
      <c r="E347" s="193"/>
      <c r="F347" s="193"/>
      <c r="G347" s="193"/>
      <c r="H347" s="193"/>
    </row>
    <row r="348" spans="1:8" ht="15.6">
      <c r="A348" s="193"/>
      <c r="B348" s="193"/>
      <c r="C348" s="193"/>
      <c r="D348" s="193"/>
      <c r="E348" s="193"/>
      <c r="F348" s="193"/>
      <c r="G348" s="193"/>
      <c r="H348" s="193"/>
    </row>
    <row r="349" spans="1:8" ht="15.6">
      <c r="A349" s="193"/>
      <c r="B349" s="193"/>
      <c r="C349" s="193"/>
      <c r="D349" s="193"/>
      <c r="E349" s="193"/>
      <c r="F349" s="193"/>
      <c r="G349" s="193"/>
      <c r="H349" s="193"/>
    </row>
    <row r="350" spans="1:8" ht="15.6">
      <c r="A350" s="193"/>
      <c r="B350" s="193"/>
      <c r="C350" s="193"/>
      <c r="D350" s="193"/>
      <c r="E350" s="193"/>
      <c r="F350" s="193"/>
      <c r="G350" s="193"/>
      <c r="H350" s="193"/>
    </row>
    <row r="351" spans="1:8" ht="15.6">
      <c r="A351" s="193"/>
      <c r="B351" s="193"/>
      <c r="C351" s="193"/>
      <c r="D351" s="193"/>
      <c r="E351" s="193"/>
      <c r="F351" s="193"/>
      <c r="G351" s="193"/>
      <c r="H351" s="193"/>
    </row>
    <row r="352" spans="1:8" ht="15.6">
      <c r="A352" s="193"/>
      <c r="B352" s="193"/>
      <c r="C352" s="193"/>
      <c r="D352" s="193"/>
      <c r="E352" s="193"/>
      <c r="F352" s="193"/>
      <c r="G352" s="193"/>
      <c r="H352" s="193"/>
    </row>
    <row r="353" spans="1:8" ht="15.6">
      <c r="A353" s="193"/>
      <c r="B353" s="193"/>
      <c r="C353" s="193"/>
      <c r="D353" s="193"/>
      <c r="E353" s="193"/>
      <c r="F353" s="193"/>
      <c r="G353" s="193"/>
      <c r="H353" s="193"/>
    </row>
    <row r="354" spans="1:8" ht="15.6">
      <c r="A354" s="193"/>
      <c r="B354" s="193"/>
      <c r="C354" s="193"/>
      <c r="D354" s="193"/>
      <c r="E354" s="193"/>
      <c r="F354" s="193"/>
      <c r="G354" s="193"/>
      <c r="H354" s="193"/>
    </row>
    <row r="355" spans="1:8" ht="15.6">
      <c r="A355" s="193"/>
      <c r="B355" s="193"/>
      <c r="C355" s="193"/>
      <c r="D355" s="193"/>
      <c r="E355" s="193"/>
      <c r="F355" s="193"/>
      <c r="G355" s="193"/>
      <c r="H355" s="193"/>
    </row>
    <row r="356" spans="1:8" ht="15.6">
      <c r="A356" s="193"/>
      <c r="B356" s="193"/>
      <c r="C356" s="193"/>
      <c r="D356" s="193"/>
      <c r="E356" s="193"/>
      <c r="F356" s="193"/>
      <c r="G356" s="193"/>
      <c r="H356" s="193"/>
    </row>
    <row r="357" spans="1:8" ht="15.6">
      <c r="A357" s="193"/>
      <c r="B357" s="193"/>
      <c r="C357" s="193"/>
      <c r="D357" s="193"/>
      <c r="E357" s="193"/>
      <c r="F357" s="193"/>
      <c r="G357" s="193"/>
      <c r="H357" s="193"/>
    </row>
    <row r="358" spans="1:8" ht="15.6">
      <c r="A358" s="193"/>
      <c r="B358" s="193"/>
      <c r="C358" s="193"/>
      <c r="D358" s="193"/>
      <c r="E358" s="193"/>
      <c r="F358" s="193"/>
      <c r="G358" s="193"/>
      <c r="H358" s="193"/>
    </row>
    <row r="359" spans="1:8" ht="15.6">
      <c r="A359" s="193"/>
      <c r="B359" s="193"/>
      <c r="C359" s="193"/>
      <c r="D359" s="193"/>
      <c r="E359" s="193"/>
      <c r="F359" s="193"/>
      <c r="G359" s="193"/>
      <c r="H359" s="193"/>
    </row>
    <row r="360" spans="1:8" ht="15.6">
      <c r="A360" s="193"/>
      <c r="B360" s="193"/>
      <c r="C360" s="193"/>
      <c r="D360" s="193"/>
      <c r="E360" s="193"/>
      <c r="F360" s="193"/>
      <c r="G360" s="193"/>
      <c r="H360" s="193"/>
    </row>
    <row r="361" spans="1:8" ht="15.6">
      <c r="A361" s="193"/>
      <c r="B361" s="193"/>
      <c r="C361" s="193"/>
      <c r="D361" s="193"/>
      <c r="E361" s="193"/>
      <c r="F361" s="193"/>
      <c r="G361" s="193"/>
      <c r="H361" s="193"/>
    </row>
    <row r="362" spans="1:8" ht="15.6">
      <c r="A362" s="193"/>
      <c r="B362" s="193"/>
      <c r="C362" s="193"/>
      <c r="D362" s="193"/>
      <c r="E362" s="193"/>
      <c r="F362" s="193"/>
      <c r="G362" s="193"/>
      <c r="H362" s="193"/>
    </row>
    <row r="363" spans="1:8" ht="15.6">
      <c r="A363" s="193"/>
      <c r="B363" s="193"/>
      <c r="C363" s="193"/>
      <c r="D363" s="193"/>
      <c r="E363" s="193"/>
      <c r="F363" s="193"/>
      <c r="G363" s="193"/>
      <c r="H363" s="193"/>
    </row>
    <row r="364" spans="1:8" ht="15.6">
      <c r="A364" s="193"/>
      <c r="B364" s="193"/>
      <c r="C364" s="193"/>
      <c r="D364" s="193"/>
      <c r="E364" s="193"/>
      <c r="F364" s="193"/>
      <c r="G364" s="193"/>
      <c r="H364" s="193"/>
    </row>
    <row r="365" spans="1:8" ht="15.6">
      <c r="A365" s="193"/>
      <c r="B365" s="193"/>
      <c r="C365" s="193"/>
      <c r="D365" s="193"/>
      <c r="E365" s="193"/>
      <c r="F365" s="193"/>
      <c r="G365" s="193"/>
      <c r="H365" s="193"/>
    </row>
    <row r="366" spans="1:8" ht="15.6">
      <c r="A366" s="193"/>
      <c r="B366" s="193"/>
      <c r="C366" s="193"/>
      <c r="D366" s="193"/>
      <c r="E366" s="193"/>
      <c r="F366" s="193"/>
      <c r="G366" s="193"/>
      <c r="H366" s="193"/>
    </row>
    <row r="367" spans="1:8" ht="15.6">
      <c r="A367" s="193"/>
      <c r="B367" s="193"/>
      <c r="C367" s="193"/>
      <c r="D367" s="193"/>
      <c r="E367" s="193"/>
      <c r="F367" s="193"/>
      <c r="G367" s="193"/>
      <c r="H367" s="193"/>
    </row>
    <row r="368" spans="1:8" ht="15.6">
      <c r="A368" s="193"/>
      <c r="B368" s="193"/>
      <c r="C368" s="193"/>
      <c r="D368" s="193"/>
      <c r="E368" s="193"/>
      <c r="F368" s="193"/>
      <c r="G368" s="193"/>
      <c r="H368" s="193"/>
    </row>
    <row r="369" spans="1:8" ht="15.6">
      <c r="A369" s="193"/>
      <c r="B369" s="193"/>
      <c r="C369" s="193"/>
      <c r="D369" s="193"/>
      <c r="E369" s="193"/>
      <c r="F369" s="193"/>
      <c r="G369" s="193"/>
      <c r="H369" s="193"/>
    </row>
    <row r="370" spans="1:8" ht="15.6">
      <c r="A370" s="193"/>
      <c r="B370" s="193"/>
      <c r="C370" s="193"/>
      <c r="D370" s="193"/>
      <c r="E370" s="193"/>
      <c r="F370" s="193"/>
      <c r="G370" s="193"/>
      <c r="H370" s="193"/>
    </row>
    <row r="371" spans="1:8" ht="15.6">
      <c r="A371" s="193"/>
      <c r="B371" s="193"/>
      <c r="C371" s="193"/>
      <c r="D371" s="193"/>
      <c r="E371" s="193"/>
      <c r="F371" s="193"/>
      <c r="G371" s="193"/>
      <c r="H371" s="193"/>
    </row>
    <row r="372" spans="1:8" ht="15.6">
      <c r="A372" s="193"/>
      <c r="B372" s="193"/>
      <c r="C372" s="193"/>
      <c r="D372" s="193"/>
      <c r="E372" s="193"/>
      <c r="F372" s="193"/>
      <c r="G372" s="193"/>
      <c r="H372" s="193"/>
    </row>
    <row r="373" spans="1:8" ht="15.6">
      <c r="A373" s="193"/>
      <c r="B373" s="193"/>
      <c r="C373" s="193"/>
      <c r="D373" s="193"/>
      <c r="E373" s="193"/>
      <c r="F373" s="193"/>
      <c r="G373" s="193"/>
      <c r="H373" s="193"/>
    </row>
    <row r="374" spans="1:8" ht="15.6">
      <c r="A374" s="193"/>
      <c r="B374" s="193"/>
      <c r="C374" s="193"/>
      <c r="D374" s="193"/>
      <c r="E374" s="193"/>
      <c r="F374" s="193"/>
      <c r="G374" s="193"/>
      <c r="H374" s="193"/>
    </row>
    <row r="375" spans="1:8" ht="15.6">
      <c r="A375" s="193"/>
      <c r="B375" s="193"/>
      <c r="C375" s="193"/>
      <c r="D375" s="193"/>
      <c r="E375" s="193"/>
      <c r="F375" s="193"/>
      <c r="G375" s="193"/>
      <c r="H375" s="193"/>
    </row>
    <row r="376" spans="1:8" ht="15.6">
      <c r="A376" s="193"/>
      <c r="B376" s="193"/>
      <c r="C376" s="193"/>
      <c r="D376" s="193"/>
      <c r="E376" s="193"/>
      <c r="F376" s="193"/>
      <c r="G376" s="193"/>
      <c r="H376" s="193"/>
    </row>
    <row r="377" spans="1:8" ht="15.6">
      <c r="A377" s="193"/>
      <c r="B377" s="193"/>
      <c r="C377" s="193"/>
      <c r="D377" s="193"/>
      <c r="E377" s="193"/>
      <c r="F377" s="193"/>
      <c r="G377" s="193"/>
      <c r="H377" s="193"/>
    </row>
    <row r="378" spans="1:8" ht="15.6">
      <c r="A378" s="193"/>
      <c r="B378" s="193"/>
      <c r="C378" s="193"/>
      <c r="D378" s="193"/>
      <c r="E378" s="193"/>
      <c r="F378" s="193"/>
      <c r="G378" s="193"/>
      <c r="H378" s="193"/>
    </row>
    <row r="379" spans="1:8" ht="15.6">
      <c r="A379" s="193"/>
      <c r="B379" s="193"/>
      <c r="C379" s="193"/>
      <c r="D379" s="193"/>
      <c r="E379" s="193"/>
      <c r="F379" s="193"/>
      <c r="G379" s="193"/>
      <c r="H379" s="193"/>
    </row>
    <row r="380" spans="1:8" ht="15.6">
      <c r="A380" s="193"/>
      <c r="B380" s="193"/>
      <c r="C380" s="193"/>
      <c r="D380" s="193"/>
      <c r="E380" s="193"/>
      <c r="F380" s="193"/>
      <c r="G380" s="193"/>
      <c r="H380" s="193"/>
    </row>
    <row r="381" spans="1:8" ht="15.6">
      <c r="A381" s="193"/>
      <c r="B381" s="193"/>
      <c r="C381" s="193"/>
      <c r="D381" s="193"/>
      <c r="E381" s="193"/>
      <c r="F381" s="193"/>
      <c r="G381" s="193"/>
      <c r="H381" s="193"/>
    </row>
    <row r="382" spans="1:8" ht="15.6">
      <c r="A382" s="193"/>
      <c r="B382" s="193"/>
      <c r="C382" s="193"/>
      <c r="D382" s="193"/>
      <c r="E382" s="193"/>
      <c r="F382" s="193"/>
      <c r="G382" s="193"/>
      <c r="H382" s="193"/>
    </row>
    <row r="383" spans="1:8" ht="15.6">
      <c r="A383" s="193"/>
      <c r="B383" s="193"/>
      <c r="C383" s="193"/>
      <c r="D383" s="193"/>
      <c r="E383" s="193"/>
      <c r="F383" s="193"/>
      <c r="G383" s="193"/>
      <c r="H383" s="193"/>
    </row>
    <row r="384" spans="1:8" ht="15.6">
      <c r="A384" s="193"/>
      <c r="B384" s="193"/>
      <c r="C384" s="193"/>
      <c r="D384" s="193"/>
      <c r="E384" s="193"/>
      <c r="F384" s="193"/>
      <c r="G384" s="193"/>
      <c r="H384" s="193"/>
    </row>
    <row r="385" spans="1:8" ht="15.6">
      <c r="A385" s="193"/>
      <c r="B385" s="193"/>
      <c r="C385" s="193"/>
      <c r="D385" s="193"/>
      <c r="E385" s="193"/>
      <c r="F385" s="193"/>
      <c r="G385" s="193"/>
      <c r="H385" s="193"/>
    </row>
    <row r="386" spans="1:8" ht="15.6">
      <c r="A386" s="193"/>
      <c r="B386" s="193"/>
      <c r="C386" s="193"/>
      <c r="D386" s="193"/>
      <c r="E386" s="193"/>
      <c r="F386" s="193"/>
      <c r="G386" s="193"/>
      <c r="H386" s="193"/>
    </row>
    <row r="387" spans="1:8" ht="15.6">
      <c r="A387" s="193"/>
      <c r="B387" s="193"/>
      <c r="C387" s="193"/>
      <c r="D387" s="193"/>
      <c r="E387" s="193"/>
      <c r="F387" s="193"/>
      <c r="G387" s="193"/>
      <c r="H387" s="193"/>
    </row>
    <row r="388" spans="1:8" ht="15.6">
      <c r="A388" s="193"/>
      <c r="B388" s="193"/>
      <c r="C388" s="193"/>
      <c r="D388" s="193"/>
      <c r="E388" s="193"/>
      <c r="F388" s="193"/>
      <c r="G388" s="193"/>
      <c r="H388" s="193"/>
    </row>
    <row r="389" spans="1:8" ht="15.6">
      <c r="A389" s="193"/>
      <c r="B389" s="193"/>
      <c r="C389" s="193"/>
      <c r="D389" s="193"/>
      <c r="E389" s="193"/>
      <c r="F389" s="193"/>
      <c r="G389" s="193"/>
      <c r="H389" s="193"/>
    </row>
    <row r="390" spans="1:8" ht="15.6">
      <c r="A390" s="193"/>
      <c r="B390" s="193"/>
      <c r="C390" s="193"/>
      <c r="D390" s="193"/>
      <c r="E390" s="193"/>
      <c r="F390" s="193"/>
      <c r="G390" s="193"/>
      <c r="H390" s="193"/>
    </row>
    <row r="391" spans="1:8" ht="15.6">
      <c r="A391" s="193"/>
      <c r="B391" s="193"/>
      <c r="C391" s="193"/>
      <c r="D391" s="193"/>
      <c r="E391" s="193"/>
      <c r="F391" s="193"/>
      <c r="G391" s="193"/>
      <c r="H391" s="193"/>
    </row>
    <row r="392" spans="1:8" ht="15.6">
      <c r="A392" s="193"/>
      <c r="B392" s="193"/>
      <c r="C392" s="193"/>
      <c r="D392" s="193"/>
      <c r="E392" s="193"/>
      <c r="F392" s="193"/>
      <c r="G392" s="193"/>
      <c r="H392" s="193"/>
    </row>
    <row r="393" spans="1:8" ht="15.6">
      <c r="A393" s="193"/>
      <c r="B393" s="193"/>
      <c r="C393" s="193"/>
      <c r="D393" s="193"/>
      <c r="E393" s="193"/>
      <c r="F393" s="193"/>
      <c r="G393" s="193"/>
      <c r="H393" s="193"/>
    </row>
    <row r="394" spans="1:8" ht="15.6">
      <c r="A394" s="193"/>
      <c r="B394" s="193"/>
      <c r="C394" s="193"/>
      <c r="D394" s="193"/>
      <c r="E394" s="193"/>
      <c r="F394" s="193"/>
      <c r="G394" s="193"/>
      <c r="H394" s="193"/>
    </row>
    <row r="395" spans="1:8" ht="15.6">
      <c r="A395" s="193"/>
      <c r="B395" s="193"/>
      <c r="C395" s="193"/>
      <c r="D395" s="193"/>
      <c r="E395" s="193"/>
      <c r="F395" s="193"/>
      <c r="G395" s="193"/>
      <c r="H395" s="193"/>
    </row>
    <row r="396" spans="1:8" ht="15.6">
      <c r="A396" s="193"/>
      <c r="B396" s="193"/>
      <c r="C396" s="193"/>
      <c r="D396" s="193"/>
      <c r="E396" s="193"/>
      <c r="F396" s="193"/>
      <c r="G396" s="193"/>
      <c r="H396" s="193"/>
    </row>
    <row r="397" spans="1:8" ht="15.6">
      <c r="A397" s="193"/>
      <c r="B397" s="193"/>
      <c r="C397" s="193"/>
      <c r="D397" s="193"/>
      <c r="E397" s="193"/>
      <c r="F397" s="193"/>
      <c r="G397" s="193"/>
      <c r="H397" s="193"/>
    </row>
    <row r="398" spans="1:8" ht="15.6">
      <c r="A398" s="193"/>
      <c r="B398" s="193"/>
      <c r="C398" s="193"/>
      <c r="D398" s="193"/>
      <c r="E398" s="193"/>
      <c r="F398" s="193"/>
      <c r="G398" s="193"/>
      <c r="H398" s="193"/>
    </row>
    <row r="399" spans="1:8" ht="15.6">
      <c r="A399" s="193"/>
      <c r="B399" s="193"/>
      <c r="C399" s="193"/>
      <c r="D399" s="193"/>
      <c r="E399" s="193"/>
      <c r="F399" s="193"/>
      <c r="G399" s="193"/>
      <c r="H399" s="193"/>
    </row>
    <row r="400" spans="1:8" ht="15.6">
      <c r="A400" s="193"/>
      <c r="B400" s="193"/>
      <c r="C400" s="193"/>
      <c r="D400" s="193"/>
      <c r="E400" s="193"/>
      <c r="F400" s="193"/>
      <c r="G400" s="193"/>
      <c r="H400" s="193"/>
    </row>
    <row r="401" spans="1:8" ht="15.6">
      <c r="A401" s="193"/>
      <c r="B401" s="193"/>
      <c r="C401" s="193"/>
      <c r="D401" s="193"/>
      <c r="E401" s="193"/>
      <c r="F401" s="193"/>
      <c r="G401" s="193"/>
      <c r="H401" s="193"/>
    </row>
    <row r="402" spans="1:8" ht="15.6">
      <c r="A402" s="193"/>
      <c r="B402" s="193"/>
      <c r="C402" s="193"/>
      <c r="D402" s="193"/>
      <c r="E402" s="193"/>
      <c r="F402" s="193"/>
      <c r="G402" s="193"/>
      <c r="H402" s="193"/>
    </row>
    <row r="403" spans="1:8" ht="15.6">
      <c r="A403" s="193"/>
      <c r="B403" s="193"/>
      <c r="C403" s="193"/>
      <c r="D403" s="193"/>
      <c r="E403" s="193"/>
      <c r="F403" s="193"/>
      <c r="G403" s="193"/>
      <c r="H403" s="193"/>
    </row>
    <row r="404" spans="1:8" ht="15.6">
      <c r="A404" s="193"/>
      <c r="B404" s="193"/>
      <c r="C404" s="193"/>
      <c r="D404" s="193"/>
      <c r="E404" s="193"/>
      <c r="F404" s="193"/>
      <c r="G404" s="193"/>
      <c r="H404" s="193"/>
    </row>
    <row r="405" spans="1:8" ht="15.6">
      <c r="A405" s="193"/>
      <c r="B405" s="193"/>
      <c r="C405" s="193"/>
      <c r="D405" s="193"/>
      <c r="E405" s="193"/>
      <c r="F405" s="193"/>
      <c r="G405" s="193"/>
      <c r="H405" s="193"/>
    </row>
    <row r="406" spans="1:8" ht="15.6">
      <c r="A406" s="193"/>
      <c r="B406" s="193"/>
      <c r="C406" s="193"/>
      <c r="D406" s="193"/>
      <c r="E406" s="193"/>
      <c r="F406" s="193"/>
      <c r="G406" s="193"/>
      <c r="H406" s="193"/>
    </row>
    <row r="407" spans="1:8" ht="15.6">
      <c r="A407" s="193"/>
      <c r="B407" s="193"/>
      <c r="C407" s="193"/>
      <c r="D407" s="193"/>
      <c r="E407" s="193"/>
      <c r="F407" s="193"/>
      <c r="G407" s="193"/>
      <c r="H407" s="193"/>
    </row>
    <row r="408" spans="1:8" ht="15.6">
      <c r="A408" s="193"/>
      <c r="B408" s="193"/>
      <c r="C408" s="193"/>
      <c r="D408" s="193"/>
      <c r="E408" s="193"/>
      <c r="F408" s="193"/>
      <c r="G408" s="193"/>
      <c r="H408" s="193"/>
    </row>
    <row r="409" spans="1:8" ht="15.6">
      <c r="A409" s="193"/>
      <c r="B409" s="193"/>
      <c r="C409" s="193"/>
      <c r="D409" s="193"/>
      <c r="E409" s="193"/>
      <c r="F409" s="193"/>
      <c r="G409" s="193"/>
      <c r="H409" s="193"/>
    </row>
    <row r="410" spans="1:8" ht="15.6">
      <c r="A410" s="193"/>
      <c r="B410" s="193"/>
      <c r="C410" s="193"/>
      <c r="D410" s="193"/>
      <c r="E410" s="193"/>
      <c r="F410" s="193"/>
      <c r="G410" s="193"/>
      <c r="H410" s="193"/>
    </row>
    <row r="411" spans="1:8" ht="15.6">
      <c r="A411" s="193"/>
      <c r="B411" s="193"/>
      <c r="C411" s="193"/>
      <c r="D411" s="193"/>
      <c r="E411" s="193"/>
      <c r="F411" s="193"/>
      <c r="G411" s="193"/>
      <c r="H411" s="193"/>
    </row>
    <row r="412" spans="1:8" ht="15.6">
      <c r="A412" s="193"/>
      <c r="B412" s="193"/>
      <c r="C412" s="193"/>
      <c r="D412" s="193"/>
      <c r="E412" s="193"/>
      <c r="F412" s="193"/>
      <c r="G412" s="193"/>
      <c r="H412" s="193"/>
    </row>
    <row r="413" spans="1:8" ht="15.6">
      <c r="A413" s="193"/>
      <c r="B413" s="193"/>
      <c r="C413" s="193"/>
      <c r="D413" s="193"/>
      <c r="E413" s="193"/>
      <c r="F413" s="193"/>
      <c r="G413" s="193"/>
      <c r="H413" s="193"/>
    </row>
    <row r="414" spans="1:8" ht="15.6">
      <c r="A414" s="193"/>
      <c r="B414" s="193"/>
      <c r="C414" s="193"/>
      <c r="D414" s="193"/>
      <c r="E414" s="193"/>
      <c r="F414" s="193"/>
      <c r="G414" s="193"/>
      <c r="H414" s="193"/>
    </row>
    <row r="415" spans="1:8" ht="15.6">
      <c r="A415" s="193"/>
      <c r="B415" s="193"/>
      <c r="C415" s="193"/>
      <c r="D415" s="193"/>
      <c r="E415" s="193"/>
      <c r="F415" s="193"/>
      <c r="G415" s="193"/>
      <c r="H415" s="193"/>
    </row>
    <row r="416" spans="1:8" ht="15.6">
      <c r="A416" s="193"/>
      <c r="B416" s="193"/>
      <c r="C416" s="193"/>
      <c r="D416" s="193"/>
      <c r="E416" s="193"/>
      <c r="F416" s="193"/>
      <c r="G416" s="193"/>
      <c r="H416" s="193"/>
    </row>
    <row r="417" spans="1:8" ht="15.6">
      <c r="A417" s="193"/>
      <c r="B417" s="193"/>
      <c r="C417" s="193"/>
      <c r="D417" s="193"/>
      <c r="E417" s="193"/>
      <c r="F417" s="193"/>
      <c r="G417" s="193"/>
      <c r="H417" s="193"/>
    </row>
    <row r="418" spans="1:8" ht="15.6">
      <c r="A418" s="193"/>
      <c r="B418" s="193"/>
      <c r="C418" s="193"/>
      <c r="D418" s="193"/>
      <c r="E418" s="193"/>
      <c r="F418" s="193"/>
      <c r="G418" s="193"/>
      <c r="H418" s="193"/>
    </row>
    <row r="419" spans="1:8" ht="15.6">
      <c r="A419" s="193"/>
      <c r="B419" s="193"/>
      <c r="C419" s="193"/>
      <c r="D419" s="193"/>
      <c r="E419" s="193"/>
      <c r="F419" s="193"/>
      <c r="G419" s="193"/>
      <c r="H419" s="193"/>
    </row>
    <row r="420" spans="1:8" ht="15.6">
      <c r="A420" s="193"/>
      <c r="B420" s="193"/>
      <c r="C420" s="193"/>
      <c r="D420" s="193"/>
      <c r="E420" s="193"/>
      <c r="F420" s="193"/>
      <c r="G420" s="193"/>
      <c r="H420" s="193"/>
    </row>
    <row r="421" spans="1:8" ht="15.6">
      <c r="A421" s="193"/>
      <c r="B421" s="193"/>
      <c r="C421" s="193"/>
      <c r="D421" s="193"/>
      <c r="E421" s="193"/>
      <c r="F421" s="193"/>
      <c r="G421" s="193"/>
      <c r="H421" s="193"/>
    </row>
    <row r="422" spans="1:8" ht="15.6">
      <c r="A422" s="193"/>
      <c r="B422" s="193"/>
      <c r="C422" s="193"/>
      <c r="D422" s="193"/>
      <c r="E422" s="193"/>
      <c r="F422" s="193"/>
      <c r="G422" s="193"/>
      <c r="H422" s="193"/>
    </row>
    <row r="423" spans="1:8" ht="15.6">
      <c r="A423" s="193"/>
      <c r="B423" s="193"/>
      <c r="C423" s="193"/>
      <c r="D423" s="193"/>
      <c r="E423" s="193"/>
      <c r="F423" s="193"/>
      <c r="G423" s="193"/>
      <c r="H423" s="193"/>
    </row>
    <row r="424" spans="1:8" ht="15.6">
      <c r="A424" s="193"/>
      <c r="B424" s="193"/>
      <c r="C424" s="193"/>
      <c r="D424" s="193"/>
      <c r="E424" s="193"/>
      <c r="F424" s="193"/>
      <c r="G424" s="193"/>
      <c r="H424" s="193"/>
    </row>
    <row r="425" spans="1:8" ht="15.6">
      <c r="A425" s="193"/>
      <c r="B425" s="193"/>
      <c r="C425" s="193"/>
      <c r="D425" s="193"/>
      <c r="E425" s="193"/>
      <c r="F425" s="193"/>
      <c r="G425" s="193"/>
      <c r="H425" s="193"/>
    </row>
    <row r="426" spans="1:8" ht="15.6">
      <c r="A426" s="193"/>
      <c r="B426" s="193"/>
      <c r="C426" s="193"/>
      <c r="D426" s="193"/>
      <c r="E426" s="193"/>
      <c r="F426" s="193"/>
      <c r="G426" s="193"/>
      <c r="H426" s="193"/>
    </row>
    <row r="427" spans="1:8" ht="15.6">
      <c r="A427" s="193"/>
      <c r="B427" s="193"/>
      <c r="C427" s="193"/>
      <c r="D427" s="193"/>
      <c r="E427" s="193"/>
      <c r="F427" s="193"/>
      <c r="G427" s="193"/>
      <c r="H427" s="193"/>
    </row>
    <row r="428" spans="1:8" ht="15.6">
      <c r="A428" s="193"/>
      <c r="B428" s="193"/>
      <c r="C428" s="193"/>
      <c r="D428" s="193"/>
      <c r="E428" s="193"/>
      <c r="F428" s="193"/>
      <c r="G428" s="193"/>
      <c r="H428" s="193"/>
    </row>
    <row r="429" spans="1:8" ht="15.6">
      <c r="A429" s="193"/>
      <c r="B429" s="193"/>
      <c r="C429" s="193"/>
      <c r="D429" s="193"/>
      <c r="E429" s="193"/>
      <c r="F429" s="193"/>
      <c r="G429" s="193"/>
      <c r="H429" s="193"/>
    </row>
    <row r="430" spans="1:8" ht="15.6">
      <c r="A430" s="193"/>
      <c r="B430" s="193"/>
      <c r="C430" s="193"/>
      <c r="D430" s="193"/>
      <c r="E430" s="193"/>
      <c r="F430" s="193"/>
      <c r="G430" s="193"/>
      <c r="H430" s="193"/>
    </row>
    <row r="431" spans="1:8" ht="15.6">
      <c r="A431" s="193"/>
      <c r="B431" s="193"/>
      <c r="C431" s="193"/>
      <c r="D431" s="193"/>
      <c r="E431" s="193"/>
      <c r="F431" s="193"/>
      <c r="G431" s="193"/>
      <c r="H431" s="193"/>
    </row>
    <row r="432" spans="1:8" ht="15.6">
      <c r="A432" s="193"/>
      <c r="B432" s="193"/>
      <c r="C432" s="193"/>
      <c r="D432" s="193"/>
      <c r="E432" s="193"/>
      <c r="F432" s="193"/>
      <c r="G432" s="193"/>
      <c r="H432" s="193"/>
    </row>
    <row r="433" spans="1:8" ht="15.6">
      <c r="A433" s="193"/>
      <c r="B433" s="193"/>
      <c r="C433" s="193"/>
      <c r="D433" s="193"/>
      <c r="E433" s="193"/>
      <c r="F433" s="193"/>
      <c r="G433" s="193"/>
      <c r="H433" s="193"/>
    </row>
    <row r="434" spans="1:8" ht="15.6">
      <c r="A434" s="193"/>
      <c r="B434" s="193"/>
      <c r="C434" s="193"/>
      <c r="D434" s="193"/>
      <c r="E434" s="193"/>
      <c r="F434" s="193"/>
      <c r="G434" s="193"/>
      <c r="H434" s="193"/>
    </row>
    <row r="435" spans="1:8" ht="15.6">
      <c r="A435" s="193"/>
      <c r="B435" s="193"/>
      <c r="C435" s="193"/>
      <c r="D435" s="193"/>
      <c r="E435" s="193"/>
      <c r="F435" s="193"/>
      <c r="G435" s="193"/>
      <c r="H435" s="193"/>
    </row>
    <row r="436" spans="1:8" ht="15.6">
      <c r="A436" s="193"/>
      <c r="B436" s="193"/>
      <c r="C436" s="193"/>
      <c r="D436" s="193"/>
      <c r="E436" s="193"/>
      <c r="F436" s="193"/>
      <c r="G436" s="193"/>
      <c r="H436" s="193"/>
    </row>
    <row r="437" spans="1:8" ht="15.6">
      <c r="A437" s="193"/>
      <c r="B437" s="193"/>
      <c r="C437" s="193"/>
      <c r="D437" s="193"/>
      <c r="E437" s="193"/>
      <c r="F437" s="193"/>
      <c r="G437" s="193"/>
      <c r="H437" s="193"/>
    </row>
    <row r="438" spans="1:8" ht="15.6">
      <c r="A438" s="193"/>
      <c r="B438" s="193"/>
      <c r="C438" s="193"/>
      <c r="D438" s="193"/>
      <c r="E438" s="193"/>
      <c r="F438" s="193"/>
      <c r="G438" s="193"/>
      <c r="H438" s="193"/>
    </row>
    <row r="439" spans="1:8" ht="15.6">
      <c r="A439" s="193"/>
      <c r="B439" s="193"/>
      <c r="C439" s="193"/>
      <c r="D439" s="193"/>
      <c r="E439" s="193"/>
      <c r="F439" s="193"/>
      <c r="G439" s="193"/>
      <c r="H439" s="193"/>
    </row>
    <row r="440" spans="1:8" ht="15.6">
      <c r="A440" s="193"/>
      <c r="B440" s="193"/>
      <c r="C440" s="193"/>
      <c r="D440" s="193"/>
      <c r="E440" s="193"/>
      <c r="F440" s="193"/>
      <c r="G440" s="193"/>
      <c r="H440" s="193"/>
    </row>
    <row r="441" spans="1:8" ht="15.6">
      <c r="A441" s="193"/>
      <c r="B441" s="193"/>
      <c r="C441" s="193"/>
      <c r="D441" s="193"/>
      <c r="E441" s="193"/>
      <c r="F441" s="193"/>
      <c r="G441" s="193"/>
      <c r="H441" s="193"/>
    </row>
    <row r="442" spans="1:8" ht="15.6">
      <c r="A442" s="193"/>
      <c r="B442" s="193"/>
      <c r="C442" s="193"/>
      <c r="D442" s="193"/>
      <c r="E442" s="193"/>
      <c r="F442" s="193"/>
      <c r="G442" s="193"/>
      <c r="H442" s="193"/>
    </row>
    <row r="443" spans="1:8" ht="15.6">
      <c r="A443" s="193"/>
      <c r="B443" s="193"/>
      <c r="C443" s="193"/>
      <c r="D443" s="193"/>
      <c r="E443" s="193"/>
      <c r="F443" s="193"/>
      <c r="G443" s="193"/>
      <c r="H443" s="193"/>
    </row>
    <row r="444" spans="1:8" ht="15.6">
      <c r="A444" s="193"/>
      <c r="B444" s="193"/>
      <c r="C444" s="193"/>
      <c r="D444" s="193"/>
      <c r="E444" s="193"/>
      <c r="F444" s="193"/>
      <c r="G444" s="193"/>
      <c r="H444" s="193"/>
    </row>
    <row r="445" spans="1:8" ht="15.6">
      <c r="A445" s="193"/>
      <c r="B445" s="193"/>
      <c r="C445" s="193"/>
      <c r="D445" s="193"/>
      <c r="E445" s="193"/>
      <c r="F445" s="193"/>
      <c r="G445" s="193"/>
      <c r="H445" s="193"/>
    </row>
    <row r="446" spans="1:8" ht="15.6">
      <c r="A446" s="193"/>
      <c r="B446" s="193"/>
      <c r="C446" s="193"/>
      <c r="D446" s="193"/>
      <c r="E446" s="193"/>
      <c r="F446" s="193"/>
      <c r="G446" s="193"/>
      <c r="H446" s="193"/>
    </row>
    <row r="447" spans="1:8" ht="15.6">
      <c r="A447" s="193"/>
      <c r="B447" s="193"/>
      <c r="C447" s="193"/>
      <c r="D447" s="193"/>
      <c r="E447" s="193"/>
      <c r="F447" s="193"/>
      <c r="G447" s="193"/>
      <c r="H447" s="193"/>
    </row>
    <row r="448" spans="1:8" ht="15.6">
      <c r="A448" s="193"/>
      <c r="B448" s="193"/>
      <c r="C448" s="193"/>
      <c r="D448" s="193"/>
      <c r="E448" s="193"/>
      <c r="F448" s="193"/>
      <c r="G448" s="193"/>
      <c r="H448" s="193"/>
    </row>
    <row r="449" spans="1:8" ht="15.6">
      <c r="A449" s="193"/>
      <c r="B449" s="193"/>
      <c r="C449" s="193"/>
      <c r="D449" s="193"/>
      <c r="E449" s="193"/>
      <c r="F449" s="193"/>
      <c r="G449" s="193"/>
      <c r="H449" s="193"/>
    </row>
    <row r="450" spans="1:8" ht="15.6">
      <c r="A450" s="193"/>
      <c r="B450" s="193"/>
      <c r="C450" s="193"/>
      <c r="D450" s="193"/>
      <c r="E450" s="193"/>
      <c r="F450" s="193"/>
      <c r="G450" s="193"/>
      <c r="H450" s="193"/>
    </row>
    <row r="451" spans="1:8" ht="15.6">
      <c r="A451" s="193"/>
      <c r="B451" s="193"/>
      <c r="C451" s="193"/>
      <c r="D451" s="193"/>
      <c r="E451" s="193"/>
      <c r="F451" s="193"/>
      <c r="G451" s="193"/>
      <c r="H451" s="193"/>
    </row>
    <row r="452" spans="1:8" ht="15.6">
      <c r="A452" s="193"/>
      <c r="B452" s="193"/>
      <c r="C452" s="193"/>
      <c r="D452" s="193"/>
      <c r="E452" s="193"/>
      <c r="F452" s="193"/>
      <c r="G452" s="193"/>
      <c r="H452" s="193"/>
    </row>
    <row r="453" spans="1:8" ht="15.6">
      <c r="A453" s="193"/>
      <c r="B453" s="193"/>
      <c r="C453" s="193"/>
      <c r="D453" s="193"/>
      <c r="E453" s="193"/>
      <c r="F453" s="193"/>
      <c r="G453" s="193"/>
      <c r="H453" s="193"/>
    </row>
    <row r="454" spans="1:8" ht="15.6">
      <c r="A454" s="193"/>
      <c r="B454" s="193"/>
      <c r="C454" s="193"/>
      <c r="D454" s="193"/>
      <c r="E454" s="193"/>
      <c r="F454" s="193"/>
      <c r="G454" s="193"/>
      <c r="H454" s="193"/>
    </row>
    <row r="455" spans="1:8" ht="15.6">
      <c r="A455" s="193"/>
      <c r="B455" s="193"/>
      <c r="C455" s="193"/>
      <c r="D455" s="193"/>
      <c r="E455" s="193"/>
      <c r="F455" s="193"/>
      <c r="G455" s="193"/>
      <c r="H455" s="193"/>
    </row>
    <row r="456" spans="1:8" ht="15.6">
      <c r="A456" s="193"/>
      <c r="B456" s="193"/>
      <c r="C456" s="193"/>
      <c r="D456" s="193"/>
      <c r="E456" s="193"/>
      <c r="F456" s="193"/>
      <c r="G456" s="193"/>
      <c r="H456" s="193"/>
    </row>
    <row r="457" spans="1:8" ht="15.6">
      <c r="A457" s="193"/>
      <c r="B457" s="193"/>
      <c r="C457" s="193"/>
      <c r="D457" s="193"/>
      <c r="E457" s="193"/>
      <c r="F457" s="193"/>
      <c r="G457" s="193"/>
      <c r="H457" s="193"/>
    </row>
    <row r="458" spans="1:8" ht="15.6">
      <c r="A458" s="193"/>
      <c r="B458" s="193"/>
      <c r="C458" s="193"/>
      <c r="D458" s="193"/>
      <c r="E458" s="193"/>
      <c r="F458" s="193"/>
      <c r="G458" s="193"/>
      <c r="H458" s="193"/>
    </row>
    <row r="459" spans="1:8" ht="15.6">
      <c r="A459" s="193"/>
      <c r="B459" s="193"/>
      <c r="C459" s="193"/>
      <c r="D459" s="193"/>
      <c r="E459" s="193"/>
      <c r="F459" s="193"/>
      <c r="G459" s="193"/>
      <c r="H459" s="193"/>
    </row>
    <row r="460" spans="1:8" ht="15.6">
      <c r="A460" s="193"/>
      <c r="B460" s="193"/>
      <c r="C460" s="193"/>
      <c r="D460" s="193"/>
      <c r="E460" s="193"/>
      <c r="F460" s="193"/>
      <c r="G460" s="193"/>
      <c r="H460" s="193"/>
    </row>
    <row r="461" spans="1:8" ht="15.6">
      <c r="A461" s="193"/>
      <c r="B461" s="193"/>
      <c r="C461" s="193"/>
      <c r="D461" s="193"/>
      <c r="E461" s="193"/>
      <c r="F461" s="193"/>
      <c r="G461" s="193"/>
      <c r="H461" s="193"/>
    </row>
    <row r="462" spans="1:8" ht="15.6">
      <c r="A462" s="193"/>
      <c r="B462" s="193"/>
      <c r="C462" s="193"/>
      <c r="D462" s="193"/>
      <c r="E462" s="193"/>
      <c r="F462" s="193"/>
      <c r="G462" s="193"/>
      <c r="H462" s="193"/>
    </row>
    <row r="463" spans="1:8" ht="15.6">
      <c r="A463" s="193"/>
      <c r="B463" s="193"/>
      <c r="C463" s="193"/>
      <c r="D463" s="193"/>
      <c r="E463" s="193"/>
      <c r="F463" s="193"/>
      <c r="G463" s="193"/>
      <c r="H463" s="193"/>
    </row>
    <row r="464" spans="1:8" ht="15.6">
      <c r="A464" s="193"/>
      <c r="B464" s="193"/>
      <c r="C464" s="193"/>
      <c r="D464" s="193"/>
      <c r="E464" s="193"/>
      <c r="F464" s="193"/>
      <c r="G464" s="193"/>
      <c r="H464" s="193"/>
    </row>
    <row r="465" spans="1:8" ht="15.6">
      <c r="A465" s="193"/>
      <c r="B465" s="193"/>
      <c r="C465" s="193"/>
      <c r="D465" s="193"/>
      <c r="E465" s="193"/>
      <c r="F465" s="193"/>
      <c r="G465" s="193"/>
      <c r="H465" s="193"/>
    </row>
    <row r="466" spans="1:8" ht="15.6">
      <c r="A466" s="193"/>
      <c r="B466" s="193"/>
      <c r="C466" s="193"/>
      <c r="D466" s="193"/>
      <c r="E466" s="193"/>
      <c r="F466" s="193"/>
      <c r="G466" s="193"/>
      <c r="H466" s="193"/>
    </row>
    <row r="467" spans="1:8" ht="15.6">
      <c r="A467" s="193"/>
      <c r="B467" s="193"/>
      <c r="C467" s="193"/>
      <c r="D467" s="193"/>
      <c r="E467" s="193"/>
      <c r="F467" s="193"/>
      <c r="G467" s="193"/>
      <c r="H467" s="193"/>
    </row>
    <row r="468" spans="1:8" ht="15.6">
      <c r="A468" s="193"/>
      <c r="B468" s="193"/>
      <c r="C468" s="193"/>
      <c r="D468" s="193"/>
      <c r="E468" s="193"/>
      <c r="F468" s="193"/>
      <c r="G468" s="193"/>
      <c r="H468" s="193"/>
    </row>
    <row r="469" spans="1:8" ht="15.6">
      <c r="A469" s="193"/>
      <c r="B469" s="193"/>
      <c r="C469" s="193"/>
      <c r="D469" s="193"/>
      <c r="E469" s="193"/>
      <c r="F469" s="193"/>
      <c r="G469" s="193"/>
      <c r="H469" s="193"/>
    </row>
    <row r="470" spans="1:8" ht="15.6">
      <c r="A470" s="193"/>
      <c r="B470" s="193"/>
      <c r="C470" s="193"/>
      <c r="D470" s="193"/>
      <c r="E470" s="193"/>
      <c r="F470" s="193"/>
      <c r="G470" s="193"/>
      <c r="H470" s="193"/>
    </row>
    <row r="471" spans="1:8" ht="15.6">
      <c r="A471" s="193"/>
      <c r="B471" s="193"/>
      <c r="C471" s="193"/>
      <c r="D471" s="193"/>
      <c r="E471" s="193"/>
      <c r="F471" s="193"/>
      <c r="G471" s="193"/>
      <c r="H471" s="193"/>
    </row>
    <row r="472" spans="1:8" ht="15.6">
      <c r="A472" s="193"/>
      <c r="B472" s="193"/>
      <c r="C472" s="193"/>
      <c r="D472" s="193"/>
      <c r="E472" s="193"/>
      <c r="F472" s="193"/>
      <c r="G472" s="193"/>
      <c r="H472" s="193"/>
    </row>
    <row r="473" spans="1:8" ht="15.6">
      <c r="A473" s="193"/>
      <c r="B473" s="193"/>
      <c r="C473" s="193"/>
      <c r="D473" s="193"/>
      <c r="E473" s="193"/>
      <c r="F473" s="193"/>
      <c r="G473" s="193"/>
      <c r="H473" s="193"/>
    </row>
    <row r="474" spans="1:8" ht="15.6">
      <c r="A474" s="193"/>
      <c r="B474" s="193"/>
      <c r="C474" s="193"/>
      <c r="D474" s="193"/>
      <c r="E474" s="193"/>
      <c r="F474" s="193"/>
      <c r="G474" s="193"/>
      <c r="H474" s="193"/>
    </row>
    <row r="475" spans="1:8" ht="15.6">
      <c r="A475" s="193"/>
      <c r="B475" s="193"/>
      <c r="C475" s="193"/>
      <c r="D475" s="193"/>
      <c r="E475" s="193"/>
      <c r="F475" s="193"/>
      <c r="G475" s="193"/>
      <c r="H475" s="193"/>
    </row>
    <row r="476" spans="1:8" ht="15.6">
      <c r="A476" s="193"/>
      <c r="B476" s="193"/>
      <c r="C476" s="193"/>
      <c r="D476" s="193"/>
      <c r="E476" s="193"/>
      <c r="F476" s="193"/>
      <c r="G476" s="193"/>
      <c r="H476" s="193"/>
    </row>
    <row r="477" spans="1:8" ht="15.6">
      <c r="A477" s="193"/>
      <c r="B477" s="193"/>
      <c r="C477" s="193"/>
      <c r="D477" s="193"/>
      <c r="E477" s="193"/>
      <c r="F477" s="193"/>
      <c r="G477" s="193"/>
      <c r="H477" s="193"/>
    </row>
    <row r="478" spans="1:8" ht="15.6">
      <c r="A478" s="193"/>
      <c r="B478" s="193"/>
      <c r="C478" s="193"/>
      <c r="D478" s="193"/>
      <c r="E478" s="193"/>
      <c r="F478" s="193"/>
      <c r="G478" s="193"/>
      <c r="H478" s="193"/>
    </row>
    <row r="479" spans="1:8" ht="15.6">
      <c r="A479" s="193"/>
      <c r="B479" s="193"/>
      <c r="C479" s="193"/>
      <c r="D479" s="193"/>
      <c r="E479" s="193"/>
      <c r="F479" s="193"/>
      <c r="G479" s="193"/>
      <c r="H479" s="193"/>
    </row>
    <row r="480" spans="1:8" ht="15.6">
      <c r="A480" s="193"/>
      <c r="B480" s="193"/>
      <c r="C480" s="193"/>
      <c r="D480" s="193"/>
      <c r="E480" s="193"/>
      <c r="F480" s="193"/>
      <c r="G480" s="193"/>
      <c r="H480" s="193"/>
    </row>
    <row r="481" spans="1:8" ht="15.6">
      <c r="A481" s="193"/>
      <c r="B481" s="193"/>
      <c r="C481" s="193"/>
      <c r="D481" s="193"/>
      <c r="E481" s="193"/>
      <c r="F481" s="193"/>
      <c r="G481" s="193"/>
      <c r="H481" s="193"/>
    </row>
    <row r="482" spans="1:8" ht="15.6">
      <c r="A482" s="193"/>
      <c r="B482" s="193"/>
      <c r="C482" s="193"/>
      <c r="D482" s="193"/>
      <c r="E482" s="193"/>
      <c r="F482" s="193"/>
      <c r="G482" s="193"/>
      <c r="H482" s="193"/>
    </row>
    <row r="483" spans="1:8" ht="15.6">
      <c r="A483" s="193"/>
      <c r="B483" s="193"/>
      <c r="C483" s="193"/>
      <c r="D483" s="193"/>
      <c r="E483" s="193"/>
      <c r="F483" s="193"/>
      <c r="G483" s="193"/>
      <c r="H483" s="193"/>
    </row>
    <row r="484" spans="1:8" ht="15.6">
      <c r="A484" s="193"/>
      <c r="B484" s="193"/>
      <c r="C484" s="193"/>
      <c r="D484" s="193"/>
      <c r="E484" s="193"/>
      <c r="F484" s="193"/>
      <c r="G484" s="193"/>
      <c r="H484" s="193"/>
    </row>
    <row r="485" spans="1:8" ht="15.6">
      <c r="A485" s="193"/>
      <c r="B485" s="193"/>
      <c r="C485" s="193"/>
      <c r="D485" s="193"/>
      <c r="E485" s="193"/>
      <c r="F485" s="193"/>
      <c r="G485" s="193"/>
      <c r="H485" s="193"/>
    </row>
    <row r="486" spans="1:8" ht="15.6">
      <c r="A486" s="193"/>
      <c r="B486" s="193"/>
      <c r="C486" s="193"/>
      <c r="D486" s="193"/>
      <c r="E486" s="193"/>
      <c r="F486" s="193"/>
      <c r="G486" s="193"/>
      <c r="H486" s="193"/>
    </row>
    <row r="487" spans="1:8" ht="15.6">
      <c r="A487" s="193"/>
      <c r="B487" s="193"/>
      <c r="C487" s="193"/>
      <c r="D487" s="193"/>
      <c r="E487" s="193"/>
      <c r="F487" s="193"/>
      <c r="G487" s="193"/>
      <c r="H487" s="193"/>
    </row>
    <row r="488" spans="1:8" ht="15.6">
      <c r="A488" s="193"/>
      <c r="B488" s="193"/>
      <c r="C488" s="193"/>
      <c r="D488" s="193"/>
      <c r="E488" s="193"/>
      <c r="F488" s="193"/>
      <c r="G488" s="193"/>
      <c r="H488" s="193"/>
    </row>
    <row r="489" spans="1:8" ht="15.6">
      <c r="A489" s="193"/>
      <c r="B489" s="193"/>
      <c r="C489" s="193"/>
      <c r="D489" s="193"/>
      <c r="E489" s="193"/>
      <c r="F489" s="193"/>
      <c r="G489" s="193"/>
      <c r="H489" s="193"/>
    </row>
    <row r="490" spans="1:8" ht="15.6">
      <c r="A490" s="193"/>
      <c r="B490" s="193"/>
      <c r="C490" s="193"/>
      <c r="D490" s="193"/>
      <c r="E490" s="193"/>
      <c r="F490" s="193"/>
      <c r="G490" s="193"/>
      <c r="H490" s="193"/>
    </row>
    <row r="491" spans="1:8" ht="15.6">
      <c r="A491" s="193"/>
      <c r="B491" s="193"/>
      <c r="C491" s="193"/>
      <c r="D491" s="193"/>
      <c r="E491" s="193"/>
      <c r="F491" s="193"/>
      <c r="G491" s="193"/>
      <c r="H491" s="193"/>
    </row>
    <row r="492" spans="1:8" ht="15.6">
      <c r="A492" s="193"/>
      <c r="B492" s="193"/>
      <c r="C492" s="193"/>
      <c r="D492" s="193"/>
      <c r="E492" s="193"/>
      <c r="F492" s="193"/>
      <c r="G492" s="193"/>
      <c r="H492" s="193"/>
    </row>
    <row r="493" spans="1:8" ht="15.6">
      <c r="A493" s="193"/>
      <c r="B493" s="193"/>
      <c r="C493" s="193"/>
      <c r="D493" s="193"/>
      <c r="E493" s="193"/>
      <c r="F493" s="193"/>
      <c r="G493" s="193"/>
      <c r="H493" s="193"/>
    </row>
    <row r="494" spans="1:8" ht="15.6">
      <c r="A494" s="193"/>
      <c r="B494" s="193"/>
      <c r="C494" s="193"/>
      <c r="D494" s="193"/>
      <c r="E494" s="193"/>
      <c r="F494" s="193"/>
      <c r="G494" s="193"/>
      <c r="H494" s="193"/>
    </row>
    <row r="495" spans="1:8" ht="15.6">
      <c r="A495" s="193"/>
      <c r="B495" s="193"/>
      <c r="C495" s="193"/>
      <c r="D495" s="193"/>
      <c r="E495" s="193"/>
      <c r="F495" s="193"/>
      <c r="G495" s="193"/>
      <c r="H495" s="193"/>
    </row>
    <row r="496" spans="1:8" ht="15.6">
      <c r="A496" s="193"/>
      <c r="B496" s="193"/>
      <c r="C496" s="193"/>
      <c r="D496" s="193"/>
      <c r="E496" s="193"/>
      <c r="F496" s="193"/>
      <c r="G496" s="193"/>
      <c r="H496" s="193"/>
    </row>
    <row r="497" spans="1:8" ht="15.6">
      <c r="A497" s="193"/>
      <c r="B497" s="193"/>
      <c r="C497" s="193"/>
      <c r="D497" s="193"/>
      <c r="E497" s="193"/>
      <c r="F497" s="193"/>
      <c r="G497" s="193"/>
      <c r="H497" s="193"/>
    </row>
    <row r="498" spans="1:8" ht="15.6">
      <c r="A498" s="193"/>
      <c r="B498" s="193"/>
      <c r="C498" s="193"/>
      <c r="D498" s="193"/>
      <c r="E498" s="193"/>
      <c r="F498" s="193"/>
      <c r="G498" s="193"/>
      <c r="H498" s="193"/>
    </row>
    <row r="499" spans="1:8" ht="15.6">
      <c r="A499" s="193"/>
      <c r="B499" s="193"/>
      <c r="C499" s="193"/>
      <c r="D499" s="193"/>
      <c r="E499" s="193"/>
      <c r="F499" s="193"/>
      <c r="G499" s="193"/>
      <c r="H499" s="193"/>
    </row>
    <row r="500" spans="1:8" ht="15.6">
      <c r="A500" s="193"/>
      <c r="B500" s="193"/>
      <c r="C500" s="193"/>
      <c r="D500" s="193"/>
      <c r="E500" s="193"/>
      <c r="F500" s="193"/>
      <c r="G500" s="193"/>
      <c r="H500" s="193"/>
    </row>
    <row r="501" spans="1:8" ht="15.6">
      <c r="A501" s="193"/>
      <c r="B501" s="193"/>
      <c r="C501" s="193"/>
      <c r="D501" s="193"/>
      <c r="E501" s="193"/>
      <c r="F501" s="193"/>
      <c r="G501" s="193"/>
      <c r="H501" s="193"/>
    </row>
    <row r="502" spans="1:8" ht="15.6">
      <c r="A502" s="193"/>
      <c r="B502" s="193"/>
      <c r="C502" s="193"/>
      <c r="D502" s="193"/>
      <c r="E502" s="193"/>
      <c r="F502" s="193"/>
      <c r="G502" s="193"/>
      <c r="H502" s="193"/>
    </row>
    <row r="503" spans="1:8" ht="15.6">
      <c r="A503" s="193"/>
      <c r="B503" s="193"/>
      <c r="C503" s="193"/>
      <c r="D503" s="193"/>
      <c r="E503" s="193"/>
      <c r="F503" s="193"/>
      <c r="G503" s="193"/>
      <c r="H503" s="193"/>
    </row>
    <row r="504" spans="1:8" ht="15.6">
      <c r="A504" s="193"/>
      <c r="B504" s="193"/>
      <c r="C504" s="193"/>
      <c r="D504" s="193"/>
      <c r="E504" s="193"/>
      <c r="F504" s="193"/>
      <c r="G504" s="193"/>
      <c r="H504" s="193"/>
    </row>
    <row r="505" spans="1:8" ht="15.6">
      <c r="A505" s="193"/>
      <c r="B505" s="193"/>
      <c r="C505" s="193"/>
      <c r="D505" s="193"/>
      <c r="E505" s="193"/>
      <c r="F505" s="193"/>
      <c r="G505" s="193"/>
      <c r="H505" s="193"/>
    </row>
    <row r="506" spans="1:8" ht="15.6">
      <c r="A506" s="193"/>
      <c r="B506" s="193"/>
      <c r="C506" s="193"/>
      <c r="D506" s="193"/>
      <c r="E506" s="193"/>
      <c r="F506" s="193"/>
      <c r="G506" s="193"/>
      <c r="H506" s="193"/>
    </row>
    <row r="507" spans="1:8" ht="15.6">
      <c r="A507" s="193"/>
      <c r="B507" s="193"/>
      <c r="C507" s="193"/>
      <c r="D507" s="193"/>
      <c r="E507" s="193"/>
      <c r="F507" s="193"/>
      <c r="G507" s="193"/>
      <c r="H507" s="193"/>
    </row>
    <row r="508" spans="1:8" ht="15.6">
      <c r="A508" s="193"/>
      <c r="B508" s="193"/>
      <c r="C508" s="193"/>
      <c r="D508" s="193"/>
      <c r="E508" s="193"/>
      <c r="F508" s="193"/>
      <c r="G508" s="193"/>
      <c r="H508" s="193"/>
    </row>
    <row r="509" spans="1:8" ht="15.6">
      <c r="A509" s="193"/>
      <c r="B509" s="193"/>
      <c r="C509" s="193"/>
      <c r="D509" s="193"/>
      <c r="E509" s="193"/>
      <c r="F509" s="193"/>
      <c r="G509" s="193"/>
      <c r="H509" s="193"/>
    </row>
    <row r="510" spans="1:8" ht="15.6">
      <c r="A510" s="193"/>
      <c r="B510" s="193"/>
      <c r="C510" s="193"/>
      <c r="D510" s="193"/>
      <c r="E510" s="193"/>
      <c r="F510" s="193"/>
      <c r="G510" s="193"/>
      <c r="H510" s="193"/>
    </row>
    <row r="511" spans="1:8" ht="15.6">
      <c r="A511" s="193"/>
      <c r="B511" s="193"/>
      <c r="C511" s="193"/>
      <c r="D511" s="193"/>
      <c r="E511" s="193"/>
      <c r="F511" s="193"/>
      <c r="G511" s="193"/>
      <c r="H511" s="193"/>
    </row>
    <row r="512" spans="1:8" ht="15.6">
      <c r="A512" s="193"/>
      <c r="B512" s="193"/>
      <c r="C512" s="193"/>
      <c r="D512" s="193"/>
      <c r="E512" s="193"/>
      <c r="F512" s="193"/>
      <c r="G512" s="193"/>
      <c r="H512" s="193"/>
    </row>
    <row r="513" spans="1:8" ht="15.6">
      <c r="A513" s="193"/>
      <c r="B513" s="193"/>
      <c r="C513" s="193"/>
      <c r="D513" s="193"/>
      <c r="E513" s="193"/>
      <c r="F513" s="193"/>
      <c r="G513" s="193"/>
      <c r="H513" s="193"/>
    </row>
    <row r="514" spans="1:8" ht="15.6">
      <c r="A514" s="193"/>
      <c r="B514" s="193"/>
      <c r="C514" s="193"/>
      <c r="D514" s="193"/>
      <c r="E514" s="193"/>
      <c r="F514" s="193"/>
      <c r="G514" s="193"/>
      <c r="H514" s="193"/>
    </row>
    <row r="515" spans="1:8" ht="15.6">
      <c r="A515" s="193"/>
      <c r="B515" s="193"/>
      <c r="C515" s="193"/>
      <c r="D515" s="193"/>
      <c r="E515" s="193"/>
      <c r="F515" s="193"/>
      <c r="G515" s="193"/>
      <c r="H515" s="193"/>
    </row>
    <row r="516" spans="1:8" ht="15.6">
      <c r="A516" s="193"/>
      <c r="B516" s="193"/>
      <c r="C516" s="193"/>
      <c r="D516" s="193"/>
      <c r="E516" s="193"/>
      <c r="F516" s="193"/>
      <c r="G516" s="193"/>
      <c r="H516" s="193"/>
    </row>
    <row r="517" spans="1:8" ht="15.6">
      <c r="A517" s="193"/>
      <c r="B517" s="193"/>
      <c r="C517" s="193"/>
      <c r="D517" s="193"/>
      <c r="E517" s="193"/>
      <c r="F517" s="193"/>
      <c r="G517" s="193"/>
      <c r="H517" s="193"/>
    </row>
    <row r="518" spans="1:8" ht="15.6">
      <c r="A518" s="193"/>
      <c r="B518" s="193"/>
      <c r="C518" s="193"/>
      <c r="D518" s="193"/>
      <c r="E518" s="193"/>
      <c r="F518" s="193"/>
      <c r="G518" s="193"/>
      <c r="H518" s="193"/>
    </row>
    <row r="519" spans="1:8" ht="15.6">
      <c r="A519" s="193"/>
      <c r="B519" s="193"/>
      <c r="C519" s="193"/>
      <c r="D519" s="193"/>
      <c r="E519" s="193"/>
      <c r="F519" s="193"/>
      <c r="G519" s="193"/>
      <c r="H519" s="193"/>
    </row>
    <row r="520" spans="1:8" ht="15.6">
      <c r="A520" s="193"/>
      <c r="B520" s="193"/>
      <c r="C520" s="193"/>
      <c r="D520" s="193"/>
      <c r="E520" s="193"/>
      <c r="F520" s="193"/>
      <c r="G520" s="193"/>
      <c r="H520" s="193"/>
    </row>
    <row r="521" spans="1:8" ht="15.6">
      <c r="A521" s="193"/>
      <c r="B521" s="193"/>
      <c r="C521" s="193"/>
      <c r="D521" s="193"/>
      <c r="E521" s="193"/>
      <c r="F521" s="193"/>
      <c r="G521" s="193"/>
      <c r="H521" s="193"/>
    </row>
    <row r="522" spans="1:8" ht="15.6">
      <c r="A522" s="193"/>
      <c r="B522" s="193"/>
      <c r="C522" s="193"/>
      <c r="D522" s="193"/>
      <c r="E522" s="193"/>
      <c r="F522" s="193"/>
      <c r="G522" s="193"/>
      <c r="H522" s="193"/>
    </row>
    <row r="523" spans="1:8" ht="15.6">
      <c r="A523" s="193"/>
      <c r="B523" s="193"/>
      <c r="C523" s="193"/>
      <c r="D523" s="193"/>
      <c r="E523" s="193"/>
      <c r="F523" s="193"/>
      <c r="G523" s="193"/>
      <c r="H523" s="193"/>
    </row>
    <row r="524" spans="1:8" ht="15.6">
      <c r="A524" s="193"/>
      <c r="B524" s="193"/>
      <c r="C524" s="193"/>
      <c r="D524" s="193"/>
      <c r="E524" s="193"/>
      <c r="F524" s="193"/>
      <c r="G524" s="193"/>
      <c r="H524" s="193"/>
    </row>
    <row r="525" spans="1:8" ht="15.6">
      <c r="A525" s="193"/>
      <c r="B525" s="193"/>
      <c r="C525" s="193"/>
      <c r="D525" s="193"/>
      <c r="E525" s="193"/>
      <c r="F525" s="193"/>
      <c r="G525" s="193"/>
      <c r="H525" s="193"/>
    </row>
    <row r="526" spans="1:8" ht="15.6">
      <c r="A526" s="193"/>
      <c r="B526" s="193"/>
      <c r="C526" s="193"/>
      <c r="D526" s="193"/>
      <c r="E526" s="193"/>
      <c r="F526" s="193"/>
      <c r="G526" s="193"/>
      <c r="H526" s="193"/>
    </row>
    <row r="527" spans="1:8" ht="15.6">
      <c r="A527" s="193"/>
      <c r="B527" s="193"/>
      <c r="C527" s="193"/>
      <c r="D527" s="193"/>
      <c r="E527" s="193"/>
      <c r="F527" s="193"/>
      <c r="G527" s="193"/>
      <c r="H527" s="193"/>
    </row>
    <row r="528" spans="1:8" ht="15.6">
      <c r="A528" s="193"/>
      <c r="B528" s="193"/>
      <c r="C528" s="193"/>
      <c r="D528" s="193"/>
      <c r="E528" s="193"/>
      <c r="F528" s="193"/>
      <c r="G528" s="193"/>
      <c r="H528" s="193"/>
    </row>
    <row r="529" spans="1:8" ht="15.6">
      <c r="A529" s="193"/>
      <c r="B529" s="193"/>
      <c r="C529" s="193"/>
      <c r="D529" s="193"/>
      <c r="E529" s="193"/>
      <c r="F529" s="193"/>
      <c r="G529" s="193"/>
      <c r="H529" s="193"/>
    </row>
    <row r="530" spans="1:8" ht="15.6">
      <c r="A530" s="193"/>
      <c r="B530" s="193"/>
      <c r="C530" s="193"/>
      <c r="D530" s="193"/>
      <c r="E530" s="193"/>
      <c r="F530" s="193"/>
      <c r="G530" s="193"/>
      <c r="H530" s="193"/>
    </row>
    <row r="531" spans="1:8" ht="15.6">
      <c r="A531" s="193"/>
      <c r="B531" s="193"/>
      <c r="C531" s="193"/>
      <c r="D531" s="193"/>
      <c r="E531" s="193"/>
      <c r="F531" s="193"/>
      <c r="G531" s="193"/>
      <c r="H531" s="193"/>
    </row>
    <row r="532" spans="1:8" ht="15.6">
      <c r="A532" s="193"/>
      <c r="B532" s="193"/>
      <c r="C532" s="193"/>
      <c r="D532" s="193"/>
      <c r="E532" s="193"/>
      <c r="F532" s="193"/>
      <c r="G532" s="193"/>
      <c r="H532" s="193"/>
    </row>
    <row r="533" spans="1:8" ht="15.6">
      <c r="A533" s="193"/>
      <c r="B533" s="193"/>
      <c r="C533" s="193"/>
      <c r="D533" s="193"/>
      <c r="E533" s="193"/>
      <c r="F533" s="193"/>
      <c r="G533" s="193"/>
      <c r="H533" s="193"/>
    </row>
    <row r="534" spans="1:8" ht="15.6">
      <c r="A534" s="193"/>
      <c r="B534" s="193"/>
      <c r="C534" s="193"/>
      <c r="D534" s="193"/>
      <c r="E534" s="193"/>
      <c r="F534" s="193"/>
      <c r="G534" s="193"/>
      <c r="H534" s="193"/>
    </row>
    <row r="535" spans="1:8" ht="15.6">
      <c r="A535" s="193"/>
      <c r="B535" s="193"/>
      <c r="C535" s="193"/>
      <c r="D535" s="193"/>
      <c r="E535" s="193"/>
      <c r="F535" s="193"/>
      <c r="G535" s="193"/>
      <c r="H535" s="193"/>
    </row>
    <row r="536" spans="1:8" ht="15.6">
      <c r="A536" s="193"/>
      <c r="B536" s="193"/>
      <c r="C536" s="193"/>
      <c r="D536" s="193"/>
      <c r="E536" s="193"/>
      <c r="F536" s="193"/>
      <c r="G536" s="193"/>
      <c r="H536" s="193"/>
    </row>
    <row r="537" spans="1:8" ht="15.6">
      <c r="A537" s="193"/>
      <c r="B537" s="193"/>
      <c r="C537" s="193"/>
      <c r="D537" s="193"/>
      <c r="E537" s="193"/>
      <c r="F537" s="193"/>
      <c r="G537" s="193"/>
      <c r="H537" s="193"/>
    </row>
    <row r="538" spans="1:8" ht="15.6">
      <c r="A538" s="193"/>
      <c r="B538" s="193"/>
      <c r="C538" s="193"/>
      <c r="D538" s="193"/>
      <c r="E538" s="193"/>
      <c r="F538" s="193"/>
      <c r="G538" s="193"/>
      <c r="H538" s="193"/>
    </row>
    <row r="539" spans="1:8" ht="15.6">
      <c r="A539" s="193"/>
      <c r="B539" s="193"/>
      <c r="C539" s="193"/>
      <c r="D539" s="193"/>
      <c r="E539" s="193"/>
      <c r="F539" s="193"/>
      <c r="G539" s="193"/>
      <c r="H539" s="193"/>
    </row>
    <row r="540" spans="1:8" ht="15.6">
      <c r="A540" s="193"/>
      <c r="B540" s="193"/>
      <c r="C540" s="193"/>
      <c r="D540" s="193"/>
      <c r="E540" s="193"/>
      <c r="F540" s="193"/>
      <c r="G540" s="193"/>
      <c r="H540" s="193"/>
    </row>
    <row r="541" spans="1:8" ht="15.6">
      <c r="A541" s="193"/>
      <c r="B541" s="193"/>
      <c r="C541" s="193"/>
      <c r="D541" s="193"/>
      <c r="E541" s="193"/>
      <c r="F541" s="193"/>
      <c r="G541" s="193"/>
      <c r="H541" s="193"/>
    </row>
    <row r="542" spans="1:8" ht="15.6">
      <c r="A542" s="193"/>
      <c r="B542" s="193"/>
      <c r="C542" s="193"/>
      <c r="D542" s="193"/>
      <c r="E542" s="193"/>
      <c r="F542" s="193"/>
      <c r="G542" s="193"/>
      <c r="H542" s="193"/>
    </row>
    <row r="543" spans="1:8" ht="15.6">
      <c r="A543" s="193"/>
      <c r="B543" s="193"/>
      <c r="C543" s="193"/>
      <c r="D543" s="193"/>
      <c r="E543" s="193"/>
      <c r="F543" s="193"/>
      <c r="G543" s="193"/>
      <c r="H543" s="193"/>
    </row>
    <row r="544" spans="1:8" ht="15.6">
      <c r="A544" s="193"/>
      <c r="B544" s="193"/>
      <c r="C544" s="193"/>
      <c r="D544" s="193"/>
      <c r="E544" s="193"/>
      <c r="F544" s="193"/>
      <c r="G544" s="193"/>
      <c r="H544" s="193"/>
    </row>
    <row r="545" spans="1:8" ht="15.6">
      <c r="A545" s="193"/>
      <c r="B545" s="193"/>
      <c r="C545" s="193"/>
      <c r="D545" s="193"/>
      <c r="E545" s="193"/>
      <c r="F545" s="193"/>
      <c r="G545" s="193"/>
      <c r="H545" s="193"/>
    </row>
    <row r="546" spans="1:8" ht="15.6">
      <c r="A546" s="193"/>
      <c r="B546" s="193"/>
      <c r="C546" s="193"/>
      <c r="D546" s="193"/>
      <c r="E546" s="193"/>
      <c r="F546" s="193"/>
      <c r="G546" s="193"/>
      <c r="H546" s="193"/>
    </row>
    <row r="547" spans="1:8" ht="15.6">
      <c r="A547" s="193"/>
      <c r="B547" s="193"/>
      <c r="C547" s="193"/>
      <c r="D547" s="193"/>
      <c r="E547" s="193"/>
      <c r="F547" s="193"/>
      <c r="G547" s="193"/>
      <c r="H547" s="193"/>
    </row>
    <row r="548" spans="1:8" ht="15.6">
      <c r="A548" s="193"/>
      <c r="B548" s="193"/>
      <c r="C548" s="193"/>
      <c r="D548" s="193"/>
      <c r="E548" s="193"/>
      <c r="F548" s="193"/>
      <c r="G548" s="193"/>
      <c r="H548" s="193"/>
    </row>
    <row r="549" spans="1:8" ht="15.6">
      <c r="A549" s="193"/>
      <c r="B549" s="193"/>
      <c r="C549" s="193"/>
      <c r="D549" s="193"/>
      <c r="E549" s="193"/>
      <c r="F549" s="193"/>
      <c r="G549" s="193"/>
      <c r="H549" s="193"/>
    </row>
    <row r="550" spans="1:8" ht="15.6">
      <c r="A550" s="193"/>
      <c r="B550" s="193"/>
      <c r="C550" s="193"/>
      <c r="D550" s="193"/>
      <c r="E550" s="193"/>
      <c r="F550" s="193"/>
      <c r="G550" s="193"/>
      <c r="H550" s="193"/>
    </row>
    <row r="551" spans="1:8" ht="15.6">
      <c r="A551" s="193"/>
      <c r="B551" s="193"/>
      <c r="C551" s="193"/>
      <c r="D551" s="193"/>
      <c r="E551" s="193"/>
      <c r="F551" s="193"/>
      <c r="G551" s="193"/>
      <c r="H551" s="193"/>
    </row>
    <row r="552" spans="1:8" ht="15.6">
      <c r="A552" s="193"/>
      <c r="B552" s="193"/>
      <c r="C552" s="193"/>
      <c r="D552" s="193"/>
      <c r="E552" s="193"/>
      <c r="F552" s="193"/>
      <c r="G552" s="193"/>
      <c r="H552" s="193"/>
    </row>
    <row r="553" spans="1:8" ht="15.6">
      <c r="A553" s="193"/>
      <c r="B553" s="193"/>
      <c r="C553" s="193"/>
      <c r="D553" s="193"/>
      <c r="E553" s="193"/>
      <c r="F553" s="193"/>
      <c r="G553" s="193"/>
      <c r="H553" s="193"/>
    </row>
    <row r="554" spans="1:8" ht="15.6">
      <c r="A554" s="193"/>
      <c r="B554" s="193"/>
      <c r="C554" s="193"/>
      <c r="D554" s="193"/>
      <c r="E554" s="193"/>
      <c r="F554" s="193"/>
      <c r="G554" s="193"/>
      <c r="H554" s="193"/>
    </row>
    <row r="555" spans="1:8" ht="15.6">
      <c r="A555" s="193"/>
      <c r="B555" s="193"/>
      <c r="C555" s="193"/>
      <c r="D555" s="193"/>
      <c r="E555" s="193"/>
      <c r="F555" s="193"/>
      <c r="G555" s="193"/>
      <c r="H555" s="193"/>
    </row>
    <row r="556" spans="1:8" ht="15.6">
      <c r="A556" s="193"/>
      <c r="B556" s="193"/>
      <c r="C556" s="193"/>
      <c r="D556" s="193"/>
      <c r="E556" s="193"/>
      <c r="F556" s="193"/>
      <c r="G556" s="193"/>
      <c r="H556" s="193"/>
    </row>
    <row r="557" spans="1:8" ht="15.6">
      <c r="A557" s="193"/>
      <c r="B557" s="193"/>
      <c r="C557" s="193"/>
      <c r="D557" s="193"/>
      <c r="E557" s="193"/>
      <c r="F557" s="193"/>
      <c r="G557" s="193"/>
      <c r="H557" s="193"/>
    </row>
    <row r="558" spans="1:8" ht="15.6">
      <c r="A558" s="193"/>
      <c r="B558" s="193"/>
      <c r="C558" s="193"/>
      <c r="D558" s="193"/>
      <c r="E558" s="193"/>
      <c r="F558" s="193"/>
      <c r="G558" s="193"/>
      <c r="H558" s="193"/>
    </row>
    <row r="559" spans="1:8" ht="15.6">
      <c r="A559" s="193"/>
      <c r="B559" s="193"/>
      <c r="C559" s="193"/>
      <c r="D559" s="193"/>
      <c r="E559" s="193"/>
      <c r="F559" s="193"/>
      <c r="G559" s="193"/>
      <c r="H559" s="193"/>
    </row>
    <row r="560" spans="1:8" ht="15.6">
      <c r="A560" s="193"/>
      <c r="B560" s="193"/>
      <c r="C560" s="193"/>
      <c r="D560" s="193"/>
      <c r="E560" s="193"/>
      <c r="F560" s="193"/>
      <c r="G560" s="193"/>
      <c r="H560" s="193"/>
    </row>
    <row r="561" spans="1:8" ht="15.6">
      <c r="A561" s="193"/>
      <c r="B561" s="193"/>
      <c r="C561" s="193"/>
      <c r="D561" s="193"/>
      <c r="E561" s="193"/>
      <c r="F561" s="193"/>
      <c r="G561" s="193"/>
      <c r="H561" s="193"/>
    </row>
    <row r="562" spans="1:8" ht="15.6">
      <c r="A562" s="193"/>
      <c r="B562" s="193"/>
      <c r="C562" s="193"/>
      <c r="D562" s="193"/>
      <c r="E562" s="193"/>
      <c r="F562" s="193"/>
      <c r="G562" s="193"/>
      <c r="H562" s="193"/>
    </row>
    <row r="563" spans="1:8" ht="15.6">
      <c r="A563" s="193"/>
      <c r="B563" s="193"/>
      <c r="C563" s="193"/>
      <c r="D563" s="193"/>
      <c r="E563" s="193"/>
      <c r="F563" s="193"/>
      <c r="G563" s="193"/>
      <c r="H563" s="193"/>
    </row>
    <row r="564" spans="1:8" ht="15.6">
      <c r="A564" s="193"/>
      <c r="B564" s="193"/>
      <c r="C564" s="193"/>
      <c r="D564" s="193"/>
      <c r="E564" s="193"/>
      <c r="F564" s="193"/>
      <c r="G564" s="193"/>
      <c r="H564" s="193"/>
    </row>
    <row r="565" spans="1:8" ht="15.6">
      <c r="A565" s="193"/>
      <c r="B565" s="193"/>
      <c r="C565" s="193"/>
      <c r="D565" s="193"/>
      <c r="E565" s="193"/>
      <c r="F565" s="193"/>
      <c r="G565" s="193"/>
      <c r="H565" s="193"/>
    </row>
    <row r="566" spans="1:8" ht="15.6">
      <c r="A566" s="193"/>
      <c r="B566" s="193"/>
      <c r="C566" s="193"/>
      <c r="D566" s="193"/>
      <c r="E566" s="193"/>
      <c r="F566" s="193"/>
      <c r="G566" s="193"/>
      <c r="H566" s="193"/>
    </row>
    <row r="567" spans="1:8" ht="15.6">
      <c r="A567" s="193"/>
      <c r="B567" s="193"/>
      <c r="C567" s="193"/>
      <c r="D567" s="193"/>
      <c r="E567" s="193"/>
      <c r="F567" s="193"/>
      <c r="G567" s="193"/>
      <c r="H567" s="193"/>
    </row>
    <row r="568" spans="1:8" ht="15.6">
      <c r="A568" s="193"/>
      <c r="B568" s="193"/>
      <c r="C568" s="193"/>
      <c r="D568" s="193"/>
      <c r="E568" s="193"/>
      <c r="F568" s="193"/>
      <c r="G568" s="193"/>
      <c r="H568" s="193"/>
    </row>
    <row r="569" spans="1:8" ht="15.6">
      <c r="A569" s="193"/>
      <c r="B569" s="193"/>
      <c r="C569" s="193"/>
      <c r="D569" s="193"/>
      <c r="E569" s="193"/>
      <c r="F569" s="193"/>
      <c r="G569" s="193"/>
      <c r="H569" s="193"/>
    </row>
    <row r="570" spans="1:8" ht="15.6">
      <c r="A570" s="193"/>
      <c r="B570" s="193"/>
      <c r="C570" s="193"/>
      <c r="D570" s="193"/>
      <c r="E570" s="193"/>
      <c r="F570" s="193"/>
      <c r="G570" s="193"/>
      <c r="H570" s="193"/>
    </row>
    <row r="571" spans="1:8" ht="15.6">
      <c r="A571" s="193"/>
      <c r="B571" s="193"/>
      <c r="C571" s="193"/>
      <c r="D571" s="193"/>
      <c r="E571" s="193"/>
      <c r="F571" s="193"/>
      <c r="G571" s="193"/>
      <c r="H571" s="193"/>
    </row>
    <row r="572" spans="1:8" ht="15.6">
      <c r="A572" s="193"/>
      <c r="B572" s="193"/>
      <c r="C572" s="193"/>
      <c r="D572" s="193"/>
      <c r="E572" s="193"/>
      <c r="F572" s="193"/>
      <c r="G572" s="193"/>
      <c r="H572" s="193"/>
    </row>
    <row r="573" spans="1:8" ht="15.6">
      <c r="A573" s="193"/>
      <c r="B573" s="193"/>
      <c r="C573" s="193"/>
      <c r="D573" s="193"/>
      <c r="E573" s="193"/>
      <c r="F573" s="193"/>
      <c r="G573" s="193"/>
      <c r="H573" s="193"/>
    </row>
    <row r="574" spans="1:8" ht="15.6">
      <c r="A574" s="193"/>
      <c r="B574" s="193"/>
      <c r="C574" s="193"/>
      <c r="D574" s="193"/>
      <c r="E574" s="193"/>
      <c r="F574" s="193"/>
      <c r="G574" s="193"/>
      <c r="H574" s="193"/>
    </row>
    <row r="575" spans="1:8" ht="15.6">
      <c r="A575" s="193"/>
      <c r="B575" s="193"/>
      <c r="C575" s="193"/>
      <c r="D575" s="193"/>
      <c r="E575" s="193"/>
      <c r="F575" s="193"/>
      <c r="G575" s="193"/>
      <c r="H575" s="193"/>
    </row>
    <row r="576" spans="1:8" ht="15.6">
      <c r="A576" s="193"/>
      <c r="B576" s="193"/>
      <c r="C576" s="193"/>
      <c r="D576" s="193"/>
      <c r="E576" s="193"/>
      <c r="F576" s="193"/>
      <c r="G576" s="193"/>
      <c r="H576" s="193"/>
    </row>
    <row r="577" spans="1:8" ht="15.6">
      <c r="A577" s="193"/>
      <c r="B577" s="193"/>
      <c r="C577" s="193"/>
      <c r="D577" s="193"/>
      <c r="E577" s="193"/>
      <c r="F577" s="193"/>
      <c r="G577" s="193"/>
      <c r="H577" s="193"/>
    </row>
    <row r="578" spans="1:8" ht="15.6">
      <c r="A578" s="193"/>
      <c r="B578" s="193"/>
      <c r="C578" s="193"/>
      <c r="D578" s="193"/>
      <c r="E578" s="193"/>
      <c r="F578" s="193"/>
      <c r="G578" s="193"/>
      <c r="H578" s="193"/>
    </row>
    <row r="579" spans="1:8" ht="15.6">
      <c r="A579" s="193"/>
      <c r="B579" s="193"/>
      <c r="C579" s="193"/>
      <c r="D579" s="193"/>
      <c r="E579" s="193"/>
      <c r="F579" s="193"/>
      <c r="G579" s="193"/>
      <c r="H579" s="193"/>
    </row>
    <row r="580" spans="1:8" ht="15.6">
      <c r="A580" s="193"/>
      <c r="B580" s="193"/>
      <c r="C580" s="193"/>
      <c r="D580" s="193"/>
      <c r="E580" s="193"/>
      <c r="F580" s="193"/>
      <c r="G580" s="193"/>
      <c r="H580" s="193"/>
    </row>
    <row r="581" spans="1:8" ht="15.6">
      <c r="A581" s="193"/>
      <c r="B581" s="193"/>
      <c r="C581" s="193"/>
      <c r="D581" s="193"/>
      <c r="E581" s="193"/>
      <c r="F581" s="193"/>
      <c r="G581" s="193"/>
      <c r="H581" s="193"/>
    </row>
    <row r="582" spans="1:8" ht="15.6">
      <c r="A582" s="193"/>
      <c r="B582" s="193"/>
      <c r="C582" s="193"/>
      <c r="D582" s="193"/>
      <c r="E582" s="193"/>
      <c r="F582" s="193"/>
      <c r="G582" s="193"/>
      <c r="H582" s="193"/>
    </row>
    <row r="583" spans="1:8" ht="15.6">
      <c r="A583" s="193"/>
      <c r="B583" s="193"/>
      <c r="C583" s="193"/>
      <c r="D583" s="193"/>
      <c r="E583" s="193"/>
      <c r="F583" s="193"/>
      <c r="G583" s="193"/>
      <c r="H583" s="193"/>
    </row>
    <row r="584" spans="1:8" ht="15.6">
      <c r="A584" s="193"/>
      <c r="B584" s="193"/>
      <c r="C584" s="193"/>
      <c r="D584" s="193"/>
      <c r="E584" s="193"/>
      <c r="F584" s="193"/>
      <c r="G584" s="193"/>
      <c r="H584" s="193"/>
    </row>
    <row r="585" spans="1:8" ht="15.6">
      <c r="A585" s="193"/>
      <c r="B585" s="193"/>
      <c r="C585" s="193"/>
      <c r="D585" s="193"/>
      <c r="E585" s="193"/>
      <c r="F585" s="193"/>
      <c r="G585" s="193"/>
      <c r="H585" s="193"/>
    </row>
    <row r="586" spans="1:8" ht="15.6">
      <c r="A586" s="193"/>
      <c r="B586" s="193"/>
      <c r="C586" s="193"/>
      <c r="D586" s="193"/>
      <c r="E586" s="193"/>
      <c r="F586" s="193"/>
      <c r="G586" s="193"/>
      <c r="H586" s="193"/>
    </row>
    <row r="587" spans="1:8" ht="15.6">
      <c r="A587" s="193"/>
      <c r="B587" s="193"/>
      <c r="C587" s="193"/>
      <c r="D587" s="193"/>
      <c r="E587" s="193"/>
      <c r="F587" s="193"/>
      <c r="G587" s="193"/>
      <c r="H587" s="193"/>
    </row>
    <row r="588" spans="1:8" ht="15.6">
      <c r="A588" s="193"/>
      <c r="B588" s="193"/>
      <c r="C588" s="193"/>
      <c r="D588" s="193"/>
      <c r="E588" s="193"/>
      <c r="F588" s="193"/>
      <c r="G588" s="193"/>
      <c r="H588" s="193"/>
    </row>
    <row r="589" spans="1:8" ht="15.6">
      <c r="A589" s="193"/>
      <c r="B589" s="193"/>
      <c r="C589" s="193"/>
      <c r="D589" s="193"/>
      <c r="E589" s="193"/>
      <c r="F589" s="193"/>
      <c r="G589" s="193"/>
      <c r="H589" s="193"/>
    </row>
    <row r="590" spans="1:8" ht="15.6">
      <c r="A590" s="193"/>
      <c r="B590" s="193"/>
      <c r="C590" s="193"/>
      <c r="D590" s="193"/>
      <c r="E590" s="193"/>
      <c r="F590" s="193"/>
      <c r="G590" s="193"/>
      <c r="H590" s="193"/>
    </row>
    <row r="591" spans="1:8" ht="15.6">
      <c r="A591" s="193"/>
      <c r="B591" s="193"/>
      <c r="C591" s="193"/>
      <c r="D591" s="193"/>
      <c r="E591" s="193"/>
      <c r="F591" s="193"/>
      <c r="G591" s="193"/>
      <c r="H591" s="193"/>
    </row>
    <row r="592" spans="1:8" ht="15.6">
      <c r="A592" s="193"/>
      <c r="B592" s="193"/>
      <c r="C592" s="193"/>
      <c r="D592" s="193"/>
      <c r="E592" s="193"/>
      <c r="F592" s="193"/>
      <c r="G592" s="193"/>
      <c r="H592" s="193"/>
    </row>
    <row r="593" spans="1:8" ht="15.6">
      <c r="A593" s="193"/>
      <c r="B593" s="193"/>
      <c r="C593" s="193"/>
      <c r="D593" s="193"/>
      <c r="E593" s="193"/>
      <c r="F593" s="193"/>
      <c r="G593" s="193"/>
      <c r="H593" s="193"/>
    </row>
    <row r="594" spans="1:8" ht="15.6">
      <c r="A594" s="193"/>
      <c r="B594" s="193"/>
      <c r="C594" s="193"/>
      <c r="D594" s="193"/>
      <c r="E594" s="193"/>
      <c r="F594" s="193"/>
      <c r="G594" s="193"/>
      <c r="H594" s="193"/>
    </row>
    <row r="595" spans="1:8" ht="15.6">
      <c r="A595" s="193"/>
      <c r="B595" s="193"/>
      <c r="C595" s="193"/>
      <c r="D595" s="193"/>
      <c r="E595" s="193"/>
      <c r="F595" s="193"/>
      <c r="G595" s="193"/>
      <c r="H595" s="193"/>
    </row>
    <row r="596" spans="1:8" ht="15.6">
      <c r="A596" s="193"/>
      <c r="B596" s="193"/>
      <c r="C596" s="193"/>
      <c r="D596" s="193"/>
      <c r="E596" s="193"/>
      <c r="F596" s="193"/>
      <c r="G596" s="193"/>
      <c r="H596" s="193"/>
    </row>
    <row r="597" spans="1:8" ht="15.6">
      <c r="A597" s="193"/>
      <c r="B597" s="193"/>
      <c r="C597" s="193"/>
      <c r="D597" s="193"/>
      <c r="E597" s="193"/>
      <c r="F597" s="193"/>
      <c r="G597" s="193"/>
      <c r="H597" s="193"/>
    </row>
    <row r="598" spans="1:8" ht="15.6">
      <c r="A598" s="193"/>
      <c r="B598" s="193"/>
      <c r="C598" s="193"/>
      <c r="D598" s="193"/>
      <c r="E598" s="193"/>
      <c r="F598" s="193"/>
      <c r="G598" s="193"/>
      <c r="H598" s="193"/>
    </row>
    <row r="599" spans="1:8" ht="15.6">
      <c r="A599" s="193"/>
      <c r="B599" s="193"/>
      <c r="C599" s="193"/>
      <c r="D599" s="193"/>
      <c r="E599" s="193"/>
      <c r="F599" s="193"/>
      <c r="G599" s="193"/>
      <c r="H599" s="193"/>
    </row>
    <row r="600" spans="1:8" ht="15.6">
      <c r="A600" s="193"/>
      <c r="B600" s="193"/>
      <c r="C600" s="193"/>
      <c r="D600" s="193"/>
      <c r="E600" s="193"/>
      <c r="F600" s="193"/>
      <c r="G600" s="193"/>
      <c r="H600" s="193"/>
    </row>
    <row r="601" spans="1:8" ht="15.6">
      <c r="A601" s="193"/>
      <c r="B601" s="193"/>
      <c r="C601" s="193"/>
      <c r="D601" s="193"/>
      <c r="E601" s="193"/>
      <c r="F601" s="193"/>
      <c r="G601" s="193"/>
      <c r="H601" s="193"/>
    </row>
    <row r="602" spans="1:8" ht="15.6">
      <c r="A602" s="193"/>
      <c r="B602" s="193"/>
      <c r="C602" s="193"/>
      <c r="D602" s="193"/>
      <c r="E602" s="193"/>
      <c r="F602" s="193"/>
      <c r="G602" s="193"/>
      <c r="H602" s="193"/>
    </row>
    <row r="603" spans="1:8" ht="15.6">
      <c r="A603" s="193"/>
      <c r="B603" s="193"/>
      <c r="C603" s="193"/>
      <c r="D603" s="193"/>
      <c r="E603" s="193"/>
      <c r="F603" s="193"/>
      <c r="G603" s="193"/>
      <c r="H603" s="193"/>
    </row>
    <row r="604" spans="1:8" ht="15.6">
      <c r="A604" s="193"/>
      <c r="B604" s="193"/>
      <c r="C604" s="193"/>
      <c r="D604" s="193"/>
      <c r="E604" s="193"/>
      <c r="F604" s="193"/>
      <c r="G604" s="193"/>
      <c r="H604" s="193"/>
    </row>
    <row r="605" spans="1:8" ht="15.6">
      <c r="A605" s="193"/>
      <c r="B605" s="193"/>
      <c r="C605" s="193"/>
      <c r="D605" s="193"/>
      <c r="E605" s="193"/>
      <c r="F605" s="193"/>
      <c r="G605" s="193"/>
      <c r="H605" s="193"/>
    </row>
    <row r="606" spans="1:8" ht="15.6">
      <c r="A606" s="193"/>
      <c r="B606" s="193"/>
      <c r="C606" s="193"/>
      <c r="D606" s="193"/>
      <c r="E606" s="193"/>
      <c r="F606" s="193"/>
      <c r="G606" s="193"/>
      <c r="H606" s="193"/>
    </row>
    <row r="607" spans="1:8" ht="15.6">
      <c r="A607" s="193"/>
      <c r="B607" s="193"/>
      <c r="C607" s="193"/>
      <c r="D607" s="193"/>
      <c r="E607" s="193"/>
      <c r="F607" s="193"/>
      <c r="G607" s="193"/>
      <c r="H607" s="193"/>
    </row>
    <row r="608" spans="1:8" ht="15.6">
      <c r="A608" s="193"/>
      <c r="B608" s="193"/>
      <c r="C608" s="193"/>
      <c r="D608" s="193"/>
      <c r="E608" s="193"/>
      <c r="F608" s="193"/>
      <c r="G608" s="193"/>
      <c r="H608" s="193"/>
    </row>
    <row r="609" spans="1:8" ht="15.6">
      <c r="A609" s="193"/>
      <c r="B609" s="193"/>
      <c r="C609" s="193"/>
      <c r="D609" s="193"/>
      <c r="E609" s="193"/>
      <c r="F609" s="193"/>
      <c r="G609" s="193"/>
      <c r="H609" s="193"/>
    </row>
    <row r="610" spans="1:8" ht="15.6">
      <c r="A610" s="193"/>
      <c r="B610" s="193"/>
      <c r="C610" s="193"/>
      <c r="D610" s="193"/>
      <c r="E610" s="193"/>
      <c r="F610" s="193"/>
      <c r="G610" s="193"/>
      <c r="H610" s="193"/>
    </row>
    <row r="611" spans="1:8" ht="15.6">
      <c r="A611" s="193"/>
      <c r="B611" s="193"/>
      <c r="C611" s="193"/>
      <c r="D611" s="193"/>
      <c r="E611" s="193"/>
      <c r="F611" s="193"/>
      <c r="G611" s="193"/>
      <c r="H611" s="193"/>
    </row>
    <row r="612" spans="1:8" ht="15.6">
      <c r="A612" s="193"/>
      <c r="B612" s="193"/>
      <c r="C612" s="193"/>
      <c r="D612" s="193"/>
      <c r="E612" s="193"/>
      <c r="F612" s="193"/>
      <c r="G612" s="193"/>
      <c r="H612" s="193"/>
    </row>
    <row r="613" spans="1:8" ht="15.6">
      <c r="A613" s="193"/>
      <c r="B613" s="193"/>
      <c r="C613" s="193"/>
      <c r="D613" s="193"/>
      <c r="E613" s="193"/>
      <c r="F613" s="193"/>
      <c r="G613" s="193"/>
      <c r="H613" s="193"/>
    </row>
    <row r="614" spans="1:8" ht="15.6">
      <c r="A614" s="193"/>
      <c r="B614" s="193"/>
      <c r="C614" s="193"/>
      <c r="D614" s="193"/>
      <c r="E614" s="193"/>
      <c r="F614" s="193"/>
      <c r="G614" s="193"/>
      <c r="H614" s="193"/>
    </row>
    <row r="615" spans="1:8" ht="15.6">
      <c r="A615" s="193"/>
      <c r="B615" s="193"/>
      <c r="C615" s="193"/>
      <c r="D615" s="193"/>
      <c r="E615" s="193"/>
      <c r="F615" s="193"/>
      <c r="G615" s="193"/>
      <c r="H615" s="193"/>
    </row>
    <row r="616" spans="1:8" ht="15.6">
      <c r="A616" s="193"/>
      <c r="B616" s="193"/>
      <c r="C616" s="193"/>
      <c r="D616" s="193"/>
      <c r="E616" s="193"/>
      <c r="F616" s="193"/>
      <c r="G616" s="193"/>
      <c r="H616" s="193"/>
    </row>
    <row r="617" spans="1:8" ht="15.6">
      <c r="A617" s="193"/>
      <c r="B617" s="193"/>
      <c r="C617" s="193"/>
      <c r="D617" s="193"/>
      <c r="E617" s="193"/>
      <c r="F617" s="193"/>
      <c r="G617" s="193"/>
      <c r="H617" s="193"/>
    </row>
    <row r="618" spans="1:8" ht="15.6">
      <c r="A618" s="193"/>
      <c r="B618" s="193"/>
      <c r="C618" s="193"/>
      <c r="D618" s="193"/>
      <c r="E618" s="193"/>
      <c r="F618" s="193"/>
      <c r="G618" s="193"/>
      <c r="H618" s="193"/>
    </row>
    <row r="619" spans="1:8" ht="15.6">
      <c r="A619" s="193"/>
      <c r="B619" s="193"/>
      <c r="C619" s="193"/>
      <c r="D619" s="193"/>
      <c r="E619" s="193"/>
      <c r="F619" s="193"/>
      <c r="G619" s="193"/>
      <c r="H619" s="193"/>
    </row>
    <row r="620" spans="1:8" ht="15.6">
      <c r="A620" s="193"/>
      <c r="B620" s="193"/>
      <c r="C620" s="193"/>
      <c r="D620" s="193"/>
      <c r="E620" s="193"/>
      <c r="F620" s="193"/>
      <c r="G620" s="193"/>
      <c r="H620" s="193"/>
    </row>
    <row r="621" spans="1:8" ht="15.6">
      <c r="A621" s="193"/>
      <c r="B621" s="193"/>
      <c r="C621" s="193"/>
      <c r="D621" s="193"/>
      <c r="E621" s="193"/>
      <c r="F621" s="193"/>
      <c r="G621" s="193"/>
      <c r="H621" s="193"/>
    </row>
    <row r="622" spans="1:8" ht="15.6">
      <c r="A622" s="193"/>
      <c r="B622" s="193"/>
      <c r="C622" s="193"/>
      <c r="D622" s="193"/>
      <c r="E622" s="193"/>
      <c r="F622" s="193"/>
      <c r="G622" s="193"/>
      <c r="H622" s="193"/>
    </row>
    <row r="623" spans="1:8" ht="15.6">
      <c r="A623" s="193"/>
      <c r="B623" s="193"/>
      <c r="C623" s="193"/>
      <c r="D623" s="193"/>
      <c r="E623" s="193"/>
      <c r="F623" s="193"/>
      <c r="G623" s="193"/>
      <c r="H623" s="193"/>
    </row>
    <row r="624" spans="1:8" ht="15.6">
      <c r="A624" s="193"/>
      <c r="B624" s="193"/>
      <c r="C624" s="193"/>
      <c r="D624" s="193"/>
      <c r="E624" s="193"/>
      <c r="F624" s="193"/>
      <c r="G624" s="193"/>
      <c r="H624" s="193"/>
    </row>
    <row r="625" spans="1:8" ht="15.6">
      <c r="A625" s="193"/>
      <c r="B625" s="193"/>
      <c r="C625" s="193"/>
      <c r="D625" s="193"/>
      <c r="E625" s="193"/>
      <c r="F625" s="193"/>
      <c r="G625" s="193"/>
      <c r="H625" s="193"/>
    </row>
    <row r="626" spans="1:8" ht="15.6">
      <c r="A626" s="193"/>
      <c r="B626" s="193"/>
      <c r="C626" s="193"/>
      <c r="D626" s="193"/>
      <c r="E626" s="193"/>
      <c r="F626" s="193"/>
      <c r="G626" s="193"/>
      <c r="H626" s="193"/>
    </row>
    <row r="627" spans="1:8" ht="15.6">
      <c r="A627" s="193"/>
      <c r="B627" s="193"/>
      <c r="C627" s="193"/>
      <c r="D627" s="193"/>
      <c r="E627" s="193"/>
      <c r="F627" s="193"/>
      <c r="G627" s="193"/>
      <c r="H627" s="193"/>
    </row>
    <row r="628" spans="1:8" ht="15.6">
      <c r="A628" s="193"/>
      <c r="B628" s="193"/>
      <c r="C628" s="193"/>
      <c r="D628" s="193"/>
      <c r="E628" s="193"/>
      <c r="F628" s="193"/>
      <c r="G628" s="193"/>
      <c r="H628" s="193"/>
    </row>
    <row r="629" spans="1:8" ht="15.6">
      <c r="A629" s="193"/>
      <c r="B629" s="193"/>
      <c r="C629" s="193"/>
      <c r="D629" s="193"/>
      <c r="E629" s="193"/>
      <c r="F629" s="193"/>
      <c r="G629" s="193"/>
      <c r="H629" s="193"/>
    </row>
    <row r="630" spans="1:8" ht="15.6">
      <c r="A630" s="193"/>
      <c r="B630" s="193"/>
      <c r="C630" s="193"/>
      <c r="D630" s="193"/>
      <c r="E630" s="193"/>
      <c r="F630" s="193"/>
      <c r="G630" s="193"/>
      <c r="H630" s="193"/>
    </row>
    <row r="631" spans="1:8" ht="15.6">
      <c r="A631" s="193"/>
      <c r="B631" s="193"/>
      <c r="C631" s="193"/>
      <c r="D631" s="193"/>
      <c r="E631" s="193"/>
      <c r="F631" s="193"/>
      <c r="G631" s="193"/>
      <c r="H631" s="193"/>
    </row>
    <row r="632" spans="1:8" ht="15.6">
      <c r="A632" s="193"/>
      <c r="B632" s="193"/>
      <c r="C632" s="193"/>
      <c r="D632" s="193"/>
      <c r="E632" s="193"/>
      <c r="F632" s="193"/>
      <c r="G632" s="193"/>
      <c r="H632" s="193"/>
    </row>
    <row r="633" spans="1:8" ht="15.6">
      <c r="A633" s="193"/>
      <c r="B633" s="193"/>
      <c r="C633" s="193"/>
      <c r="D633" s="193"/>
      <c r="E633" s="193"/>
      <c r="F633" s="193"/>
      <c r="G633" s="193"/>
      <c r="H633" s="193"/>
    </row>
    <row r="634" spans="1:8" ht="15.6">
      <c r="A634" s="193"/>
      <c r="B634" s="193"/>
      <c r="C634" s="193"/>
      <c r="D634" s="193"/>
      <c r="E634" s="193"/>
      <c r="F634" s="193"/>
      <c r="G634" s="193"/>
      <c r="H634" s="193"/>
    </row>
    <row r="635" spans="1:8" ht="15.6">
      <c r="A635" s="193"/>
      <c r="B635" s="193"/>
      <c r="C635" s="193"/>
      <c r="D635" s="193"/>
      <c r="E635" s="193"/>
      <c r="F635" s="193"/>
      <c r="G635" s="193"/>
      <c r="H635" s="193"/>
    </row>
    <row r="636" spans="1:8" ht="15.6">
      <c r="A636" s="193"/>
      <c r="B636" s="193"/>
      <c r="C636" s="193"/>
      <c r="D636" s="193"/>
      <c r="E636" s="193"/>
      <c r="F636" s="193"/>
      <c r="G636" s="193"/>
      <c r="H636" s="193"/>
    </row>
    <row r="637" spans="1:8" ht="15.6">
      <c r="A637" s="193"/>
      <c r="B637" s="193"/>
      <c r="C637" s="193"/>
      <c r="D637" s="193"/>
      <c r="E637" s="193"/>
      <c r="F637" s="193"/>
      <c r="G637" s="193"/>
      <c r="H637" s="193"/>
    </row>
    <row r="638" spans="1:8" ht="15.6">
      <c r="A638" s="193"/>
      <c r="B638" s="193"/>
      <c r="C638" s="193"/>
      <c r="D638" s="193"/>
      <c r="E638" s="193"/>
      <c r="F638" s="193"/>
      <c r="G638" s="193"/>
      <c r="H638" s="193"/>
    </row>
    <row r="639" spans="1:8" ht="15.6">
      <c r="A639" s="193"/>
      <c r="B639" s="193"/>
      <c r="C639" s="193"/>
      <c r="D639" s="193"/>
      <c r="E639" s="193"/>
      <c r="F639" s="193"/>
      <c r="G639" s="193"/>
      <c r="H639" s="193"/>
    </row>
    <row r="640" spans="1:8" ht="15.6">
      <c r="A640" s="193"/>
      <c r="B640" s="193"/>
      <c r="C640" s="193"/>
      <c r="D640" s="193"/>
      <c r="E640" s="193"/>
      <c r="F640" s="193"/>
      <c r="G640" s="193"/>
      <c r="H640" s="193"/>
    </row>
    <row r="641" spans="1:8" ht="15.6">
      <c r="A641" s="193"/>
      <c r="B641" s="193"/>
      <c r="C641" s="193"/>
      <c r="D641" s="193"/>
      <c r="E641" s="193"/>
      <c r="F641" s="193"/>
      <c r="G641" s="193"/>
      <c r="H641" s="193"/>
    </row>
    <row r="642" spans="1:8" ht="15.6">
      <c r="A642" s="193"/>
      <c r="B642" s="193"/>
      <c r="C642" s="193"/>
      <c r="D642" s="193"/>
      <c r="E642" s="193"/>
      <c r="F642" s="193"/>
      <c r="G642" s="193"/>
      <c r="H642" s="193"/>
    </row>
    <row r="643" spans="1:8" ht="15.6">
      <c r="A643" s="193"/>
      <c r="B643" s="193"/>
      <c r="C643" s="193"/>
      <c r="D643" s="193"/>
      <c r="E643" s="193"/>
      <c r="F643" s="193"/>
      <c r="G643" s="193"/>
      <c r="H643" s="193"/>
    </row>
    <row r="644" spans="1:8" ht="15.6">
      <c r="A644" s="193"/>
      <c r="B644" s="193"/>
      <c r="C644" s="193"/>
      <c r="D644" s="193"/>
      <c r="E644" s="193"/>
      <c r="F644" s="193"/>
      <c r="G644" s="193"/>
      <c r="H644" s="193"/>
    </row>
    <row r="645" spans="1:8" ht="15.6">
      <c r="A645" s="193"/>
      <c r="B645" s="193"/>
      <c r="C645" s="193"/>
      <c r="D645" s="193"/>
      <c r="E645" s="193"/>
      <c r="F645" s="193"/>
      <c r="G645" s="193"/>
      <c r="H645" s="193"/>
    </row>
    <row r="646" spans="1:8" ht="15.6">
      <c r="A646" s="193"/>
      <c r="B646" s="193"/>
      <c r="C646" s="193"/>
      <c r="D646" s="193"/>
      <c r="E646" s="193"/>
      <c r="F646" s="193"/>
      <c r="G646" s="193"/>
      <c r="H646" s="193"/>
    </row>
    <row r="647" spans="1:8" ht="15.6">
      <c r="A647" s="193"/>
      <c r="B647" s="193"/>
      <c r="C647" s="193"/>
      <c r="D647" s="193"/>
      <c r="E647" s="193"/>
      <c r="F647" s="193"/>
      <c r="G647" s="193"/>
      <c r="H647" s="193"/>
    </row>
    <row r="648" spans="1:8" ht="15.6">
      <c r="A648" s="193"/>
      <c r="B648" s="193"/>
      <c r="C648" s="193"/>
      <c r="D648" s="193"/>
      <c r="E648" s="193"/>
      <c r="F648" s="193"/>
      <c r="G648" s="193"/>
      <c r="H648" s="193"/>
    </row>
    <row r="649" spans="1:8" ht="15.6">
      <c r="A649" s="193"/>
      <c r="B649" s="193"/>
      <c r="C649" s="193"/>
      <c r="D649" s="193"/>
      <c r="E649" s="193"/>
      <c r="F649" s="193"/>
      <c r="G649" s="193"/>
      <c r="H649" s="193"/>
    </row>
    <row r="650" spans="1:8" ht="15.6">
      <c r="A650" s="193"/>
      <c r="B650" s="193"/>
      <c r="C650" s="193"/>
      <c r="D650" s="193"/>
      <c r="E650" s="193"/>
      <c r="F650" s="193"/>
      <c r="G650" s="193"/>
      <c r="H650" s="193"/>
    </row>
    <row r="651" spans="1:8" ht="15.6">
      <c r="A651" s="193"/>
      <c r="B651" s="193"/>
      <c r="C651" s="193"/>
      <c r="D651" s="193"/>
      <c r="E651" s="193"/>
      <c r="F651" s="193"/>
      <c r="G651" s="193"/>
      <c r="H651" s="193"/>
    </row>
    <row r="652" spans="1:8" ht="15.6">
      <c r="A652" s="193"/>
      <c r="B652" s="193"/>
      <c r="C652" s="193"/>
      <c r="D652" s="193"/>
      <c r="E652" s="193"/>
      <c r="F652" s="193"/>
      <c r="G652" s="193"/>
      <c r="H652" s="193"/>
    </row>
    <row r="653" spans="1:8" ht="15.6">
      <c r="A653" s="193"/>
      <c r="B653" s="193"/>
      <c r="C653" s="193"/>
      <c r="D653" s="193"/>
      <c r="E653" s="193"/>
      <c r="F653" s="193"/>
      <c r="G653" s="193"/>
      <c r="H653" s="193"/>
    </row>
    <row r="654" spans="1:8" ht="15.6">
      <c r="A654" s="193"/>
      <c r="B654" s="193"/>
      <c r="C654" s="193"/>
      <c r="D654" s="193"/>
      <c r="E654" s="193"/>
      <c r="F654" s="193"/>
      <c r="G654" s="193"/>
      <c r="H654" s="193"/>
    </row>
    <row r="655" spans="1:8" ht="15.6">
      <c r="A655" s="193"/>
      <c r="B655" s="193"/>
      <c r="C655" s="193"/>
      <c r="D655" s="193"/>
      <c r="E655" s="193"/>
      <c r="F655" s="193"/>
      <c r="G655" s="193"/>
      <c r="H655" s="193"/>
    </row>
    <row r="656" spans="1:8" ht="15.6">
      <c r="A656" s="193"/>
      <c r="B656" s="193"/>
      <c r="C656" s="193"/>
      <c r="D656" s="193"/>
      <c r="E656" s="193"/>
      <c r="F656" s="193"/>
      <c r="G656" s="193"/>
      <c r="H656" s="193"/>
    </row>
    <row r="657" spans="1:8" ht="15.6">
      <c r="A657" s="193"/>
      <c r="B657" s="193"/>
      <c r="C657" s="193"/>
      <c r="D657" s="193"/>
      <c r="E657" s="193"/>
      <c r="F657" s="193"/>
      <c r="G657" s="193"/>
      <c r="H657" s="193"/>
    </row>
    <row r="658" spans="1:8" ht="15.6">
      <c r="A658" s="193"/>
      <c r="B658" s="193"/>
      <c r="C658" s="193"/>
      <c r="D658" s="193"/>
      <c r="E658" s="193"/>
      <c r="F658" s="193"/>
      <c r="G658" s="193"/>
      <c r="H658" s="193"/>
    </row>
    <row r="659" spans="1:8" ht="15.6">
      <c r="A659" s="193"/>
      <c r="B659" s="193"/>
      <c r="C659" s="193"/>
      <c r="D659" s="193"/>
      <c r="E659" s="193"/>
      <c r="F659" s="193"/>
      <c r="G659" s="193"/>
      <c r="H659" s="193"/>
    </row>
    <row r="660" spans="1:8" ht="15.6">
      <c r="A660" s="193"/>
      <c r="B660" s="193"/>
      <c r="C660" s="193"/>
      <c r="D660" s="193"/>
      <c r="E660" s="193"/>
      <c r="F660" s="193"/>
      <c r="G660" s="193"/>
      <c r="H660" s="193"/>
    </row>
    <row r="661" spans="1:8" ht="15.6">
      <c r="A661" s="193"/>
      <c r="B661" s="193"/>
      <c r="C661" s="193"/>
      <c r="D661" s="193"/>
      <c r="E661" s="193"/>
      <c r="F661" s="193"/>
      <c r="G661" s="193"/>
      <c r="H661" s="193"/>
    </row>
    <row r="662" spans="1:8" ht="15.6">
      <c r="A662" s="193"/>
      <c r="B662" s="193"/>
      <c r="C662" s="193"/>
      <c r="D662" s="193"/>
      <c r="E662" s="193"/>
      <c r="F662" s="193"/>
      <c r="G662" s="193"/>
      <c r="H662" s="193"/>
    </row>
    <row r="663" spans="1:8" ht="15.6">
      <c r="A663" s="193"/>
      <c r="B663" s="193"/>
      <c r="C663" s="193"/>
      <c r="D663" s="193"/>
      <c r="E663" s="193"/>
      <c r="F663" s="193"/>
      <c r="G663" s="193"/>
      <c r="H663" s="193"/>
    </row>
    <row r="664" spans="1:8" ht="15.6">
      <c r="A664" s="193"/>
      <c r="B664" s="193"/>
      <c r="C664" s="193"/>
      <c r="D664" s="193"/>
      <c r="E664" s="193"/>
      <c r="F664" s="193"/>
      <c r="G664" s="193"/>
      <c r="H664" s="193"/>
    </row>
    <row r="665" spans="1:8" ht="15.6">
      <c r="A665" s="193"/>
      <c r="B665" s="193"/>
      <c r="C665" s="193"/>
      <c r="D665" s="193"/>
      <c r="E665" s="193"/>
      <c r="F665" s="193"/>
      <c r="G665" s="193"/>
      <c r="H665" s="193"/>
    </row>
    <row r="666" spans="1:8" ht="15.6">
      <c r="A666" s="193"/>
      <c r="B666" s="193"/>
      <c r="C666" s="193"/>
      <c r="D666" s="193"/>
      <c r="E666" s="193"/>
      <c r="F666" s="193"/>
      <c r="G666" s="193"/>
      <c r="H666" s="193"/>
    </row>
    <row r="667" spans="1:8" ht="15.6">
      <c r="A667" s="193"/>
      <c r="B667" s="193"/>
      <c r="C667" s="193"/>
      <c r="D667" s="193"/>
      <c r="E667" s="193"/>
      <c r="F667" s="193"/>
      <c r="G667" s="193"/>
      <c r="H667" s="193"/>
    </row>
    <row r="668" spans="1:8" ht="15.6">
      <c r="A668" s="193"/>
      <c r="B668" s="193"/>
      <c r="C668" s="193"/>
      <c r="D668" s="193"/>
      <c r="E668" s="193"/>
      <c r="F668" s="193"/>
      <c r="G668" s="193"/>
      <c r="H668" s="193"/>
    </row>
    <row r="669" spans="1:8" ht="15.6">
      <c r="A669" s="193"/>
      <c r="B669" s="193"/>
      <c r="C669" s="193"/>
      <c r="D669" s="193"/>
      <c r="E669" s="193"/>
      <c r="F669" s="193"/>
      <c r="G669" s="193"/>
      <c r="H669" s="193"/>
    </row>
    <row r="670" spans="1:8" ht="15.6">
      <c r="A670" s="193"/>
      <c r="B670" s="193"/>
      <c r="C670" s="193"/>
      <c r="D670" s="193"/>
      <c r="E670" s="193"/>
      <c r="F670" s="193"/>
      <c r="G670" s="193"/>
      <c r="H670" s="193"/>
    </row>
    <row r="671" spans="1:8" ht="15.6">
      <c r="A671" s="193"/>
      <c r="B671" s="193"/>
      <c r="C671" s="193"/>
      <c r="D671" s="193"/>
      <c r="E671" s="193"/>
      <c r="F671" s="193"/>
      <c r="G671" s="193"/>
      <c r="H671" s="193"/>
    </row>
    <row r="672" spans="1:8" ht="15.6">
      <c r="A672" s="193"/>
      <c r="B672" s="193"/>
      <c r="C672" s="193"/>
      <c r="D672" s="193"/>
      <c r="E672" s="193"/>
      <c r="F672" s="193"/>
      <c r="G672" s="193"/>
      <c r="H672" s="193"/>
    </row>
    <row r="673" spans="1:8" ht="15.6">
      <c r="A673" s="193"/>
      <c r="B673" s="193"/>
      <c r="C673" s="193"/>
      <c r="D673" s="193"/>
      <c r="E673" s="193"/>
      <c r="F673" s="193"/>
      <c r="G673" s="193"/>
      <c r="H673" s="193"/>
    </row>
    <row r="674" spans="1:8" ht="15.6">
      <c r="A674" s="193"/>
      <c r="B674" s="193"/>
      <c r="C674" s="193"/>
      <c r="D674" s="193"/>
      <c r="E674" s="193"/>
      <c r="F674" s="193"/>
      <c r="G674" s="193"/>
      <c r="H674" s="193"/>
    </row>
    <row r="675" spans="1:8" ht="15.6">
      <c r="A675" s="193"/>
      <c r="B675" s="193"/>
      <c r="C675" s="193"/>
      <c r="D675" s="193"/>
      <c r="E675" s="193"/>
      <c r="F675" s="193"/>
      <c r="G675" s="193"/>
      <c r="H675" s="193"/>
    </row>
    <row r="676" spans="1:8" ht="15.6">
      <c r="A676" s="193"/>
      <c r="B676" s="193"/>
      <c r="C676" s="193"/>
      <c r="D676" s="193"/>
      <c r="E676" s="193"/>
      <c r="F676" s="193"/>
      <c r="G676" s="193"/>
      <c r="H676" s="193"/>
    </row>
    <row r="677" spans="1:8" ht="15.6">
      <c r="A677" s="193"/>
      <c r="B677" s="193"/>
      <c r="C677" s="193"/>
      <c r="D677" s="193"/>
      <c r="E677" s="193"/>
      <c r="F677" s="193"/>
      <c r="G677" s="193"/>
      <c r="H677" s="193"/>
    </row>
    <row r="678" spans="1:8" ht="15.6">
      <c r="A678" s="193"/>
      <c r="B678" s="193"/>
      <c r="C678" s="193"/>
      <c r="D678" s="193"/>
      <c r="E678" s="193"/>
      <c r="F678" s="193"/>
      <c r="G678" s="193"/>
      <c r="H678" s="193"/>
    </row>
    <row r="679" spans="1:8" ht="15.6">
      <c r="A679" s="193"/>
      <c r="B679" s="193"/>
      <c r="C679" s="193"/>
      <c r="D679" s="193"/>
      <c r="E679" s="193"/>
      <c r="F679" s="193"/>
      <c r="G679" s="193"/>
      <c r="H679" s="193"/>
    </row>
    <row r="680" spans="1:8" ht="15.6">
      <c r="A680" s="193"/>
      <c r="B680" s="193"/>
      <c r="C680" s="193"/>
      <c r="D680" s="193"/>
      <c r="E680" s="193"/>
      <c r="F680" s="193"/>
      <c r="G680" s="193"/>
      <c r="H680" s="193"/>
    </row>
    <row r="681" spans="1:8" ht="15.6">
      <c r="A681" s="193"/>
      <c r="B681" s="193"/>
      <c r="C681" s="193"/>
      <c r="D681" s="193"/>
      <c r="E681" s="193"/>
      <c r="F681" s="193"/>
      <c r="G681" s="193"/>
      <c r="H681" s="193"/>
    </row>
    <row r="682" spans="1:8" ht="15.6">
      <c r="A682" s="193"/>
      <c r="B682" s="193"/>
      <c r="C682" s="193"/>
      <c r="D682" s="193"/>
      <c r="E682" s="193"/>
      <c r="F682" s="193"/>
      <c r="G682" s="193"/>
      <c r="H682" s="193"/>
    </row>
    <row r="683" spans="1:8" ht="15.6">
      <c r="A683" s="193"/>
      <c r="B683" s="193"/>
      <c r="C683" s="193"/>
      <c r="D683" s="193"/>
      <c r="E683" s="193"/>
      <c r="F683" s="193"/>
      <c r="G683" s="193"/>
      <c r="H683" s="193"/>
    </row>
    <row r="684" spans="1:8" ht="15.6">
      <c r="A684" s="193"/>
      <c r="B684" s="193"/>
      <c r="C684" s="193"/>
      <c r="D684" s="193"/>
      <c r="E684" s="193"/>
      <c r="F684" s="193"/>
      <c r="G684" s="193"/>
      <c r="H684" s="193"/>
    </row>
    <row r="685" spans="1:8" ht="15.6">
      <c r="A685" s="193"/>
      <c r="B685" s="193"/>
      <c r="C685" s="193"/>
      <c r="D685" s="193"/>
      <c r="E685" s="193"/>
      <c r="F685" s="193"/>
      <c r="G685" s="193"/>
      <c r="H685" s="193"/>
    </row>
    <row r="686" spans="1:8" ht="15.6">
      <c r="A686" s="193"/>
      <c r="B686" s="193"/>
      <c r="C686" s="193"/>
      <c r="D686" s="193"/>
      <c r="E686" s="193"/>
      <c r="F686" s="193"/>
      <c r="G686" s="193"/>
      <c r="H686" s="193"/>
    </row>
    <row r="687" spans="1:8" ht="15.6">
      <c r="A687" s="193"/>
      <c r="B687" s="193"/>
      <c r="C687" s="193"/>
      <c r="D687" s="193"/>
      <c r="E687" s="193"/>
      <c r="F687" s="193"/>
      <c r="G687" s="193"/>
      <c r="H687" s="193"/>
    </row>
    <row r="688" spans="1:8" ht="15.6">
      <c r="A688" s="193"/>
      <c r="B688" s="193"/>
      <c r="C688" s="193"/>
      <c r="D688" s="193"/>
      <c r="E688" s="193"/>
      <c r="F688" s="193"/>
      <c r="G688" s="193"/>
      <c r="H688" s="193"/>
    </row>
    <row r="689" spans="1:8" ht="15.6">
      <c r="A689" s="193"/>
      <c r="B689" s="193"/>
      <c r="C689" s="193"/>
      <c r="D689" s="193"/>
      <c r="E689" s="193"/>
      <c r="F689" s="193"/>
      <c r="G689" s="193"/>
      <c r="H689" s="193"/>
    </row>
    <row r="690" spans="1:8" ht="15.6">
      <c r="A690" s="193"/>
      <c r="B690" s="193"/>
      <c r="C690" s="193"/>
      <c r="D690" s="193"/>
      <c r="E690" s="193"/>
      <c r="F690" s="193"/>
      <c r="G690" s="193"/>
      <c r="H690" s="193"/>
    </row>
    <row r="691" spans="1:8" ht="15.6">
      <c r="A691" s="193"/>
      <c r="B691" s="193"/>
      <c r="C691" s="193"/>
      <c r="D691" s="193"/>
      <c r="E691" s="193"/>
      <c r="F691" s="193"/>
      <c r="G691" s="193"/>
      <c r="H691" s="193"/>
    </row>
    <row r="692" spans="1:8" ht="15.6">
      <c r="A692" s="193"/>
      <c r="B692" s="193"/>
      <c r="C692" s="193"/>
      <c r="D692" s="193"/>
      <c r="E692" s="193"/>
      <c r="F692" s="193"/>
      <c r="G692" s="193"/>
      <c r="H692" s="193"/>
    </row>
    <row r="693" spans="1:8" ht="15.6">
      <c r="A693" s="193"/>
      <c r="B693" s="193"/>
      <c r="C693" s="193"/>
      <c r="D693" s="193"/>
      <c r="E693" s="193"/>
      <c r="F693" s="193"/>
      <c r="G693" s="193"/>
      <c r="H693" s="193"/>
    </row>
    <row r="694" spans="1:8" ht="15.6">
      <c r="A694" s="193"/>
      <c r="B694" s="193"/>
      <c r="C694" s="193"/>
      <c r="D694" s="193"/>
      <c r="E694" s="193"/>
      <c r="F694" s="193"/>
      <c r="G694" s="193"/>
      <c r="H694" s="193"/>
    </row>
    <row r="695" spans="1:8" ht="15.6">
      <c r="A695" s="193"/>
      <c r="B695" s="193"/>
      <c r="C695" s="193"/>
      <c r="D695" s="193"/>
      <c r="E695" s="193"/>
      <c r="F695" s="193"/>
      <c r="G695" s="193"/>
      <c r="H695" s="193"/>
    </row>
    <row r="696" spans="1:8" ht="15.6">
      <c r="A696" s="193"/>
      <c r="B696" s="193"/>
      <c r="C696" s="193"/>
      <c r="D696" s="193"/>
      <c r="E696" s="193"/>
      <c r="F696" s="193"/>
      <c r="G696" s="193"/>
      <c r="H696" s="193"/>
    </row>
    <row r="697" spans="1:8" ht="15.6">
      <c r="A697" s="193"/>
      <c r="B697" s="193"/>
      <c r="C697" s="193"/>
      <c r="D697" s="193"/>
      <c r="E697" s="193"/>
      <c r="F697" s="193"/>
      <c r="G697" s="193"/>
      <c r="H697" s="193"/>
    </row>
    <row r="698" spans="1:8" ht="15.6">
      <c r="A698" s="193"/>
      <c r="B698" s="193"/>
      <c r="C698" s="193"/>
      <c r="D698" s="193"/>
      <c r="E698" s="193"/>
      <c r="F698" s="193"/>
      <c r="G698" s="193"/>
      <c r="H698" s="193"/>
    </row>
    <row r="699" spans="1:8" ht="15.6">
      <c r="A699" s="193"/>
      <c r="B699" s="193"/>
      <c r="C699" s="193"/>
      <c r="D699" s="193"/>
      <c r="E699" s="193"/>
      <c r="F699" s="193"/>
      <c r="G699" s="193"/>
      <c r="H699" s="193"/>
    </row>
    <row r="700" spans="1:8" ht="15.6">
      <c r="A700" s="193"/>
      <c r="B700" s="193"/>
      <c r="C700" s="193"/>
      <c r="D700" s="193"/>
      <c r="E700" s="193"/>
      <c r="F700" s="193"/>
      <c r="G700" s="193"/>
      <c r="H700" s="193"/>
    </row>
    <row r="701" spans="1:8" ht="15.6">
      <c r="A701" s="193"/>
      <c r="B701" s="193"/>
      <c r="C701" s="193"/>
      <c r="D701" s="193"/>
      <c r="E701" s="193"/>
      <c r="F701" s="193"/>
      <c r="G701" s="193"/>
      <c r="H701" s="193"/>
    </row>
    <row r="702" spans="1:8" ht="15.6">
      <c r="A702" s="193"/>
      <c r="B702" s="193"/>
      <c r="C702" s="193"/>
      <c r="D702" s="193"/>
      <c r="E702" s="193"/>
      <c r="F702" s="193"/>
      <c r="G702" s="193"/>
      <c r="H702" s="193"/>
    </row>
    <row r="703" spans="1:8" ht="15.6">
      <c r="A703" s="193"/>
      <c r="B703" s="193"/>
      <c r="C703" s="193"/>
      <c r="D703" s="193"/>
      <c r="E703" s="193"/>
      <c r="F703" s="193"/>
      <c r="G703" s="193"/>
      <c r="H703" s="193"/>
    </row>
    <row r="704" spans="1:8" ht="15.6">
      <c r="A704" s="193"/>
      <c r="B704" s="193"/>
      <c r="C704" s="193"/>
      <c r="D704" s="193"/>
      <c r="E704" s="193"/>
      <c r="F704" s="193"/>
      <c r="G704" s="193"/>
      <c r="H704" s="193"/>
    </row>
    <row r="705" spans="1:8" ht="15.6">
      <c r="A705" s="193"/>
      <c r="B705" s="193"/>
      <c r="C705" s="193"/>
      <c r="D705" s="193"/>
      <c r="E705" s="193"/>
      <c r="F705" s="193"/>
      <c r="G705" s="193"/>
      <c r="H705" s="193"/>
    </row>
    <row r="706" spans="1:8" ht="15.6">
      <c r="A706" s="193"/>
      <c r="B706" s="193"/>
      <c r="C706" s="193"/>
      <c r="D706" s="193"/>
      <c r="E706" s="193"/>
      <c r="F706" s="193"/>
      <c r="G706" s="193"/>
      <c r="H706" s="193"/>
    </row>
    <row r="707" spans="1:8" ht="15.6">
      <c r="A707" s="193"/>
      <c r="B707" s="193"/>
      <c r="C707" s="193"/>
      <c r="D707" s="193"/>
      <c r="E707" s="193"/>
      <c r="F707" s="193"/>
      <c r="G707" s="193"/>
      <c r="H707" s="193"/>
    </row>
    <row r="708" spans="1:8" ht="15.6">
      <c r="A708" s="193"/>
      <c r="B708" s="193"/>
      <c r="C708" s="193"/>
      <c r="D708" s="193"/>
      <c r="E708" s="193"/>
      <c r="F708" s="193"/>
      <c r="G708" s="193"/>
      <c r="H708" s="193"/>
    </row>
    <row r="709" spans="1:8" ht="15.6">
      <c r="A709" s="193"/>
      <c r="B709" s="193"/>
      <c r="C709" s="193"/>
      <c r="D709" s="193"/>
      <c r="E709" s="193"/>
      <c r="F709" s="193"/>
      <c r="G709" s="193"/>
      <c r="H709" s="193"/>
    </row>
    <row r="710" spans="1:8" ht="15.6">
      <c r="A710" s="193"/>
      <c r="B710" s="193"/>
      <c r="C710" s="193"/>
      <c r="D710" s="193"/>
      <c r="E710" s="193"/>
      <c r="F710" s="193"/>
      <c r="G710" s="193"/>
      <c r="H710" s="193"/>
    </row>
    <row r="711" spans="1:8" ht="15.6">
      <c r="A711" s="193"/>
      <c r="B711" s="193"/>
      <c r="C711" s="193"/>
      <c r="D711" s="193"/>
      <c r="E711" s="193"/>
      <c r="F711" s="193"/>
      <c r="G711" s="193"/>
      <c r="H711" s="193"/>
    </row>
    <row r="712" spans="1:8" ht="15.6">
      <c r="A712" s="193"/>
      <c r="B712" s="193"/>
      <c r="C712" s="193"/>
      <c r="D712" s="193"/>
      <c r="E712" s="193"/>
      <c r="F712" s="193"/>
      <c r="G712" s="193"/>
      <c r="H712" s="193"/>
    </row>
    <row r="713" spans="1:8" ht="15.6">
      <c r="A713" s="193"/>
      <c r="B713" s="193"/>
      <c r="C713" s="193"/>
      <c r="D713" s="193"/>
      <c r="E713" s="193"/>
      <c r="F713" s="193"/>
      <c r="G713" s="193"/>
      <c r="H713" s="193"/>
    </row>
    <row r="714" spans="1:8" ht="15.6">
      <c r="A714" s="193"/>
      <c r="B714" s="193"/>
      <c r="C714" s="193"/>
      <c r="D714" s="193"/>
      <c r="E714" s="193"/>
      <c r="F714" s="193"/>
      <c r="G714" s="193"/>
      <c r="H714" s="193"/>
    </row>
    <row r="715" spans="1:8" ht="15.6">
      <c r="A715" s="193"/>
      <c r="B715" s="193"/>
      <c r="C715" s="193"/>
      <c r="D715" s="193"/>
      <c r="E715" s="193"/>
      <c r="F715" s="193"/>
      <c r="G715" s="193"/>
      <c r="H715" s="193"/>
    </row>
    <row r="716" spans="1:8" ht="15.6">
      <c r="A716" s="193"/>
      <c r="B716" s="193"/>
      <c r="C716" s="193"/>
      <c r="D716" s="193"/>
      <c r="E716" s="193"/>
      <c r="F716" s="193"/>
      <c r="G716" s="193"/>
      <c r="H716" s="193"/>
    </row>
    <row r="717" spans="1:8" ht="15.6">
      <c r="A717" s="193"/>
      <c r="B717" s="193"/>
      <c r="C717" s="193"/>
      <c r="D717" s="193"/>
      <c r="E717" s="193"/>
      <c r="F717" s="193"/>
      <c r="G717" s="193"/>
      <c r="H717" s="193"/>
    </row>
    <row r="718" spans="1:8" ht="15.6">
      <c r="A718" s="193"/>
      <c r="B718" s="193"/>
      <c r="C718" s="193"/>
      <c r="D718" s="193"/>
      <c r="E718" s="193"/>
      <c r="F718" s="193"/>
      <c r="G718" s="193"/>
      <c r="H718" s="193"/>
    </row>
    <row r="719" spans="1:8" ht="15.6">
      <c r="A719" s="193"/>
      <c r="B719" s="193"/>
      <c r="C719" s="193"/>
      <c r="D719" s="193"/>
      <c r="E719" s="193"/>
      <c r="F719" s="193"/>
      <c r="G719" s="193"/>
      <c r="H719" s="193"/>
    </row>
    <row r="720" spans="1:8" ht="15.6">
      <c r="A720" s="193"/>
      <c r="B720" s="193"/>
      <c r="C720" s="193"/>
      <c r="D720" s="193"/>
      <c r="E720" s="193"/>
      <c r="F720" s="193"/>
      <c r="G720" s="193"/>
      <c r="H720" s="193"/>
    </row>
    <row r="721" spans="1:8" ht="15.6">
      <c r="A721" s="193"/>
      <c r="B721" s="193"/>
      <c r="C721" s="193"/>
      <c r="D721" s="193"/>
      <c r="E721" s="193"/>
      <c r="F721" s="193"/>
      <c r="G721" s="193"/>
      <c r="H721" s="193"/>
    </row>
    <row r="722" spans="1:8" ht="15.6">
      <c r="A722" s="193"/>
      <c r="B722" s="193"/>
      <c r="C722" s="193"/>
      <c r="D722" s="193"/>
      <c r="E722" s="193"/>
      <c r="F722" s="193"/>
      <c r="G722" s="193"/>
      <c r="H722" s="193"/>
    </row>
    <row r="723" spans="1:8" ht="15.6">
      <c r="A723" s="193"/>
      <c r="B723" s="193"/>
      <c r="C723" s="193"/>
      <c r="D723" s="193"/>
      <c r="E723" s="193"/>
      <c r="F723" s="193"/>
      <c r="G723" s="193"/>
      <c r="H723" s="193"/>
    </row>
    <row r="724" spans="1:8" ht="15.6">
      <c r="A724" s="193"/>
      <c r="B724" s="193"/>
      <c r="C724" s="193"/>
      <c r="D724" s="193"/>
      <c r="E724" s="193"/>
      <c r="F724" s="193"/>
      <c r="G724" s="193"/>
      <c r="H724" s="193"/>
    </row>
    <row r="725" spans="1:8" ht="15.6">
      <c r="A725" s="193"/>
      <c r="B725" s="193"/>
      <c r="C725" s="193"/>
      <c r="D725" s="193"/>
      <c r="E725" s="193"/>
      <c r="F725" s="193"/>
      <c r="G725" s="193"/>
      <c r="H725" s="193"/>
    </row>
    <row r="726" spans="1:8" ht="15.6">
      <c r="A726" s="193"/>
      <c r="B726" s="193"/>
      <c r="C726" s="193"/>
      <c r="D726" s="193"/>
      <c r="E726" s="193"/>
      <c r="F726" s="193"/>
      <c r="G726" s="193"/>
      <c r="H726" s="193"/>
    </row>
    <row r="727" spans="1:8" ht="15.6">
      <c r="A727" s="193"/>
      <c r="B727" s="193"/>
      <c r="C727" s="193"/>
      <c r="D727" s="193"/>
      <c r="E727" s="193"/>
      <c r="F727" s="193"/>
      <c r="G727" s="193"/>
      <c r="H727" s="193"/>
    </row>
    <row r="728" spans="1:8" ht="15.6">
      <c r="A728" s="193"/>
      <c r="B728" s="193"/>
      <c r="C728" s="193"/>
      <c r="D728" s="193"/>
      <c r="E728" s="193"/>
      <c r="F728" s="193"/>
      <c r="G728" s="193"/>
      <c r="H728" s="193"/>
    </row>
    <row r="729" spans="1:8" ht="15.6">
      <c r="A729" s="193"/>
      <c r="B729" s="193"/>
      <c r="C729" s="193"/>
      <c r="D729" s="193"/>
      <c r="E729" s="193"/>
      <c r="F729" s="193"/>
      <c r="G729" s="193"/>
      <c r="H729" s="193"/>
    </row>
    <row r="730" spans="1:8" ht="15.6">
      <c r="A730" s="193"/>
      <c r="B730" s="193"/>
      <c r="C730" s="193"/>
      <c r="D730" s="193"/>
      <c r="E730" s="193"/>
      <c r="F730" s="193"/>
      <c r="G730" s="193"/>
      <c r="H730" s="193"/>
    </row>
    <row r="731" spans="1:8" ht="15.6">
      <c r="A731" s="193"/>
      <c r="B731" s="193"/>
      <c r="C731" s="193"/>
      <c r="D731" s="193"/>
      <c r="E731" s="193"/>
      <c r="F731" s="193"/>
      <c r="G731" s="193"/>
      <c r="H731" s="193"/>
    </row>
    <row r="732" spans="1:8" ht="15.6">
      <c r="A732" s="193"/>
      <c r="B732" s="193"/>
      <c r="C732" s="193"/>
      <c r="D732" s="193"/>
      <c r="E732" s="193"/>
      <c r="F732" s="193"/>
      <c r="G732" s="193"/>
      <c r="H732" s="193"/>
    </row>
    <row r="733" spans="1:8" ht="15.6">
      <c r="A733" s="193"/>
      <c r="B733" s="193"/>
      <c r="C733" s="193"/>
      <c r="D733" s="193"/>
      <c r="E733" s="193"/>
      <c r="F733" s="193"/>
      <c r="G733" s="193"/>
      <c r="H733" s="193"/>
    </row>
    <row r="734" spans="1:8" ht="15.6">
      <c r="A734" s="193"/>
      <c r="B734" s="193"/>
      <c r="C734" s="193"/>
      <c r="D734" s="193"/>
      <c r="E734" s="193"/>
      <c r="F734" s="193"/>
      <c r="G734" s="193"/>
      <c r="H734" s="193"/>
    </row>
    <row r="735" spans="1:8" ht="15.6">
      <c r="A735" s="193"/>
      <c r="B735" s="193"/>
      <c r="C735" s="193"/>
      <c r="D735" s="193"/>
      <c r="E735" s="193"/>
      <c r="F735" s="193"/>
      <c r="G735" s="193"/>
      <c r="H735" s="193"/>
    </row>
    <row r="736" spans="1:8" ht="15.6">
      <c r="A736" s="193"/>
      <c r="B736" s="193"/>
      <c r="C736" s="193"/>
      <c r="D736" s="193"/>
      <c r="E736" s="193"/>
      <c r="F736" s="193"/>
      <c r="G736" s="193"/>
      <c r="H736" s="193"/>
    </row>
    <row r="737" spans="1:8" ht="15.6">
      <c r="A737" s="193"/>
      <c r="B737" s="193"/>
      <c r="C737" s="193"/>
      <c r="D737" s="193"/>
      <c r="E737" s="193"/>
      <c r="F737" s="193"/>
      <c r="G737" s="193"/>
      <c r="H737" s="193"/>
    </row>
    <row r="738" spans="1:8" ht="15.6">
      <c r="A738" s="193"/>
      <c r="B738" s="193"/>
      <c r="C738" s="193"/>
      <c r="D738" s="193"/>
      <c r="E738" s="193"/>
      <c r="F738" s="193"/>
      <c r="G738" s="193"/>
      <c r="H738" s="193"/>
    </row>
    <row r="739" spans="1:8" ht="15.6">
      <c r="A739" s="193"/>
      <c r="B739" s="193"/>
      <c r="C739" s="193"/>
      <c r="D739" s="193"/>
      <c r="E739" s="193"/>
      <c r="F739" s="193"/>
      <c r="G739" s="193"/>
      <c r="H739" s="193"/>
    </row>
    <row r="740" spans="1:8" ht="15.6">
      <c r="A740" s="193"/>
      <c r="B740" s="193"/>
      <c r="C740" s="193"/>
      <c r="D740" s="193"/>
      <c r="E740" s="193"/>
      <c r="F740" s="193"/>
      <c r="G740" s="193"/>
      <c r="H740" s="193"/>
    </row>
    <row r="741" spans="1:8" ht="15.6">
      <c r="A741" s="193"/>
      <c r="B741" s="193"/>
      <c r="C741" s="193"/>
      <c r="D741" s="193"/>
      <c r="E741" s="193"/>
      <c r="F741" s="193"/>
      <c r="G741" s="193"/>
      <c r="H741" s="193"/>
    </row>
    <row r="742" spans="1:8" ht="15.6">
      <c r="A742" s="193"/>
      <c r="B742" s="193"/>
      <c r="C742" s="193"/>
      <c r="D742" s="193"/>
      <c r="E742" s="193"/>
      <c r="F742" s="193"/>
      <c r="G742" s="193"/>
      <c r="H742" s="193"/>
    </row>
    <row r="743" spans="1:8" ht="15.6">
      <c r="A743" s="193"/>
      <c r="B743" s="193"/>
      <c r="C743" s="193"/>
      <c r="D743" s="193"/>
      <c r="E743" s="193"/>
      <c r="F743" s="193"/>
      <c r="G743" s="193"/>
      <c r="H743" s="193"/>
    </row>
    <row r="744" spans="1:8" ht="15.6">
      <c r="A744" s="193"/>
      <c r="B744" s="193"/>
      <c r="C744" s="193"/>
      <c r="D744" s="193"/>
      <c r="E744" s="193"/>
      <c r="F744" s="193"/>
      <c r="G744" s="193"/>
      <c r="H744" s="193"/>
    </row>
    <row r="745" spans="1:8" ht="15.6">
      <c r="A745" s="193"/>
      <c r="B745" s="193"/>
      <c r="C745" s="193"/>
      <c r="D745" s="193"/>
      <c r="E745" s="193"/>
      <c r="F745" s="193"/>
      <c r="G745" s="193"/>
      <c r="H745" s="193"/>
    </row>
    <row r="746" spans="1:8" ht="15.6">
      <c r="A746" s="193"/>
      <c r="B746" s="193"/>
      <c r="C746" s="193"/>
      <c r="D746" s="193"/>
      <c r="E746" s="193"/>
      <c r="F746" s="193"/>
      <c r="G746" s="193"/>
      <c r="H746" s="193"/>
    </row>
    <row r="747" spans="1:8" ht="15.6">
      <c r="A747" s="193"/>
      <c r="B747" s="193"/>
      <c r="C747" s="193"/>
      <c r="D747" s="193"/>
      <c r="E747" s="193"/>
      <c r="F747" s="193"/>
      <c r="G747" s="193"/>
      <c r="H747" s="193"/>
    </row>
    <row r="748" spans="1:8" ht="15.6">
      <c r="A748" s="193"/>
      <c r="B748" s="193"/>
      <c r="C748" s="193"/>
      <c r="D748" s="193"/>
      <c r="E748" s="193"/>
      <c r="F748" s="193"/>
      <c r="G748" s="193"/>
      <c r="H748" s="193"/>
    </row>
    <row r="749" spans="1:8" ht="15.6">
      <c r="A749" s="193"/>
      <c r="B749" s="193"/>
      <c r="C749" s="193"/>
      <c r="D749" s="193"/>
      <c r="E749" s="193"/>
      <c r="F749" s="193"/>
      <c r="G749" s="193"/>
      <c r="H749" s="193"/>
    </row>
    <row r="750" spans="1:8" ht="15.6">
      <c r="A750" s="193"/>
      <c r="B750" s="193"/>
      <c r="C750" s="193"/>
      <c r="D750" s="193"/>
      <c r="E750" s="193"/>
      <c r="F750" s="193"/>
      <c r="G750" s="193"/>
      <c r="H750" s="193"/>
    </row>
    <row r="751" spans="1:8" ht="15.6">
      <c r="A751" s="193"/>
      <c r="B751" s="193"/>
      <c r="C751" s="193"/>
      <c r="D751" s="193"/>
      <c r="E751" s="193"/>
      <c r="F751" s="193"/>
      <c r="G751" s="193"/>
      <c r="H751" s="193"/>
    </row>
    <row r="752" spans="1:8" ht="15.6">
      <c r="A752" s="193"/>
      <c r="B752" s="193"/>
      <c r="C752" s="193"/>
      <c r="D752" s="193"/>
      <c r="E752" s="193"/>
      <c r="F752" s="193"/>
      <c r="G752" s="193"/>
      <c r="H752" s="193"/>
    </row>
    <row r="753" spans="1:8" ht="15.6">
      <c r="A753" s="193"/>
      <c r="B753" s="193"/>
      <c r="C753" s="193"/>
      <c r="D753" s="193"/>
      <c r="E753" s="193"/>
      <c r="F753" s="193"/>
      <c r="G753" s="193"/>
      <c r="H753" s="193"/>
    </row>
    <row r="754" spans="1:8" ht="15.6">
      <c r="A754" s="193"/>
      <c r="B754" s="193"/>
      <c r="C754" s="193"/>
      <c r="D754" s="193"/>
      <c r="E754" s="193"/>
      <c r="F754" s="193"/>
      <c r="G754" s="193"/>
      <c r="H754" s="193"/>
    </row>
    <row r="755" spans="1:8" ht="15.6">
      <c r="A755" s="193"/>
      <c r="B755" s="193"/>
      <c r="C755" s="193"/>
      <c r="D755" s="193"/>
      <c r="E755" s="193"/>
      <c r="F755" s="193"/>
      <c r="G755" s="193"/>
      <c r="H755" s="193"/>
    </row>
    <row r="756" spans="1:8" ht="15.6">
      <c r="A756" s="193"/>
      <c r="B756" s="193"/>
      <c r="C756" s="193"/>
      <c r="D756" s="193"/>
      <c r="E756" s="193"/>
      <c r="F756" s="193"/>
      <c r="G756" s="193"/>
      <c r="H756" s="193"/>
    </row>
    <row r="757" spans="1:8" ht="15.6">
      <c r="A757" s="193"/>
      <c r="B757" s="193"/>
      <c r="C757" s="193"/>
      <c r="D757" s="193"/>
      <c r="E757" s="193"/>
      <c r="F757" s="193"/>
      <c r="G757" s="193"/>
      <c r="H757" s="193"/>
    </row>
    <row r="758" spans="1:8" ht="15.6">
      <c r="A758" s="193"/>
      <c r="B758" s="193"/>
      <c r="C758" s="193"/>
      <c r="D758" s="193"/>
      <c r="E758" s="193"/>
      <c r="F758" s="193"/>
      <c r="G758" s="193"/>
      <c r="H758" s="193"/>
    </row>
    <row r="759" spans="1:8" ht="15.6">
      <c r="A759" s="193"/>
      <c r="B759" s="193"/>
      <c r="C759" s="193"/>
      <c r="D759" s="193"/>
      <c r="E759" s="193"/>
      <c r="F759" s="193"/>
      <c r="G759" s="193"/>
      <c r="H759" s="193"/>
    </row>
    <row r="760" spans="1:8" ht="15.6">
      <c r="A760" s="193"/>
      <c r="B760" s="193"/>
      <c r="C760" s="193"/>
      <c r="D760" s="193"/>
      <c r="E760" s="193"/>
      <c r="F760" s="193"/>
      <c r="G760" s="193"/>
      <c r="H760" s="193"/>
    </row>
    <row r="761" spans="1:8" ht="15.6">
      <c r="A761" s="193"/>
      <c r="B761" s="193"/>
      <c r="C761" s="193"/>
      <c r="D761" s="193"/>
      <c r="E761" s="193"/>
      <c r="F761" s="193"/>
      <c r="G761" s="193"/>
      <c r="H761" s="193"/>
    </row>
    <row r="762" spans="1:8" ht="15.6">
      <c r="A762" s="193"/>
      <c r="B762" s="193"/>
      <c r="C762" s="193"/>
      <c r="D762" s="193"/>
      <c r="E762" s="193"/>
      <c r="F762" s="193"/>
      <c r="G762" s="193"/>
      <c r="H762" s="193"/>
    </row>
    <row r="763" spans="1:8" ht="15.6">
      <c r="A763" s="193"/>
      <c r="B763" s="193"/>
      <c r="C763" s="193"/>
      <c r="D763" s="193"/>
      <c r="E763" s="193"/>
      <c r="F763" s="193"/>
      <c r="G763" s="193"/>
      <c r="H763" s="193"/>
    </row>
    <row r="764" spans="1:8" ht="15.6">
      <c r="A764" s="193"/>
      <c r="B764" s="193"/>
      <c r="C764" s="193"/>
      <c r="D764" s="193"/>
      <c r="E764" s="193"/>
      <c r="F764" s="193"/>
      <c r="G764" s="193"/>
      <c r="H764" s="193"/>
    </row>
    <row r="765" spans="1:8" ht="15.6">
      <c r="A765" s="193"/>
      <c r="B765" s="193"/>
      <c r="C765" s="193"/>
      <c r="D765" s="193"/>
      <c r="E765" s="193"/>
      <c r="F765" s="193"/>
      <c r="G765" s="193"/>
      <c r="H765" s="193"/>
    </row>
    <row r="766" spans="1:8" ht="15.6">
      <c r="A766" s="193"/>
      <c r="B766" s="193"/>
      <c r="C766" s="193"/>
      <c r="D766" s="193"/>
      <c r="E766" s="193"/>
      <c r="F766" s="193"/>
      <c r="G766" s="193"/>
      <c r="H766" s="193"/>
    </row>
    <row r="767" spans="1:8" ht="15.6">
      <c r="A767" s="193"/>
      <c r="B767" s="193"/>
      <c r="C767" s="193"/>
      <c r="D767" s="193"/>
      <c r="E767" s="193"/>
      <c r="F767" s="193"/>
      <c r="G767" s="193"/>
      <c r="H767" s="193"/>
    </row>
    <row r="768" spans="1:8" ht="15.6">
      <c r="A768" s="193"/>
      <c r="B768" s="193"/>
      <c r="C768" s="193"/>
      <c r="D768" s="193"/>
      <c r="E768" s="193"/>
      <c r="F768" s="193"/>
      <c r="G768" s="193"/>
      <c r="H768" s="193"/>
    </row>
    <row r="769" spans="1:8" ht="15.6">
      <c r="A769" s="193"/>
      <c r="B769" s="193"/>
      <c r="C769" s="193"/>
      <c r="D769" s="193"/>
      <c r="E769" s="193"/>
      <c r="F769" s="193"/>
      <c r="G769" s="193"/>
      <c r="H769" s="193"/>
    </row>
    <row r="770" spans="1:8" ht="15.6">
      <c r="A770" s="193"/>
      <c r="B770" s="193"/>
      <c r="C770" s="193"/>
      <c r="D770" s="193"/>
      <c r="E770" s="193"/>
      <c r="F770" s="193"/>
      <c r="G770" s="193"/>
      <c r="H770" s="193"/>
    </row>
    <row r="771" spans="1:8" ht="15.6">
      <c r="A771" s="193"/>
      <c r="B771" s="193"/>
      <c r="C771" s="193"/>
      <c r="D771" s="193"/>
      <c r="E771" s="193"/>
      <c r="F771" s="193"/>
      <c r="G771" s="193"/>
      <c r="H771" s="193"/>
    </row>
    <row r="772" spans="1:8" ht="15.6">
      <c r="A772" s="193"/>
      <c r="B772" s="193"/>
      <c r="C772" s="193"/>
      <c r="D772" s="193"/>
      <c r="E772" s="193"/>
      <c r="F772" s="193"/>
      <c r="G772" s="193"/>
      <c r="H772" s="193"/>
    </row>
    <row r="773" spans="1:8" ht="15.6">
      <c r="A773" s="193"/>
      <c r="B773" s="193"/>
      <c r="C773" s="193"/>
      <c r="D773" s="193"/>
      <c r="E773" s="193"/>
      <c r="F773" s="193"/>
      <c r="G773" s="193"/>
      <c r="H773" s="193"/>
    </row>
    <row r="774" spans="1:8" ht="15.6">
      <c r="A774" s="193"/>
      <c r="B774" s="193"/>
      <c r="C774" s="193"/>
      <c r="D774" s="193"/>
      <c r="E774" s="193"/>
      <c r="F774" s="193"/>
      <c r="G774" s="193"/>
      <c r="H774" s="193"/>
    </row>
    <row r="775" spans="1:8" ht="15.6">
      <c r="A775" s="193"/>
      <c r="B775" s="193"/>
      <c r="C775" s="193"/>
      <c r="D775" s="193"/>
      <c r="E775" s="193"/>
      <c r="F775" s="193"/>
      <c r="G775" s="193"/>
      <c r="H775" s="193"/>
    </row>
    <row r="776" spans="1:8" ht="15.6">
      <c r="A776" s="193"/>
      <c r="B776" s="193"/>
      <c r="C776" s="193"/>
      <c r="D776" s="193"/>
      <c r="E776" s="193"/>
      <c r="F776" s="193"/>
      <c r="G776" s="193"/>
      <c r="H776" s="193"/>
    </row>
    <row r="777" spans="1:8" ht="15.6">
      <c r="A777" s="193"/>
      <c r="B777" s="193"/>
      <c r="C777" s="193"/>
      <c r="D777" s="193"/>
      <c r="E777" s="193"/>
      <c r="F777" s="193"/>
      <c r="G777" s="193"/>
      <c r="H777" s="193"/>
    </row>
    <row r="778" spans="1:8" ht="15.6">
      <c r="A778" s="193"/>
      <c r="B778" s="193"/>
      <c r="C778" s="193"/>
      <c r="D778" s="193"/>
      <c r="E778" s="193"/>
      <c r="F778" s="193"/>
      <c r="G778" s="193"/>
      <c r="H778" s="193"/>
    </row>
    <row r="779" spans="1:8" ht="15.6">
      <c r="A779" s="193"/>
      <c r="B779" s="193"/>
      <c r="C779" s="193"/>
      <c r="D779" s="193"/>
      <c r="E779" s="193"/>
      <c r="F779" s="193"/>
      <c r="G779" s="193"/>
      <c r="H779" s="193"/>
    </row>
    <row r="780" spans="1:8" ht="15.6">
      <c r="A780" s="193"/>
      <c r="B780" s="193"/>
      <c r="C780" s="193"/>
      <c r="D780" s="193"/>
      <c r="E780" s="193"/>
      <c r="F780" s="193"/>
      <c r="G780" s="193"/>
      <c r="H780" s="193"/>
    </row>
    <row r="781" spans="1:8" ht="15.6">
      <c r="A781" s="193"/>
      <c r="B781" s="193"/>
      <c r="C781" s="193"/>
      <c r="D781" s="193"/>
      <c r="E781" s="193"/>
      <c r="F781" s="193"/>
      <c r="G781" s="193"/>
      <c r="H781" s="193"/>
    </row>
    <row r="782" spans="1:8" ht="15.6">
      <c r="A782" s="193"/>
      <c r="B782" s="193"/>
      <c r="C782" s="193"/>
      <c r="D782" s="193"/>
      <c r="E782" s="193"/>
      <c r="F782" s="193"/>
      <c r="G782" s="193"/>
      <c r="H782" s="193"/>
    </row>
    <row r="783" spans="1:8" ht="15.6">
      <c r="A783" s="193"/>
      <c r="B783" s="193"/>
      <c r="C783" s="193"/>
      <c r="D783" s="193"/>
      <c r="E783" s="193"/>
      <c r="F783" s="193"/>
      <c r="G783" s="193"/>
      <c r="H783" s="193"/>
    </row>
    <row r="784" spans="1:8" ht="15.6">
      <c r="A784" s="193"/>
      <c r="B784" s="193"/>
      <c r="C784" s="193"/>
      <c r="D784" s="193"/>
      <c r="E784" s="193"/>
      <c r="F784" s="193"/>
      <c r="G784" s="193"/>
      <c r="H784" s="193"/>
    </row>
    <row r="785" spans="1:8" ht="15.6">
      <c r="A785" s="193"/>
      <c r="B785" s="193"/>
      <c r="C785" s="193"/>
      <c r="D785" s="193"/>
      <c r="E785" s="193"/>
      <c r="F785" s="193"/>
      <c r="G785" s="193"/>
      <c r="H785" s="193"/>
    </row>
    <row r="786" spans="1:8" ht="15.6">
      <c r="A786" s="193"/>
      <c r="B786" s="193"/>
      <c r="C786" s="193"/>
      <c r="D786" s="193"/>
      <c r="E786" s="193"/>
      <c r="F786" s="193"/>
      <c r="G786" s="193"/>
      <c r="H786" s="193"/>
    </row>
    <row r="787" spans="1:8" ht="15.6">
      <c r="A787" s="193"/>
      <c r="B787" s="193"/>
      <c r="C787" s="193"/>
      <c r="D787" s="193"/>
      <c r="E787" s="193"/>
      <c r="F787" s="193"/>
      <c r="G787" s="193"/>
      <c r="H787" s="193"/>
    </row>
    <row r="788" spans="1:8" ht="15.6">
      <c r="A788" s="193"/>
      <c r="B788" s="193"/>
      <c r="C788" s="193"/>
      <c r="D788" s="193"/>
      <c r="E788" s="193"/>
      <c r="F788" s="193"/>
      <c r="G788" s="193"/>
      <c r="H788" s="193"/>
    </row>
    <row r="789" spans="1:8" ht="15.6">
      <c r="A789" s="193"/>
      <c r="B789" s="193"/>
      <c r="C789" s="193"/>
      <c r="D789" s="193"/>
      <c r="E789" s="193"/>
      <c r="F789" s="193"/>
      <c r="G789" s="193"/>
      <c r="H789" s="193"/>
    </row>
    <row r="790" spans="1:8" ht="15.6">
      <c r="A790" s="193"/>
      <c r="B790" s="193"/>
      <c r="C790" s="193"/>
      <c r="D790" s="193"/>
      <c r="E790" s="193"/>
      <c r="F790" s="193"/>
      <c r="G790" s="193"/>
      <c r="H790" s="193"/>
    </row>
    <row r="791" spans="1:8" ht="15.6">
      <c r="A791" s="193"/>
      <c r="B791" s="193"/>
      <c r="C791" s="193"/>
      <c r="D791" s="193"/>
      <c r="E791" s="193"/>
      <c r="F791" s="193"/>
      <c r="G791" s="193"/>
      <c r="H791" s="193"/>
    </row>
    <row r="792" spans="1:8" ht="15.6">
      <c r="A792" s="193"/>
      <c r="B792" s="193"/>
      <c r="C792" s="193"/>
      <c r="D792" s="193"/>
      <c r="E792" s="193"/>
      <c r="F792" s="193"/>
      <c r="G792" s="193"/>
      <c r="H792" s="193"/>
    </row>
    <row r="793" spans="1:8" ht="15.6">
      <c r="A793" s="193"/>
      <c r="B793" s="193"/>
      <c r="C793" s="193"/>
      <c r="D793" s="193"/>
      <c r="E793" s="193"/>
      <c r="F793" s="193"/>
      <c r="G793" s="193"/>
      <c r="H793" s="193"/>
    </row>
    <row r="794" spans="1:8" ht="15.6">
      <c r="A794" s="193"/>
      <c r="B794" s="193"/>
      <c r="C794" s="193"/>
      <c r="D794" s="193"/>
      <c r="E794" s="193"/>
      <c r="F794" s="193"/>
      <c r="G794" s="193"/>
      <c r="H794" s="193"/>
    </row>
    <row r="795" spans="1:8" ht="15.6">
      <c r="A795" s="193"/>
      <c r="B795" s="193"/>
      <c r="C795" s="193"/>
      <c r="D795" s="193"/>
      <c r="E795" s="193"/>
      <c r="F795" s="193"/>
      <c r="G795" s="193"/>
      <c r="H795" s="193"/>
    </row>
    <row r="796" spans="1:8" ht="15.6">
      <c r="A796" s="193"/>
      <c r="B796" s="193"/>
      <c r="C796" s="193"/>
      <c r="D796" s="193"/>
      <c r="E796" s="193"/>
      <c r="F796" s="193"/>
      <c r="G796" s="193"/>
      <c r="H796" s="193"/>
    </row>
    <row r="797" spans="1:8" ht="15.6">
      <c r="A797" s="193"/>
      <c r="B797" s="193"/>
      <c r="C797" s="193"/>
      <c r="D797" s="193"/>
      <c r="E797" s="193"/>
      <c r="F797" s="193"/>
      <c r="G797" s="193"/>
      <c r="H797" s="193"/>
    </row>
    <row r="798" spans="1:8" ht="15.6">
      <c r="A798" s="193"/>
      <c r="B798" s="193"/>
      <c r="C798" s="193"/>
      <c r="D798" s="193"/>
      <c r="E798" s="193"/>
      <c r="F798" s="193"/>
      <c r="G798" s="193"/>
      <c r="H798" s="193"/>
    </row>
    <row r="799" spans="1:8" ht="15.6">
      <c r="A799" s="193"/>
      <c r="B799" s="193"/>
      <c r="C799" s="193"/>
      <c r="D799" s="193"/>
      <c r="E799" s="193"/>
      <c r="F799" s="193"/>
      <c r="G799" s="193"/>
      <c r="H799" s="193"/>
    </row>
    <row r="800" spans="1:8" ht="15.6">
      <c r="A800" s="193"/>
      <c r="B800" s="193"/>
      <c r="C800" s="193"/>
      <c r="D800" s="193"/>
      <c r="E800" s="193"/>
      <c r="F800" s="193"/>
      <c r="G800" s="193"/>
      <c r="H800" s="193"/>
    </row>
    <row r="801" spans="1:8" ht="15.6">
      <c r="A801" s="193"/>
      <c r="B801" s="193"/>
      <c r="C801" s="193"/>
      <c r="D801" s="193"/>
      <c r="E801" s="193"/>
      <c r="F801" s="193"/>
      <c r="G801" s="193"/>
      <c r="H801" s="193"/>
    </row>
    <row r="802" spans="1:8" ht="15.6">
      <c r="A802" s="193"/>
      <c r="B802" s="193"/>
      <c r="C802" s="193"/>
      <c r="D802" s="193"/>
      <c r="E802" s="193"/>
      <c r="F802" s="193"/>
      <c r="G802" s="193"/>
      <c r="H802" s="193"/>
    </row>
    <row r="803" spans="1:8" ht="15.6">
      <c r="A803" s="193"/>
      <c r="B803" s="193"/>
      <c r="C803" s="193"/>
      <c r="D803" s="193"/>
      <c r="E803" s="193"/>
      <c r="F803" s="193"/>
      <c r="G803" s="193"/>
      <c r="H803" s="193"/>
    </row>
    <row r="804" spans="1:8" ht="15.6">
      <c r="A804" s="193"/>
      <c r="B804" s="193"/>
      <c r="C804" s="193"/>
      <c r="D804" s="193"/>
      <c r="E804" s="193"/>
      <c r="F804" s="193"/>
      <c r="G804" s="193"/>
      <c r="H804" s="193"/>
    </row>
    <row r="805" spans="1:8" ht="15.6">
      <c r="A805" s="193"/>
      <c r="B805" s="193"/>
      <c r="C805" s="193"/>
      <c r="D805" s="193"/>
      <c r="E805" s="193"/>
      <c r="F805" s="193"/>
      <c r="G805" s="193"/>
      <c r="H805" s="193"/>
    </row>
    <row r="806" spans="1:8" ht="15.6">
      <c r="A806" s="193"/>
      <c r="B806" s="193"/>
      <c r="C806" s="193"/>
      <c r="D806" s="193"/>
      <c r="E806" s="193"/>
      <c r="F806" s="193"/>
      <c r="G806" s="193"/>
      <c r="H806" s="193"/>
    </row>
    <row r="807" spans="1:8" ht="15.6">
      <c r="A807" s="193"/>
      <c r="B807" s="193"/>
      <c r="C807" s="193"/>
      <c r="D807" s="193"/>
      <c r="E807" s="193"/>
      <c r="F807" s="193"/>
      <c r="G807" s="193"/>
      <c r="H807" s="193"/>
    </row>
    <row r="808" spans="1:8" ht="15.6">
      <c r="A808" s="193"/>
      <c r="B808" s="193"/>
      <c r="C808" s="193"/>
      <c r="D808" s="193"/>
      <c r="E808" s="193"/>
      <c r="F808" s="193"/>
      <c r="G808" s="193"/>
      <c r="H808" s="193"/>
    </row>
    <row r="809" spans="1:8" ht="15.6">
      <c r="A809" s="193"/>
      <c r="B809" s="193"/>
      <c r="C809" s="193"/>
      <c r="D809" s="193"/>
      <c r="E809" s="193"/>
      <c r="F809" s="193"/>
      <c r="G809" s="193"/>
      <c r="H809" s="193"/>
    </row>
    <row r="810" spans="1:8" ht="15.6">
      <c r="A810" s="193"/>
      <c r="B810" s="193"/>
      <c r="C810" s="193"/>
      <c r="D810" s="193"/>
      <c r="E810" s="193"/>
      <c r="F810" s="193"/>
      <c r="G810" s="193"/>
      <c r="H810" s="193"/>
    </row>
    <row r="811" spans="1:8" ht="15.6">
      <c r="A811" s="193"/>
      <c r="B811" s="193"/>
      <c r="C811" s="193"/>
      <c r="D811" s="193"/>
      <c r="E811" s="193"/>
      <c r="F811" s="193"/>
      <c r="G811" s="193"/>
      <c r="H811" s="193"/>
    </row>
    <row r="812" spans="1:8" ht="15.6">
      <c r="A812" s="193"/>
      <c r="B812" s="193"/>
      <c r="C812" s="193"/>
      <c r="D812" s="193"/>
      <c r="E812" s="193"/>
      <c r="F812" s="193"/>
      <c r="G812" s="193"/>
      <c r="H812" s="193"/>
    </row>
    <row r="813" spans="1:8" ht="15.6">
      <c r="A813" s="193"/>
      <c r="B813" s="193"/>
      <c r="C813" s="193"/>
      <c r="D813" s="193"/>
      <c r="E813" s="193"/>
      <c r="F813" s="193"/>
      <c r="G813" s="193"/>
      <c r="H813" s="193"/>
    </row>
    <row r="814" spans="1:8" ht="15.6">
      <c r="A814" s="193"/>
      <c r="B814" s="193"/>
      <c r="C814" s="193"/>
      <c r="D814" s="193"/>
      <c r="E814" s="193"/>
      <c r="F814" s="193"/>
      <c r="G814" s="193"/>
      <c r="H814" s="193"/>
    </row>
    <row r="815" spans="1:8" ht="15.6">
      <c r="A815" s="193"/>
      <c r="B815" s="193"/>
      <c r="C815" s="193"/>
      <c r="D815" s="193"/>
      <c r="E815" s="193"/>
      <c r="F815" s="193"/>
      <c r="G815" s="193"/>
      <c r="H815" s="193"/>
    </row>
    <row r="816" spans="1:8" ht="15.6">
      <c r="A816" s="193"/>
      <c r="B816" s="193"/>
      <c r="C816" s="193"/>
      <c r="D816" s="193"/>
      <c r="E816" s="193"/>
      <c r="F816" s="193"/>
      <c r="G816" s="193"/>
      <c r="H816" s="193"/>
    </row>
    <row r="817" spans="1:8" ht="15.6">
      <c r="A817" s="193"/>
      <c r="B817" s="193"/>
      <c r="C817" s="193"/>
      <c r="D817" s="193"/>
      <c r="E817" s="193"/>
      <c r="F817" s="193"/>
      <c r="G817" s="193"/>
      <c r="H817" s="193"/>
    </row>
    <row r="818" spans="1:8" ht="15.6">
      <c r="A818" s="193"/>
      <c r="B818" s="193"/>
      <c r="C818" s="193"/>
      <c r="D818" s="193"/>
      <c r="E818" s="193"/>
      <c r="F818" s="193"/>
      <c r="G818" s="193"/>
      <c r="H818" s="193"/>
    </row>
    <row r="819" spans="1:8" ht="15.6">
      <c r="A819" s="193"/>
      <c r="B819" s="193"/>
      <c r="C819" s="193"/>
      <c r="D819" s="193"/>
      <c r="E819" s="193"/>
      <c r="F819" s="193"/>
      <c r="G819" s="193"/>
      <c r="H819" s="193"/>
    </row>
    <row r="820" spans="1:8" ht="15.6">
      <c r="A820" s="193"/>
      <c r="B820" s="193"/>
      <c r="C820" s="193"/>
      <c r="D820" s="193"/>
      <c r="E820" s="193"/>
      <c r="F820" s="193"/>
      <c r="G820" s="193"/>
      <c r="H820" s="193"/>
    </row>
    <row r="821" spans="1:8" ht="15.6">
      <c r="A821" s="193"/>
      <c r="B821" s="193"/>
      <c r="C821" s="193"/>
      <c r="D821" s="193"/>
      <c r="E821" s="193"/>
      <c r="F821" s="193"/>
      <c r="G821" s="193"/>
      <c r="H821" s="193"/>
    </row>
    <row r="822" spans="1:8" ht="15.6">
      <c r="A822" s="193"/>
      <c r="B822" s="193"/>
      <c r="C822" s="193"/>
      <c r="D822" s="193"/>
      <c r="E822" s="193"/>
      <c r="F822" s="193"/>
      <c r="G822" s="193"/>
      <c r="H822" s="193"/>
    </row>
    <row r="823" spans="1:8" ht="15.6">
      <c r="A823" s="193"/>
      <c r="B823" s="193"/>
      <c r="C823" s="193"/>
      <c r="D823" s="193"/>
      <c r="E823" s="193"/>
      <c r="F823" s="193"/>
      <c r="G823" s="193"/>
      <c r="H823" s="193"/>
    </row>
    <row r="824" spans="1:8" ht="15.6">
      <c r="A824" s="193"/>
      <c r="B824" s="193"/>
      <c r="C824" s="193"/>
      <c r="D824" s="193"/>
      <c r="E824" s="193"/>
      <c r="F824" s="193"/>
      <c r="G824" s="193"/>
      <c r="H824" s="193"/>
    </row>
    <row r="825" spans="1:8" ht="15.6">
      <c r="A825" s="193"/>
      <c r="B825" s="193"/>
      <c r="C825" s="193"/>
      <c r="D825" s="193"/>
      <c r="E825" s="193"/>
      <c r="F825" s="193"/>
      <c r="G825" s="193"/>
      <c r="H825" s="193"/>
    </row>
    <row r="826" spans="1:8" ht="15.6">
      <c r="A826" s="193"/>
      <c r="B826" s="193"/>
      <c r="C826" s="193"/>
      <c r="D826" s="193"/>
      <c r="E826" s="193"/>
      <c r="F826" s="193"/>
      <c r="G826" s="193"/>
      <c r="H826" s="193"/>
    </row>
    <row r="827" spans="1:8" ht="15.6">
      <c r="A827" s="193"/>
      <c r="B827" s="193"/>
      <c r="C827" s="193"/>
      <c r="D827" s="193"/>
      <c r="E827" s="193"/>
      <c r="F827" s="193"/>
      <c r="G827" s="193"/>
      <c r="H827" s="193"/>
    </row>
    <row r="828" spans="1:8" ht="15.6">
      <c r="A828" s="193"/>
      <c r="B828" s="193"/>
      <c r="C828" s="193"/>
      <c r="D828" s="193"/>
      <c r="E828" s="193"/>
      <c r="F828" s="193"/>
      <c r="G828" s="193"/>
      <c r="H828" s="193"/>
    </row>
    <row r="829" spans="1:8" ht="15.6">
      <c r="A829" s="193"/>
      <c r="B829" s="193"/>
      <c r="C829" s="193"/>
      <c r="D829" s="193"/>
      <c r="E829" s="193"/>
      <c r="F829" s="193"/>
      <c r="G829" s="193"/>
      <c r="H829" s="193"/>
    </row>
    <row r="830" spans="1:8" ht="15.6">
      <c r="A830" s="193"/>
      <c r="B830" s="193"/>
      <c r="C830" s="193"/>
      <c r="D830" s="193"/>
      <c r="E830" s="193"/>
      <c r="F830" s="193"/>
      <c r="G830" s="193"/>
      <c r="H830" s="193"/>
    </row>
    <row r="831" spans="1:8" ht="15.6">
      <c r="A831" s="193"/>
      <c r="B831" s="193"/>
      <c r="C831" s="193"/>
      <c r="D831" s="193"/>
      <c r="E831" s="193"/>
      <c r="F831" s="193"/>
      <c r="G831" s="193"/>
      <c r="H831" s="193"/>
    </row>
    <row r="832" spans="1:8" ht="15.6">
      <c r="A832" s="193"/>
      <c r="B832" s="193"/>
      <c r="C832" s="193"/>
      <c r="D832" s="193"/>
      <c r="E832" s="193"/>
      <c r="F832" s="193"/>
      <c r="G832" s="193"/>
      <c r="H832" s="193"/>
    </row>
    <row r="833" spans="1:8" ht="15.6">
      <c r="A833" s="193"/>
      <c r="B833" s="193"/>
      <c r="C833" s="193"/>
      <c r="D833" s="193"/>
      <c r="E833" s="193"/>
      <c r="F833" s="193"/>
      <c r="G833" s="193"/>
      <c r="H833" s="193"/>
    </row>
    <row r="834" spans="1:8" ht="15.6">
      <c r="A834" s="193"/>
      <c r="B834" s="193"/>
      <c r="C834" s="193"/>
      <c r="D834" s="193"/>
      <c r="E834" s="193"/>
      <c r="F834" s="193"/>
      <c r="G834" s="193"/>
      <c r="H834" s="193"/>
    </row>
    <row r="835" spans="1:8" ht="15.6">
      <c r="A835" s="193"/>
      <c r="B835" s="193"/>
      <c r="C835" s="193"/>
      <c r="D835" s="193"/>
      <c r="E835" s="193"/>
      <c r="F835" s="193"/>
      <c r="G835" s="193"/>
      <c r="H835" s="193"/>
    </row>
    <row r="836" spans="1:8" ht="15.6">
      <c r="A836" s="193"/>
      <c r="B836" s="193"/>
      <c r="C836" s="193"/>
      <c r="D836" s="193"/>
      <c r="E836" s="193"/>
      <c r="F836" s="193"/>
      <c r="G836" s="193"/>
      <c r="H836" s="193"/>
    </row>
    <row r="837" spans="1:8" ht="15.6">
      <c r="A837" s="193"/>
      <c r="B837" s="193"/>
      <c r="C837" s="193"/>
      <c r="D837" s="193"/>
      <c r="E837" s="193"/>
      <c r="F837" s="193"/>
      <c r="G837" s="193"/>
      <c r="H837" s="193"/>
    </row>
    <row r="838" spans="1:8" ht="15.6">
      <c r="A838" s="193"/>
      <c r="B838" s="193"/>
      <c r="C838" s="193"/>
      <c r="D838" s="193"/>
      <c r="E838" s="193"/>
      <c r="F838" s="193"/>
      <c r="G838" s="193"/>
      <c r="H838" s="193"/>
    </row>
    <row r="839" spans="1:8" ht="15.6">
      <c r="A839" s="193"/>
      <c r="B839" s="193"/>
      <c r="C839" s="193"/>
      <c r="D839" s="193"/>
      <c r="E839" s="193"/>
      <c r="F839" s="193"/>
      <c r="G839" s="193"/>
      <c r="H839" s="193"/>
    </row>
    <row r="840" spans="1:8" ht="15.6">
      <c r="A840" s="193"/>
      <c r="B840" s="193"/>
      <c r="C840" s="193"/>
      <c r="D840" s="193"/>
      <c r="E840" s="193"/>
      <c r="F840" s="193"/>
      <c r="G840" s="193"/>
      <c r="H840" s="193"/>
    </row>
    <row r="841" spans="1:8" ht="15.6">
      <c r="A841" s="193"/>
      <c r="B841" s="193"/>
      <c r="C841" s="193"/>
      <c r="D841" s="193"/>
      <c r="E841" s="193"/>
      <c r="F841" s="193"/>
      <c r="G841" s="193"/>
      <c r="H841" s="193"/>
    </row>
    <row r="842" spans="1:8" ht="15.6">
      <c r="A842" s="193"/>
      <c r="B842" s="193"/>
      <c r="C842" s="193"/>
      <c r="D842" s="193"/>
      <c r="E842" s="193"/>
      <c r="F842" s="193"/>
      <c r="G842" s="193"/>
      <c r="H842" s="193"/>
    </row>
    <row r="843" spans="1:8" ht="15.6">
      <c r="A843" s="193"/>
      <c r="B843" s="193"/>
      <c r="C843" s="193"/>
      <c r="D843" s="193"/>
      <c r="E843" s="193"/>
      <c r="F843" s="193"/>
      <c r="G843" s="193"/>
      <c r="H843" s="193"/>
    </row>
    <row r="844" spans="1:8" ht="15.6">
      <c r="A844" s="193"/>
      <c r="B844" s="193"/>
      <c r="C844" s="193"/>
      <c r="D844" s="193"/>
      <c r="E844" s="193"/>
      <c r="F844" s="193"/>
      <c r="G844" s="193"/>
      <c r="H844" s="193"/>
    </row>
    <row r="845" spans="1:8" ht="15.6">
      <c r="A845" s="193"/>
      <c r="B845" s="193"/>
      <c r="C845" s="193"/>
      <c r="D845" s="193"/>
      <c r="E845" s="193"/>
      <c r="F845" s="193"/>
      <c r="G845" s="193"/>
      <c r="H845" s="193"/>
    </row>
    <row r="846" spans="1:8" ht="15.6">
      <c r="A846" s="193"/>
      <c r="B846" s="193"/>
      <c r="C846" s="193"/>
      <c r="D846" s="193"/>
      <c r="E846" s="193"/>
      <c r="F846" s="193"/>
      <c r="G846" s="193"/>
      <c r="H846" s="193"/>
    </row>
    <row r="847" spans="1:8" ht="15.6">
      <c r="A847" s="193"/>
      <c r="B847" s="193"/>
      <c r="C847" s="193"/>
      <c r="D847" s="193"/>
      <c r="E847" s="193"/>
      <c r="F847" s="193"/>
      <c r="G847" s="193"/>
      <c r="H847" s="193"/>
    </row>
    <row r="848" spans="1:8" ht="15.6">
      <c r="A848" s="193"/>
      <c r="B848" s="193"/>
      <c r="C848" s="193"/>
      <c r="D848" s="193"/>
      <c r="E848" s="193"/>
      <c r="F848" s="193"/>
      <c r="G848" s="193"/>
      <c r="H848" s="193"/>
    </row>
    <row r="849" spans="1:8" ht="15.6">
      <c r="A849" s="193"/>
      <c r="B849" s="193"/>
      <c r="C849" s="193"/>
      <c r="D849" s="193"/>
      <c r="E849" s="193"/>
      <c r="F849" s="193"/>
      <c r="G849" s="193"/>
      <c r="H849" s="193"/>
    </row>
    <row r="850" spans="1:8" ht="15.6">
      <c r="A850" s="193"/>
      <c r="B850" s="193"/>
      <c r="C850" s="193"/>
      <c r="D850" s="193"/>
      <c r="E850" s="193"/>
      <c r="F850" s="193"/>
      <c r="G850" s="193"/>
      <c r="H850" s="193"/>
    </row>
    <row r="851" spans="1:8" ht="15.6">
      <c r="A851" s="193"/>
      <c r="B851" s="193"/>
      <c r="C851" s="193"/>
      <c r="D851" s="193"/>
      <c r="E851" s="193"/>
      <c r="F851" s="193"/>
      <c r="G851" s="193"/>
      <c r="H851" s="193"/>
    </row>
    <row r="852" spans="1:8" ht="15.6">
      <c r="A852" s="193"/>
      <c r="B852" s="193"/>
      <c r="C852" s="193"/>
      <c r="D852" s="193"/>
      <c r="E852" s="193"/>
      <c r="F852" s="193"/>
      <c r="G852" s="193"/>
      <c r="H852" s="193"/>
    </row>
    <row r="853" spans="1:8" ht="15.6">
      <c r="A853" s="193"/>
      <c r="B853" s="193"/>
      <c r="C853" s="193"/>
      <c r="D853" s="193"/>
      <c r="E853" s="193"/>
      <c r="F853" s="193"/>
      <c r="G853" s="193"/>
      <c r="H853" s="193"/>
    </row>
    <row r="854" spans="1:8" ht="15.6">
      <c r="A854" s="193"/>
      <c r="B854" s="193"/>
      <c r="C854" s="193"/>
      <c r="D854" s="193"/>
      <c r="E854" s="193"/>
      <c r="F854" s="193"/>
      <c r="G854" s="193"/>
      <c r="H854" s="193"/>
    </row>
    <row r="855" spans="1:8" ht="15.6">
      <c r="A855" s="193"/>
      <c r="B855" s="193"/>
      <c r="C855" s="193"/>
      <c r="D855" s="193"/>
      <c r="E855" s="193"/>
      <c r="F855" s="193"/>
      <c r="G855" s="193"/>
      <c r="H855" s="193"/>
    </row>
    <row r="856" spans="1:8" ht="15.6">
      <c r="A856" s="193"/>
      <c r="B856" s="193"/>
      <c r="C856" s="193"/>
      <c r="D856" s="193"/>
      <c r="E856" s="193"/>
      <c r="F856" s="193"/>
      <c r="G856" s="193"/>
      <c r="H856" s="193"/>
    </row>
    <row r="857" spans="1:8" ht="15.6">
      <c r="A857" s="193"/>
      <c r="B857" s="193"/>
      <c r="C857" s="193"/>
      <c r="D857" s="193"/>
      <c r="E857" s="193"/>
      <c r="F857" s="193"/>
      <c r="G857" s="193"/>
      <c r="H857" s="193"/>
    </row>
    <row r="858" spans="1:8" ht="15.6">
      <c r="A858" s="193"/>
      <c r="B858" s="193"/>
      <c r="C858" s="193"/>
      <c r="D858" s="193"/>
      <c r="E858" s="193"/>
      <c r="F858" s="193"/>
      <c r="G858" s="193"/>
      <c r="H858" s="193"/>
    </row>
    <row r="859" spans="1:8" ht="15.6">
      <c r="A859" s="193"/>
      <c r="B859" s="193"/>
      <c r="C859" s="193"/>
      <c r="D859" s="193"/>
      <c r="E859" s="193"/>
      <c r="F859" s="193"/>
      <c r="G859" s="193"/>
      <c r="H859" s="193"/>
    </row>
    <row r="860" spans="1:8" ht="15.6">
      <c r="A860" s="193"/>
      <c r="B860" s="193"/>
      <c r="C860" s="193"/>
      <c r="D860" s="193"/>
      <c r="E860" s="193"/>
      <c r="F860" s="193"/>
      <c r="G860" s="193"/>
      <c r="H860" s="193"/>
    </row>
    <row r="861" spans="1:8" ht="15.6">
      <c r="A861" s="193"/>
      <c r="B861" s="193"/>
      <c r="C861" s="193"/>
      <c r="D861" s="193"/>
      <c r="E861" s="193"/>
      <c r="F861" s="193"/>
      <c r="G861" s="193"/>
      <c r="H861" s="193"/>
    </row>
    <row r="862" spans="1:8" ht="15.6">
      <c r="A862" s="193"/>
      <c r="B862" s="193"/>
      <c r="C862" s="193"/>
      <c r="D862" s="193"/>
      <c r="E862" s="193"/>
      <c r="F862" s="193"/>
      <c r="G862" s="193"/>
      <c r="H862" s="193"/>
    </row>
    <row r="863" spans="1:8" ht="15.6">
      <c r="A863" s="193"/>
      <c r="B863" s="193"/>
      <c r="C863" s="193"/>
      <c r="D863" s="193"/>
      <c r="E863" s="193"/>
      <c r="F863" s="193"/>
      <c r="G863" s="193"/>
      <c r="H863" s="193"/>
    </row>
    <row r="864" spans="1:8" ht="15.6">
      <c r="A864" s="193"/>
      <c r="B864" s="193"/>
      <c r="C864" s="193"/>
      <c r="D864" s="193"/>
      <c r="E864" s="193"/>
      <c r="F864" s="193"/>
      <c r="G864" s="193"/>
      <c r="H864" s="193"/>
    </row>
    <row r="865" spans="1:8" ht="15.6">
      <c r="A865" s="193"/>
      <c r="B865" s="193"/>
      <c r="C865" s="193"/>
      <c r="D865" s="193"/>
      <c r="E865" s="193"/>
      <c r="F865" s="193"/>
      <c r="G865" s="193"/>
      <c r="H865" s="193"/>
    </row>
    <row r="866" spans="1:8" ht="15.6">
      <c r="A866" s="193"/>
      <c r="B866" s="193"/>
      <c r="C866" s="193"/>
      <c r="D866" s="193"/>
      <c r="E866" s="193"/>
      <c r="F866" s="193"/>
      <c r="G866" s="193"/>
      <c r="H866" s="193"/>
    </row>
    <row r="867" spans="1:8" ht="15.6">
      <c r="A867" s="193"/>
      <c r="B867" s="193"/>
      <c r="C867" s="193"/>
      <c r="D867" s="193"/>
      <c r="E867" s="193"/>
      <c r="F867" s="193"/>
      <c r="G867" s="193"/>
      <c r="H867" s="193"/>
    </row>
    <row r="868" spans="1:8" ht="15.6">
      <c r="A868" s="193"/>
      <c r="B868" s="193"/>
      <c r="C868" s="193"/>
      <c r="D868" s="193"/>
      <c r="E868" s="193"/>
      <c r="F868" s="193"/>
      <c r="G868" s="193"/>
      <c r="H868" s="193"/>
    </row>
    <row r="869" spans="1:8" ht="15.6">
      <c r="A869" s="193"/>
      <c r="B869" s="193"/>
      <c r="C869" s="193"/>
      <c r="D869" s="193"/>
      <c r="E869" s="193"/>
      <c r="F869" s="193"/>
      <c r="G869" s="193"/>
      <c r="H869" s="193"/>
    </row>
    <row r="870" spans="1:8" ht="15.6">
      <c r="A870" s="193"/>
      <c r="B870" s="193"/>
      <c r="C870" s="193"/>
      <c r="D870" s="193"/>
      <c r="E870" s="193"/>
      <c r="F870" s="193"/>
      <c r="G870" s="193"/>
      <c r="H870" s="193"/>
    </row>
    <row r="871" spans="1:8" ht="15.6">
      <c r="A871" s="193"/>
      <c r="B871" s="193"/>
      <c r="C871" s="193"/>
      <c r="D871" s="193"/>
      <c r="E871" s="193"/>
      <c r="F871" s="193"/>
      <c r="G871" s="193"/>
      <c r="H871" s="193"/>
    </row>
    <row r="872" spans="1:8" ht="15.6">
      <c r="A872" s="193"/>
      <c r="B872" s="193"/>
      <c r="C872" s="193"/>
      <c r="D872" s="193"/>
      <c r="E872" s="193"/>
      <c r="F872" s="193"/>
      <c r="G872" s="193"/>
      <c r="H872" s="193"/>
    </row>
    <row r="873" spans="1:8" ht="15.6">
      <c r="A873" s="193"/>
      <c r="B873" s="193"/>
      <c r="C873" s="193"/>
      <c r="D873" s="193"/>
      <c r="E873" s="193"/>
      <c r="F873" s="193"/>
      <c r="G873" s="193"/>
      <c r="H873" s="193"/>
    </row>
    <row r="874" spans="1:8" ht="15.6">
      <c r="A874" s="193"/>
      <c r="B874" s="193"/>
      <c r="C874" s="193"/>
      <c r="D874" s="193"/>
      <c r="E874" s="193"/>
      <c r="F874" s="193"/>
      <c r="G874" s="193"/>
      <c r="H874" s="193"/>
    </row>
    <row r="875" spans="1:8" ht="15.6">
      <c r="A875" s="193"/>
      <c r="B875" s="193"/>
      <c r="C875" s="193"/>
      <c r="D875" s="193"/>
      <c r="E875" s="193"/>
      <c r="F875" s="193"/>
      <c r="G875" s="193"/>
      <c r="H875" s="193"/>
    </row>
    <row r="876" spans="1:8" ht="15.6">
      <c r="A876" s="193"/>
      <c r="B876" s="193"/>
      <c r="C876" s="193"/>
      <c r="D876" s="193"/>
      <c r="E876" s="193"/>
      <c r="F876" s="193"/>
      <c r="G876" s="193"/>
      <c r="H876" s="193"/>
    </row>
    <row r="877" spans="1:8" ht="15.6">
      <c r="A877" s="193"/>
      <c r="B877" s="193"/>
      <c r="C877" s="193"/>
      <c r="D877" s="193"/>
      <c r="E877" s="193"/>
      <c r="F877" s="193"/>
      <c r="G877" s="193"/>
      <c r="H877" s="193"/>
    </row>
    <row r="878" spans="1:8" ht="15.6">
      <c r="A878" s="193"/>
      <c r="B878" s="193"/>
      <c r="C878" s="193"/>
      <c r="D878" s="193"/>
      <c r="E878" s="193"/>
      <c r="F878" s="193"/>
      <c r="G878" s="193"/>
      <c r="H878" s="193"/>
    </row>
    <row r="879" spans="1:8" ht="15.6">
      <c r="A879" s="193"/>
      <c r="B879" s="193"/>
      <c r="C879" s="193"/>
      <c r="D879" s="193"/>
      <c r="E879" s="193"/>
      <c r="F879" s="193"/>
      <c r="G879" s="193"/>
      <c r="H879" s="193"/>
    </row>
    <row r="880" spans="1:8" ht="15.6">
      <c r="A880" s="193"/>
      <c r="B880" s="193"/>
      <c r="C880" s="193"/>
      <c r="D880" s="193"/>
      <c r="E880" s="193"/>
      <c r="F880" s="193"/>
      <c r="G880" s="193"/>
      <c r="H880" s="193"/>
    </row>
    <row r="881" spans="1:8" ht="15.6">
      <c r="A881" s="193"/>
      <c r="B881" s="193"/>
      <c r="C881" s="193"/>
      <c r="D881" s="193"/>
      <c r="E881" s="193"/>
      <c r="F881" s="193"/>
      <c r="G881" s="193"/>
      <c r="H881" s="193"/>
    </row>
    <row r="882" spans="1:8" ht="15.6">
      <c r="A882" s="193"/>
      <c r="B882" s="193"/>
      <c r="C882" s="193"/>
      <c r="D882" s="193"/>
      <c r="E882" s="193"/>
      <c r="F882" s="193"/>
      <c r="G882" s="193"/>
      <c r="H882" s="193"/>
    </row>
    <row r="883" spans="1:8" ht="15.6">
      <c r="A883" s="193"/>
      <c r="B883" s="193"/>
      <c r="C883" s="193"/>
      <c r="D883" s="193"/>
      <c r="E883" s="193"/>
      <c r="F883" s="193"/>
      <c r="G883" s="193"/>
      <c r="H883" s="193"/>
    </row>
    <row r="884" spans="1:8" ht="15.6">
      <c r="A884" s="193"/>
      <c r="B884" s="193"/>
      <c r="C884" s="193"/>
      <c r="D884" s="193"/>
      <c r="E884" s="193"/>
      <c r="F884" s="193"/>
      <c r="G884" s="193"/>
      <c r="H884" s="193"/>
    </row>
    <row r="885" spans="1:8" ht="15.6">
      <c r="A885" s="193"/>
      <c r="B885" s="193"/>
      <c r="C885" s="193"/>
      <c r="D885" s="193"/>
      <c r="E885" s="193"/>
      <c r="F885" s="193"/>
      <c r="G885" s="193"/>
      <c r="H885" s="193"/>
    </row>
    <row r="886" spans="1:8" ht="15.6">
      <c r="A886" s="193"/>
      <c r="B886" s="193"/>
      <c r="C886" s="193"/>
      <c r="D886" s="193"/>
      <c r="E886" s="193"/>
      <c r="F886" s="193"/>
      <c r="G886" s="193"/>
      <c r="H886" s="193"/>
    </row>
    <row r="887" spans="1:8" ht="15.6">
      <c r="A887" s="193"/>
      <c r="B887" s="193"/>
      <c r="C887" s="193"/>
      <c r="D887" s="193"/>
      <c r="E887" s="193"/>
      <c r="F887" s="193"/>
      <c r="G887" s="193"/>
      <c r="H887" s="193"/>
    </row>
    <row r="888" spans="1:8" ht="15.6">
      <c r="A888" s="193"/>
      <c r="B888" s="193"/>
      <c r="C888" s="193"/>
      <c r="D888" s="193"/>
      <c r="E888" s="193"/>
      <c r="F888" s="193"/>
      <c r="G888" s="193"/>
      <c r="H888" s="193"/>
    </row>
    <row r="889" spans="1:8" ht="15.6">
      <c r="A889" s="193"/>
      <c r="B889" s="193"/>
      <c r="C889" s="193"/>
      <c r="D889" s="193"/>
      <c r="E889" s="193"/>
      <c r="F889" s="193"/>
      <c r="G889" s="193"/>
      <c r="H889" s="193"/>
    </row>
    <row r="890" spans="1:8" ht="15.6">
      <c r="A890" s="193"/>
      <c r="B890" s="193"/>
      <c r="C890" s="193"/>
      <c r="D890" s="193"/>
      <c r="E890" s="193"/>
      <c r="F890" s="193"/>
      <c r="G890" s="193"/>
      <c r="H890" s="193"/>
    </row>
    <row r="891" spans="1:8" ht="15.6">
      <c r="A891" s="193"/>
      <c r="B891" s="193"/>
      <c r="C891" s="193"/>
      <c r="D891" s="193"/>
      <c r="E891" s="193"/>
      <c r="F891" s="193"/>
      <c r="G891" s="193"/>
      <c r="H891" s="193"/>
    </row>
    <row r="892" spans="1:8" ht="15.6">
      <c r="A892" s="193"/>
      <c r="B892" s="193"/>
      <c r="C892" s="193"/>
      <c r="D892" s="193"/>
      <c r="E892" s="193"/>
      <c r="F892" s="193"/>
      <c r="G892" s="193"/>
      <c r="H892" s="193"/>
    </row>
    <row r="893" spans="1:8" ht="15.6">
      <c r="A893" s="193"/>
      <c r="B893" s="193"/>
      <c r="C893" s="193"/>
      <c r="D893" s="193"/>
      <c r="E893" s="193"/>
      <c r="F893" s="193"/>
      <c r="G893" s="193"/>
      <c r="H893" s="193"/>
    </row>
    <row r="894" spans="1:8" ht="15.6">
      <c r="A894" s="193"/>
      <c r="B894" s="193"/>
      <c r="C894" s="193"/>
      <c r="D894" s="193"/>
      <c r="E894" s="193"/>
      <c r="F894" s="193"/>
      <c r="G894" s="193"/>
      <c r="H894" s="193"/>
    </row>
    <row r="895" spans="1:8" ht="15.6">
      <c r="A895" s="193"/>
      <c r="B895" s="193"/>
      <c r="C895" s="193"/>
      <c r="D895" s="193"/>
      <c r="E895" s="193"/>
      <c r="F895" s="193"/>
      <c r="G895" s="193"/>
      <c r="H895" s="193"/>
    </row>
    <row r="896" spans="1:8" ht="15.6">
      <c r="A896" s="193"/>
      <c r="B896" s="193"/>
      <c r="C896" s="193"/>
      <c r="D896" s="193"/>
      <c r="E896" s="193"/>
      <c r="F896" s="193"/>
      <c r="G896" s="193"/>
      <c r="H896" s="193"/>
    </row>
    <row r="897" spans="1:8" ht="15.6">
      <c r="A897" s="193"/>
      <c r="B897" s="193"/>
      <c r="C897" s="193"/>
      <c r="D897" s="193"/>
      <c r="E897" s="193"/>
      <c r="F897" s="193"/>
      <c r="G897" s="193"/>
      <c r="H897" s="193"/>
    </row>
    <row r="898" spans="1:8" ht="15.6">
      <c r="A898" s="193"/>
      <c r="B898" s="193"/>
      <c r="C898" s="193"/>
      <c r="D898" s="193"/>
      <c r="E898" s="193"/>
      <c r="F898" s="193"/>
      <c r="G898" s="193"/>
      <c r="H898" s="193"/>
    </row>
    <row r="899" spans="1:8" ht="15.6">
      <c r="A899" s="193"/>
      <c r="B899" s="193"/>
      <c r="C899" s="193"/>
      <c r="D899" s="193"/>
      <c r="E899" s="193"/>
      <c r="F899" s="193"/>
      <c r="G899" s="193"/>
      <c r="H899" s="193"/>
    </row>
    <row r="900" spans="1:8" ht="15.6">
      <c r="A900" s="193"/>
      <c r="B900" s="193"/>
      <c r="C900" s="193"/>
      <c r="D900" s="193"/>
      <c r="E900" s="193"/>
      <c r="F900" s="193"/>
      <c r="G900" s="193"/>
      <c r="H900" s="193"/>
    </row>
    <row r="901" spans="1:8" ht="15.6">
      <c r="A901" s="193"/>
      <c r="B901" s="193"/>
      <c r="C901" s="193"/>
      <c r="D901" s="193"/>
      <c r="E901" s="193"/>
      <c r="F901" s="193"/>
      <c r="G901" s="193"/>
      <c r="H901" s="193"/>
    </row>
    <row r="902" spans="1:8" ht="15.6">
      <c r="A902" s="193"/>
      <c r="B902" s="193"/>
      <c r="C902" s="193"/>
      <c r="D902" s="193"/>
      <c r="E902" s="193"/>
      <c r="F902" s="193"/>
      <c r="G902" s="193"/>
      <c r="H902" s="193"/>
    </row>
    <row r="903" spans="1:8" ht="15.6">
      <c r="A903" s="193"/>
      <c r="B903" s="193"/>
      <c r="C903" s="193"/>
      <c r="D903" s="193"/>
      <c r="E903" s="193"/>
      <c r="F903" s="193"/>
      <c r="G903" s="193"/>
      <c r="H903" s="193"/>
    </row>
    <row r="904" spans="1:8" ht="15.6">
      <c r="A904" s="193"/>
      <c r="B904" s="193"/>
      <c r="C904" s="193"/>
      <c r="D904" s="193"/>
      <c r="E904" s="193"/>
      <c r="F904" s="193"/>
      <c r="G904" s="193"/>
      <c r="H904" s="193"/>
    </row>
    <row r="905" spans="1:8" ht="15.6">
      <c r="A905" s="193"/>
      <c r="B905" s="193"/>
      <c r="C905" s="193"/>
      <c r="D905" s="193"/>
      <c r="E905" s="193"/>
      <c r="F905" s="193"/>
      <c r="G905" s="193"/>
      <c r="H905" s="193"/>
    </row>
    <row r="906" spans="1:8" ht="15.6">
      <c r="A906" s="193"/>
      <c r="B906" s="193"/>
      <c r="C906" s="193"/>
      <c r="D906" s="193"/>
      <c r="E906" s="193"/>
      <c r="F906" s="193"/>
      <c r="G906" s="193"/>
      <c r="H906" s="193"/>
    </row>
    <row r="907" spans="1:8" ht="15.6">
      <c r="A907" s="193"/>
      <c r="B907" s="193"/>
      <c r="C907" s="193"/>
      <c r="D907" s="193"/>
      <c r="E907" s="193"/>
      <c r="F907" s="193"/>
      <c r="G907" s="193"/>
      <c r="H907" s="193"/>
    </row>
    <row r="908" spans="1:8" ht="15.6">
      <c r="A908" s="193"/>
      <c r="B908" s="193"/>
      <c r="C908" s="193"/>
      <c r="D908" s="193"/>
      <c r="E908" s="193"/>
      <c r="F908" s="193"/>
      <c r="G908" s="193"/>
      <c r="H908" s="193"/>
    </row>
    <row r="909" spans="1:8" ht="15.6">
      <c r="A909" s="193"/>
      <c r="B909" s="193"/>
      <c r="C909" s="193"/>
      <c r="D909" s="193"/>
      <c r="E909" s="193"/>
      <c r="F909" s="193"/>
      <c r="G909" s="193"/>
      <c r="H909" s="193"/>
    </row>
    <row r="910" spans="1:8" ht="15.6">
      <c r="A910" s="193"/>
      <c r="B910" s="193"/>
      <c r="C910" s="193"/>
      <c r="D910" s="193"/>
      <c r="E910" s="193"/>
      <c r="F910" s="193"/>
      <c r="G910" s="193"/>
      <c r="H910" s="193"/>
    </row>
    <row r="911" spans="1:8" ht="15.6">
      <c r="A911" s="193"/>
      <c r="B911" s="193"/>
      <c r="C911" s="193"/>
      <c r="D911" s="193"/>
      <c r="E911" s="193"/>
      <c r="F911" s="193"/>
      <c r="G911" s="193"/>
      <c r="H911" s="193"/>
    </row>
    <row r="912" spans="1:8" ht="15.6">
      <c r="A912" s="193"/>
      <c r="B912" s="193"/>
      <c r="C912" s="193"/>
      <c r="D912" s="193"/>
      <c r="E912" s="193"/>
      <c r="F912" s="193"/>
      <c r="G912" s="193"/>
      <c r="H912" s="193"/>
    </row>
    <row r="913" spans="1:8" ht="15.6">
      <c r="A913" s="193"/>
      <c r="B913" s="193"/>
      <c r="C913" s="193"/>
      <c r="D913" s="193"/>
      <c r="E913" s="193"/>
      <c r="F913" s="193"/>
      <c r="G913" s="193"/>
      <c r="H913" s="193"/>
    </row>
    <row r="914" spans="1:8" ht="15.6">
      <c r="A914" s="193"/>
      <c r="B914" s="193"/>
      <c r="C914" s="193"/>
      <c r="D914" s="193"/>
      <c r="E914" s="193"/>
      <c r="F914" s="193"/>
      <c r="G914" s="193"/>
      <c r="H914" s="193"/>
    </row>
    <row r="915" spans="1:8" ht="15.6">
      <c r="A915" s="193"/>
      <c r="B915" s="193"/>
      <c r="C915" s="193"/>
      <c r="D915" s="193"/>
      <c r="E915" s="193"/>
      <c r="F915" s="193"/>
      <c r="G915" s="193"/>
      <c r="H915" s="193"/>
    </row>
    <row r="916" spans="1:8" ht="15.6">
      <c r="A916" s="193"/>
      <c r="B916" s="193"/>
      <c r="C916" s="193"/>
      <c r="D916" s="193"/>
      <c r="E916" s="193"/>
      <c r="F916" s="193"/>
      <c r="G916" s="193"/>
      <c r="H916" s="193"/>
    </row>
    <row r="917" spans="1:8" ht="15.6">
      <c r="A917" s="193"/>
      <c r="B917" s="193"/>
      <c r="C917" s="193"/>
      <c r="D917" s="193"/>
      <c r="E917" s="193"/>
      <c r="F917" s="193"/>
      <c r="G917" s="193"/>
      <c r="H917" s="193"/>
    </row>
    <row r="918" spans="1:8" ht="15.6">
      <c r="A918" s="193"/>
      <c r="B918" s="193"/>
      <c r="C918" s="193"/>
      <c r="D918" s="193"/>
      <c r="E918" s="193"/>
      <c r="F918" s="193"/>
      <c r="G918" s="193"/>
      <c r="H918" s="193"/>
    </row>
    <row r="919" spans="1:8" ht="15.6">
      <c r="A919" s="193"/>
      <c r="B919" s="193"/>
      <c r="C919" s="193"/>
      <c r="D919" s="193"/>
      <c r="E919" s="193"/>
      <c r="F919" s="193"/>
      <c r="G919" s="193"/>
      <c r="H919" s="193"/>
    </row>
    <row r="920" spans="1:8" ht="15.6">
      <c r="A920" s="193"/>
      <c r="B920" s="193"/>
      <c r="C920" s="193"/>
      <c r="D920" s="193"/>
      <c r="E920" s="193"/>
      <c r="F920" s="193"/>
      <c r="G920" s="193"/>
      <c r="H920" s="193"/>
    </row>
    <row r="921" spans="1:8" ht="15.6">
      <c r="A921" s="193"/>
      <c r="B921" s="193"/>
      <c r="C921" s="193"/>
      <c r="D921" s="193"/>
      <c r="E921" s="193"/>
      <c r="F921" s="193"/>
      <c r="G921" s="193"/>
      <c r="H921" s="193"/>
    </row>
    <row r="922" spans="1:8" ht="15.6">
      <c r="A922" s="193"/>
      <c r="B922" s="193"/>
      <c r="C922" s="193"/>
      <c r="D922" s="193"/>
      <c r="E922" s="193"/>
      <c r="F922" s="193"/>
      <c r="G922" s="193"/>
      <c r="H922" s="193"/>
    </row>
    <row r="923" spans="1:8" ht="15.6">
      <c r="A923" s="193"/>
      <c r="B923" s="193"/>
      <c r="C923" s="193"/>
      <c r="D923" s="193"/>
      <c r="E923" s="193"/>
      <c r="F923" s="193"/>
      <c r="G923" s="193"/>
      <c r="H923" s="193"/>
    </row>
    <row r="924" spans="1:8" ht="15.6">
      <c r="A924" s="193"/>
      <c r="B924" s="193"/>
      <c r="C924" s="193"/>
      <c r="D924" s="193"/>
      <c r="E924" s="193"/>
      <c r="F924" s="193"/>
      <c r="G924" s="193"/>
      <c r="H924" s="193"/>
    </row>
    <row r="925" spans="1:8" ht="15.6">
      <c r="A925" s="193"/>
      <c r="B925" s="193"/>
      <c r="C925" s="193"/>
      <c r="D925" s="193"/>
      <c r="E925" s="193"/>
      <c r="F925" s="193"/>
      <c r="G925" s="193"/>
      <c r="H925" s="193"/>
    </row>
    <row r="926" spans="1:8" ht="15.6">
      <c r="A926" s="193"/>
      <c r="B926" s="193"/>
      <c r="C926" s="193"/>
      <c r="D926" s="193"/>
      <c r="E926" s="193"/>
      <c r="F926" s="193"/>
      <c r="G926" s="193"/>
      <c r="H926" s="193"/>
    </row>
    <row r="927" spans="1:8" ht="15.6">
      <c r="A927" s="193"/>
      <c r="B927" s="193"/>
      <c r="C927" s="193"/>
      <c r="D927" s="193"/>
      <c r="E927" s="193"/>
      <c r="F927" s="193"/>
      <c r="G927" s="193"/>
      <c r="H927" s="193"/>
    </row>
    <row r="928" spans="1:8" ht="15.6">
      <c r="A928" s="193"/>
      <c r="B928" s="193"/>
      <c r="C928" s="193"/>
      <c r="D928" s="193"/>
      <c r="E928" s="193"/>
      <c r="F928" s="193"/>
      <c r="G928" s="193"/>
      <c r="H928" s="193"/>
    </row>
    <row r="929" spans="1:8" ht="15.6">
      <c r="A929" s="193"/>
      <c r="B929" s="193"/>
      <c r="C929" s="193"/>
      <c r="D929" s="193"/>
      <c r="E929" s="193"/>
      <c r="F929" s="193"/>
      <c r="G929" s="193"/>
      <c r="H929" s="193"/>
    </row>
    <row r="930" spans="1:8" ht="15.6">
      <c r="A930" s="193"/>
      <c r="B930" s="193"/>
      <c r="C930" s="193"/>
      <c r="D930" s="193"/>
      <c r="E930" s="193"/>
      <c r="F930" s="193"/>
      <c r="G930" s="193"/>
      <c r="H930" s="193"/>
    </row>
    <row r="931" spans="1:8" ht="15.6">
      <c r="A931" s="193"/>
      <c r="B931" s="193"/>
      <c r="C931" s="193"/>
      <c r="D931" s="193"/>
      <c r="E931" s="193"/>
      <c r="F931" s="193"/>
      <c r="G931" s="193"/>
      <c r="H931" s="193"/>
    </row>
    <row r="932" spans="1:8" ht="15.6">
      <c r="A932" s="193"/>
      <c r="B932" s="193"/>
      <c r="C932" s="193"/>
      <c r="D932" s="193"/>
      <c r="E932" s="193"/>
      <c r="F932" s="193"/>
      <c r="G932" s="193"/>
      <c r="H932" s="193"/>
    </row>
    <row r="933" spans="1:8" ht="15.6">
      <c r="A933" s="193"/>
      <c r="B933" s="193"/>
      <c r="C933" s="193"/>
      <c r="D933" s="193"/>
      <c r="E933" s="193"/>
      <c r="F933" s="193"/>
      <c r="G933" s="193"/>
      <c r="H933" s="193"/>
    </row>
    <row r="934" spans="1:8" ht="15.6">
      <c r="A934" s="193"/>
      <c r="B934" s="193"/>
      <c r="C934" s="193"/>
      <c r="D934" s="193"/>
      <c r="E934" s="193"/>
      <c r="F934" s="193"/>
      <c r="G934" s="193"/>
      <c r="H934" s="193"/>
    </row>
    <row r="935" spans="1:8" ht="15.6">
      <c r="A935" s="193"/>
      <c r="B935" s="193"/>
      <c r="C935" s="193"/>
      <c r="D935" s="193"/>
      <c r="E935" s="193"/>
      <c r="F935" s="193"/>
      <c r="G935" s="193"/>
      <c r="H935" s="193"/>
    </row>
    <row r="936" spans="1:8" ht="15.6">
      <c r="A936" s="193"/>
      <c r="B936" s="193"/>
      <c r="C936" s="193"/>
      <c r="D936" s="193"/>
      <c r="E936" s="193"/>
      <c r="F936" s="193"/>
      <c r="G936" s="193"/>
      <c r="H936" s="193"/>
    </row>
    <row r="937" spans="1:8" ht="15.6">
      <c r="A937" s="193"/>
      <c r="B937" s="193"/>
      <c r="C937" s="193"/>
      <c r="D937" s="193"/>
      <c r="E937" s="193"/>
      <c r="F937" s="193"/>
      <c r="G937" s="193"/>
      <c r="H937" s="193"/>
    </row>
    <row r="938" spans="1:8" ht="15.6">
      <c r="A938" s="193"/>
      <c r="B938" s="193"/>
      <c r="C938" s="193"/>
      <c r="D938" s="193"/>
      <c r="E938" s="193"/>
      <c r="F938" s="193"/>
      <c r="G938" s="193"/>
      <c r="H938" s="193"/>
    </row>
    <row r="939" spans="1:8" ht="15.6">
      <c r="A939" s="193"/>
      <c r="B939" s="193"/>
      <c r="C939" s="193"/>
      <c r="D939" s="193"/>
      <c r="E939" s="193"/>
      <c r="F939" s="193"/>
      <c r="G939" s="193"/>
      <c r="H939" s="193"/>
    </row>
    <row r="940" spans="1:8" ht="15.6">
      <c r="A940" s="193"/>
      <c r="B940" s="193"/>
      <c r="C940" s="193"/>
      <c r="D940" s="193"/>
      <c r="E940" s="193"/>
      <c r="F940" s="193"/>
      <c r="G940" s="193"/>
      <c r="H940" s="193"/>
    </row>
    <row r="941" spans="1:8" ht="15.6">
      <c r="A941" s="193"/>
      <c r="B941" s="193"/>
      <c r="C941" s="193"/>
      <c r="D941" s="193"/>
      <c r="E941" s="193"/>
      <c r="F941" s="193"/>
      <c r="G941" s="193"/>
      <c r="H941" s="193"/>
    </row>
    <row r="942" spans="1:8" ht="15.6">
      <c r="A942" s="193"/>
      <c r="B942" s="193"/>
      <c r="C942" s="193"/>
      <c r="D942" s="193"/>
      <c r="E942" s="193"/>
      <c r="F942" s="193"/>
      <c r="G942" s="193"/>
      <c r="H942" s="193"/>
    </row>
    <row r="943" spans="1:8" ht="15.6">
      <c r="A943" s="193"/>
      <c r="B943" s="193"/>
      <c r="C943" s="193"/>
      <c r="D943" s="193"/>
      <c r="E943" s="193"/>
      <c r="F943" s="193"/>
      <c r="G943" s="193"/>
      <c r="H943" s="193"/>
    </row>
    <row r="944" spans="1:8" ht="15.6">
      <c r="A944" s="193"/>
      <c r="B944" s="193"/>
      <c r="C944" s="193"/>
      <c r="D944" s="193"/>
      <c r="E944" s="193"/>
      <c r="F944" s="193"/>
      <c r="G944" s="193"/>
      <c r="H944" s="193"/>
    </row>
    <row r="945" spans="1:8" ht="15.6">
      <c r="A945" s="193"/>
      <c r="B945" s="193"/>
      <c r="C945" s="193"/>
      <c r="D945" s="193"/>
      <c r="E945" s="193"/>
      <c r="F945" s="193"/>
      <c r="G945" s="193"/>
      <c r="H945" s="193"/>
    </row>
    <row r="946" spans="1:8" ht="15.6">
      <c r="A946" s="193"/>
      <c r="B946" s="193"/>
      <c r="C946" s="193"/>
      <c r="D946" s="193"/>
      <c r="E946" s="193"/>
      <c r="F946" s="193"/>
      <c r="G946" s="193"/>
      <c r="H946" s="193"/>
    </row>
    <row r="947" spans="1:8" ht="15.6">
      <c r="A947" s="193"/>
      <c r="B947" s="193"/>
      <c r="C947" s="193"/>
      <c r="D947" s="193"/>
      <c r="E947" s="193"/>
      <c r="F947" s="193"/>
      <c r="G947" s="193"/>
      <c r="H947" s="193"/>
    </row>
    <row r="948" spans="1:8" ht="15.6">
      <c r="A948" s="193"/>
      <c r="B948" s="193"/>
      <c r="C948" s="193"/>
      <c r="D948" s="193"/>
      <c r="E948" s="193"/>
      <c r="F948" s="193"/>
      <c r="G948" s="193"/>
      <c r="H948" s="193"/>
    </row>
    <row r="949" spans="1:8" ht="15.6">
      <c r="A949" s="193"/>
      <c r="B949" s="193"/>
      <c r="C949" s="193"/>
      <c r="D949" s="193"/>
      <c r="E949" s="193"/>
      <c r="F949" s="193"/>
      <c r="G949" s="193"/>
      <c r="H949" s="193"/>
    </row>
    <row r="950" spans="1:8" ht="15.6">
      <c r="A950" s="193"/>
      <c r="B950" s="193"/>
      <c r="C950" s="193"/>
      <c r="D950" s="193"/>
      <c r="E950" s="193"/>
      <c r="F950" s="193"/>
      <c r="G950" s="193"/>
      <c r="H950" s="193"/>
    </row>
    <row r="951" spans="1:8" ht="15.6">
      <c r="A951" s="193"/>
      <c r="B951" s="193"/>
      <c r="C951" s="193"/>
      <c r="D951" s="193"/>
      <c r="E951" s="193"/>
      <c r="F951" s="193"/>
      <c r="G951" s="193"/>
      <c r="H951" s="193"/>
    </row>
    <row r="952" spans="1:8" ht="15.6">
      <c r="A952" s="193"/>
      <c r="B952" s="193"/>
      <c r="C952" s="193"/>
      <c r="D952" s="193"/>
      <c r="E952" s="193"/>
      <c r="F952" s="193"/>
      <c r="G952" s="193"/>
      <c r="H952" s="193"/>
    </row>
    <row r="953" spans="1:8" ht="15.6">
      <c r="A953" s="193"/>
      <c r="B953" s="193"/>
      <c r="C953" s="193"/>
      <c r="D953" s="193"/>
      <c r="E953" s="193"/>
      <c r="F953" s="193"/>
      <c r="G953" s="193"/>
      <c r="H953" s="193"/>
    </row>
    <row r="954" spans="1:8" ht="15.6">
      <c r="A954" s="193"/>
      <c r="B954" s="193"/>
      <c r="C954" s="193"/>
      <c r="D954" s="193"/>
      <c r="E954" s="193"/>
      <c r="F954" s="193"/>
      <c r="G954" s="193"/>
      <c r="H954" s="193"/>
    </row>
    <row r="955" spans="1:8" ht="15.6">
      <c r="A955" s="193"/>
      <c r="B955" s="193"/>
      <c r="C955" s="193"/>
      <c r="D955" s="193"/>
      <c r="E955" s="193"/>
      <c r="F955" s="193"/>
      <c r="G955" s="193"/>
      <c r="H955" s="193"/>
    </row>
    <row r="956" spans="1:8" ht="15.6">
      <c r="A956" s="193"/>
      <c r="B956" s="193"/>
      <c r="C956" s="193"/>
      <c r="D956" s="193"/>
      <c r="E956" s="193"/>
      <c r="F956" s="193"/>
      <c r="G956" s="193"/>
      <c r="H956" s="193"/>
    </row>
    <row r="957" spans="1:8" ht="15.6">
      <c r="A957" s="193"/>
      <c r="B957" s="193"/>
      <c r="C957" s="193"/>
      <c r="D957" s="193"/>
      <c r="E957" s="193"/>
      <c r="F957" s="193"/>
      <c r="G957" s="193"/>
      <c r="H957" s="193"/>
    </row>
    <row r="958" spans="1:8" ht="15.6">
      <c r="A958" s="193"/>
      <c r="B958" s="193"/>
      <c r="C958" s="193"/>
      <c r="D958" s="193"/>
      <c r="E958" s="193"/>
      <c r="F958" s="193"/>
      <c r="G958" s="193"/>
      <c r="H958" s="193"/>
    </row>
    <row r="959" spans="1:8" ht="15.6">
      <c r="A959" s="193"/>
      <c r="B959" s="193"/>
      <c r="C959" s="193"/>
      <c r="D959" s="193"/>
      <c r="E959" s="193"/>
      <c r="F959" s="193"/>
      <c r="G959" s="193"/>
      <c r="H959" s="193"/>
    </row>
    <row r="960" spans="1:8" ht="15.6">
      <c r="A960" s="193"/>
      <c r="B960" s="193"/>
      <c r="C960" s="193"/>
      <c r="D960" s="193"/>
      <c r="E960" s="193"/>
      <c r="F960" s="193"/>
      <c r="G960" s="193"/>
      <c r="H960" s="193"/>
    </row>
    <row r="961" spans="1:8" ht="15.6">
      <c r="A961" s="193"/>
      <c r="B961" s="193"/>
      <c r="C961" s="193"/>
      <c r="D961" s="193"/>
      <c r="E961" s="193"/>
      <c r="F961" s="193"/>
      <c r="G961" s="193"/>
      <c r="H961" s="193"/>
    </row>
    <row r="962" spans="1:8" ht="15.6">
      <c r="A962" s="193"/>
      <c r="B962" s="193"/>
      <c r="C962" s="193"/>
      <c r="D962" s="193"/>
      <c r="E962" s="193"/>
      <c r="F962" s="193"/>
      <c r="G962" s="193"/>
      <c r="H962" s="193"/>
    </row>
    <row r="963" spans="1:8" ht="15.6">
      <c r="A963" s="193"/>
      <c r="B963" s="193"/>
      <c r="C963" s="193"/>
      <c r="D963" s="193"/>
      <c r="E963" s="193"/>
      <c r="F963" s="193"/>
      <c r="G963" s="193"/>
      <c r="H963" s="193"/>
    </row>
    <row r="964" spans="1:8" ht="15.6">
      <c r="A964" s="193"/>
      <c r="B964" s="193"/>
      <c r="C964" s="193"/>
      <c r="D964" s="193"/>
      <c r="E964" s="193"/>
      <c r="F964" s="193"/>
      <c r="G964" s="193"/>
      <c r="H964" s="193"/>
    </row>
    <row r="965" spans="1:8" ht="15.6">
      <c r="A965" s="193"/>
      <c r="B965" s="193"/>
      <c r="C965" s="193"/>
      <c r="D965" s="193"/>
      <c r="E965" s="193"/>
      <c r="F965" s="193"/>
      <c r="G965" s="193"/>
      <c r="H965" s="193"/>
    </row>
    <row r="966" spans="1:8" ht="15.6">
      <c r="A966" s="193"/>
      <c r="B966" s="193"/>
      <c r="C966" s="193"/>
      <c r="D966" s="193"/>
      <c r="E966" s="193"/>
      <c r="F966" s="193"/>
      <c r="G966" s="193"/>
      <c r="H966" s="193"/>
    </row>
    <row r="967" spans="1:8" ht="15.6">
      <c r="A967" s="193"/>
      <c r="B967" s="193"/>
      <c r="C967" s="193"/>
      <c r="D967" s="193"/>
      <c r="E967" s="193"/>
      <c r="F967" s="193"/>
      <c r="G967" s="193"/>
      <c r="H967" s="193"/>
    </row>
    <row r="968" spans="1:8" ht="15.6">
      <c r="A968" s="193"/>
      <c r="B968" s="193"/>
      <c r="C968" s="193"/>
      <c r="D968" s="193"/>
      <c r="E968" s="193"/>
      <c r="F968" s="193"/>
      <c r="G968" s="193"/>
      <c r="H968" s="193"/>
    </row>
    <row r="969" spans="1:8" ht="15.6">
      <c r="A969" s="193"/>
      <c r="B969" s="193"/>
      <c r="C969" s="193"/>
      <c r="D969" s="193"/>
      <c r="E969" s="193"/>
      <c r="F969" s="193"/>
      <c r="G969" s="193"/>
      <c r="H969" s="193"/>
    </row>
    <row r="970" spans="1:8" ht="15.6">
      <c r="A970" s="193"/>
      <c r="B970" s="193"/>
      <c r="C970" s="193"/>
      <c r="D970" s="193"/>
      <c r="E970" s="193"/>
      <c r="F970" s="193"/>
      <c r="G970" s="193"/>
      <c r="H970" s="193"/>
    </row>
    <row r="971" spans="1:8" ht="15.6">
      <c r="A971" s="193"/>
      <c r="B971" s="193"/>
      <c r="C971" s="193"/>
      <c r="D971" s="193"/>
      <c r="E971" s="193"/>
      <c r="F971" s="193"/>
      <c r="G971" s="193"/>
      <c r="H971" s="193"/>
    </row>
    <row r="972" spans="1:8" ht="15.6">
      <c r="A972" s="193"/>
      <c r="B972" s="193"/>
      <c r="C972" s="193"/>
      <c r="D972" s="193"/>
      <c r="E972" s="193"/>
      <c r="F972" s="193"/>
      <c r="G972" s="193"/>
      <c r="H972" s="193"/>
    </row>
    <row r="973" spans="1:8" ht="15.6">
      <c r="A973" s="193"/>
      <c r="B973" s="193"/>
      <c r="C973" s="193"/>
      <c r="D973" s="193"/>
      <c r="E973" s="193"/>
      <c r="F973" s="193"/>
      <c r="G973" s="193"/>
      <c r="H973" s="193"/>
    </row>
    <row r="974" spans="1:8" ht="15.6">
      <c r="A974" s="193"/>
      <c r="B974" s="193"/>
      <c r="C974" s="193"/>
      <c r="D974" s="193"/>
      <c r="E974" s="193"/>
      <c r="F974" s="193"/>
      <c r="G974" s="193"/>
      <c r="H974" s="193"/>
    </row>
    <row r="975" spans="1:8" ht="15.6">
      <c r="A975" s="193"/>
      <c r="B975" s="193"/>
      <c r="C975" s="193"/>
      <c r="D975" s="193"/>
      <c r="E975" s="193"/>
      <c r="F975" s="193"/>
      <c r="G975" s="193"/>
      <c r="H975" s="193"/>
    </row>
    <row r="976" spans="1:8" ht="15.6">
      <c r="A976" s="193"/>
      <c r="B976" s="193"/>
      <c r="C976" s="193"/>
      <c r="D976" s="193"/>
      <c r="E976" s="193"/>
      <c r="F976" s="193"/>
      <c r="G976" s="193"/>
      <c r="H976" s="193"/>
    </row>
    <row r="977" spans="1:8" ht="15.6">
      <c r="A977" s="193"/>
      <c r="B977" s="193"/>
      <c r="C977" s="193"/>
      <c r="D977" s="193"/>
      <c r="E977" s="193"/>
      <c r="F977" s="193"/>
      <c r="G977" s="193"/>
      <c r="H977" s="193"/>
    </row>
    <row r="978" spans="1:8" ht="15.6">
      <c r="A978" s="193"/>
      <c r="B978" s="193"/>
      <c r="C978" s="193"/>
      <c r="D978" s="193"/>
      <c r="E978" s="193"/>
      <c r="F978" s="193"/>
      <c r="G978" s="193"/>
      <c r="H978" s="193"/>
    </row>
    <row r="979" spans="1:8" ht="15.6">
      <c r="A979" s="193"/>
      <c r="B979" s="193"/>
      <c r="C979" s="193"/>
      <c r="D979" s="193"/>
      <c r="E979" s="193"/>
      <c r="F979" s="193"/>
      <c r="G979" s="193"/>
      <c r="H979" s="193"/>
    </row>
    <row r="980" spans="1:8" ht="15.6">
      <c r="A980" s="193"/>
      <c r="B980" s="193"/>
      <c r="C980" s="193"/>
      <c r="D980" s="193"/>
      <c r="E980" s="193"/>
      <c r="F980" s="193"/>
      <c r="G980" s="193"/>
      <c r="H980" s="193"/>
    </row>
    <row r="981" spans="1:8" ht="15.6">
      <c r="A981" s="193"/>
      <c r="B981" s="193"/>
      <c r="C981" s="193"/>
      <c r="D981" s="193"/>
      <c r="E981" s="193"/>
      <c r="F981" s="193"/>
      <c r="G981" s="193"/>
      <c r="H981" s="193"/>
    </row>
    <row r="982" spans="1:8" ht="15.6">
      <c r="A982" s="193"/>
      <c r="B982" s="193"/>
      <c r="C982" s="193"/>
      <c r="D982" s="193"/>
      <c r="E982" s="193"/>
      <c r="F982" s="193"/>
      <c r="G982" s="193"/>
      <c r="H982" s="193"/>
    </row>
    <row r="983" spans="1:8" ht="15.6">
      <c r="A983" s="193"/>
      <c r="B983" s="193"/>
      <c r="C983" s="193"/>
      <c r="D983" s="193"/>
      <c r="E983" s="193"/>
      <c r="F983" s="193"/>
      <c r="G983" s="193"/>
      <c r="H983" s="193"/>
    </row>
    <row r="984" spans="1:8" ht="15.6">
      <c r="A984" s="193"/>
      <c r="B984" s="193"/>
      <c r="C984" s="193"/>
      <c r="D984" s="193"/>
      <c r="E984" s="193"/>
      <c r="F984" s="193"/>
      <c r="G984" s="193"/>
      <c r="H984" s="193"/>
    </row>
    <row r="985" spans="1:8" ht="15.6">
      <c r="A985" s="193"/>
      <c r="B985" s="193"/>
      <c r="C985" s="193"/>
      <c r="D985" s="193"/>
      <c r="E985" s="193"/>
      <c r="F985" s="193"/>
      <c r="G985" s="193"/>
      <c r="H985" s="193"/>
    </row>
    <row r="986" spans="1:8" ht="15.6">
      <c r="A986" s="193"/>
      <c r="B986" s="193"/>
      <c r="C986" s="193"/>
      <c r="D986" s="193"/>
      <c r="E986" s="193"/>
      <c r="F986" s="193"/>
      <c r="G986" s="193"/>
      <c r="H986" s="193"/>
    </row>
    <row r="987" spans="1:8" ht="15.6">
      <c r="A987" s="193"/>
      <c r="B987" s="193"/>
      <c r="C987" s="193"/>
      <c r="D987" s="193"/>
      <c r="E987" s="193"/>
      <c r="F987" s="193"/>
      <c r="G987" s="193"/>
      <c r="H987" s="193"/>
    </row>
    <row r="988" spans="1:8" ht="15.6">
      <c r="A988" s="193"/>
      <c r="B988" s="193"/>
      <c r="C988" s="193"/>
      <c r="D988" s="193"/>
      <c r="E988" s="193"/>
      <c r="F988" s="193"/>
      <c r="G988" s="193"/>
      <c r="H988" s="193"/>
    </row>
    <row r="989" spans="1:8" ht="15.6">
      <c r="A989" s="193"/>
      <c r="B989" s="193"/>
      <c r="C989" s="193"/>
      <c r="D989" s="193"/>
      <c r="E989" s="193"/>
      <c r="F989" s="193"/>
      <c r="G989" s="193"/>
      <c r="H989" s="193"/>
    </row>
    <row r="990" spans="1:8" ht="15.6">
      <c r="A990" s="193"/>
      <c r="B990" s="193"/>
      <c r="C990" s="193"/>
      <c r="D990" s="193"/>
      <c r="E990" s="193"/>
      <c r="F990" s="193"/>
      <c r="G990" s="193"/>
      <c r="H990" s="193"/>
    </row>
    <row r="991" spans="1:8" ht="15.6">
      <c r="A991" s="193"/>
      <c r="B991" s="193"/>
      <c r="C991" s="193"/>
      <c r="D991" s="193"/>
      <c r="E991" s="193"/>
      <c r="F991" s="193"/>
      <c r="G991" s="193"/>
      <c r="H991" s="193"/>
    </row>
    <row r="992" spans="1:8" ht="15.6">
      <c r="A992" s="193"/>
      <c r="B992" s="193"/>
      <c r="C992" s="193"/>
      <c r="D992" s="193"/>
      <c r="E992" s="193"/>
      <c r="F992" s="193"/>
      <c r="G992" s="193"/>
      <c r="H992" s="193"/>
    </row>
    <row r="993" spans="1:8" ht="15.6">
      <c r="A993" s="193"/>
      <c r="B993" s="193"/>
      <c r="C993" s="193"/>
      <c r="D993" s="193"/>
      <c r="E993" s="193"/>
      <c r="F993" s="193"/>
      <c r="G993" s="193"/>
      <c r="H993" s="193"/>
    </row>
    <row r="994" spans="1:8" ht="15.6">
      <c r="A994" s="193"/>
      <c r="B994" s="193"/>
      <c r="C994" s="193"/>
      <c r="D994" s="193"/>
      <c r="E994" s="193"/>
      <c r="F994" s="193"/>
      <c r="G994" s="193"/>
      <c r="H994" s="193"/>
    </row>
    <row r="995" spans="1:8" ht="15.6">
      <c r="A995" s="193"/>
      <c r="B995" s="193"/>
      <c r="C995" s="193"/>
      <c r="D995" s="193"/>
      <c r="E995" s="193"/>
      <c r="F995" s="193"/>
      <c r="G995" s="193"/>
      <c r="H995" s="193"/>
    </row>
    <row r="996" spans="1:8" ht="15.6">
      <c r="A996" s="193"/>
      <c r="B996" s="193"/>
      <c r="C996" s="193"/>
      <c r="D996" s="193"/>
      <c r="E996" s="193"/>
      <c r="F996" s="193"/>
      <c r="G996" s="193"/>
      <c r="H996" s="193"/>
    </row>
    <row r="997" spans="1:8" ht="15.6">
      <c r="A997" s="193"/>
      <c r="B997" s="193"/>
      <c r="C997" s="193"/>
      <c r="D997" s="193"/>
      <c r="E997" s="193"/>
      <c r="F997" s="193"/>
      <c r="G997" s="193"/>
      <c r="H997" s="193"/>
    </row>
    <row r="998" spans="1:8" ht="15.6">
      <c r="A998" s="193"/>
      <c r="B998" s="193"/>
      <c r="C998" s="193"/>
      <c r="D998" s="193"/>
      <c r="E998" s="193"/>
      <c r="F998" s="193"/>
      <c r="G998" s="193"/>
      <c r="H998" s="193"/>
    </row>
    <row r="999" spans="1:8" ht="15.6">
      <c r="A999" s="193"/>
      <c r="B999" s="193"/>
      <c r="C999" s="193"/>
      <c r="D999" s="193"/>
      <c r="E999" s="193"/>
      <c r="F999" s="193"/>
      <c r="G999" s="193"/>
      <c r="H999" s="193"/>
    </row>
    <row r="1000" spans="1:8" ht="15.6">
      <c r="A1000" s="193"/>
      <c r="B1000" s="193"/>
      <c r="C1000" s="193"/>
      <c r="D1000" s="193"/>
      <c r="E1000" s="193"/>
      <c r="F1000" s="193"/>
      <c r="G1000" s="193"/>
      <c r="H1000" s="193"/>
    </row>
    <row r="1001" spans="1:8" ht="15.6">
      <c r="A1001" s="193"/>
      <c r="B1001" s="193"/>
      <c r="C1001" s="193"/>
      <c r="D1001" s="193"/>
      <c r="E1001" s="193"/>
      <c r="F1001" s="193"/>
      <c r="G1001" s="193"/>
      <c r="H1001" s="193"/>
    </row>
    <row r="1002" spans="1:8" ht="15.6">
      <c r="A1002" s="193"/>
      <c r="B1002" s="193"/>
      <c r="C1002" s="193"/>
      <c r="D1002" s="193"/>
      <c r="E1002" s="193"/>
      <c r="F1002" s="193"/>
      <c r="G1002" s="193"/>
      <c r="H1002" s="193"/>
    </row>
    <row r="1003" spans="1:8" ht="15.6">
      <c r="A1003" s="193"/>
      <c r="B1003" s="193"/>
      <c r="C1003" s="193"/>
      <c r="D1003" s="193"/>
      <c r="E1003" s="193"/>
      <c r="F1003" s="193"/>
      <c r="G1003" s="193"/>
      <c r="H1003" s="193"/>
    </row>
    <row r="1004" spans="1:8" ht="15.6">
      <c r="A1004" s="193"/>
      <c r="B1004" s="193"/>
      <c r="C1004" s="193"/>
      <c r="D1004" s="193"/>
      <c r="E1004" s="193"/>
      <c r="F1004" s="193"/>
      <c r="G1004" s="193"/>
      <c r="H1004" s="193"/>
    </row>
    <row r="1005" spans="1:8" ht="15.6">
      <c r="A1005" s="193"/>
      <c r="B1005" s="193"/>
      <c r="C1005" s="193"/>
      <c r="D1005" s="193"/>
      <c r="E1005" s="193"/>
      <c r="F1005" s="193"/>
      <c r="G1005" s="193"/>
      <c r="H1005" s="193"/>
    </row>
    <row r="1006" spans="1:8" ht="15.6">
      <c r="A1006" s="193"/>
      <c r="B1006" s="193"/>
      <c r="C1006" s="193"/>
      <c r="D1006" s="193"/>
      <c r="E1006" s="193"/>
      <c r="F1006" s="193"/>
      <c r="G1006" s="193"/>
      <c r="H1006" s="193"/>
    </row>
    <row r="1007" spans="1:8" ht="15.6">
      <c r="A1007" s="193"/>
      <c r="B1007" s="193"/>
      <c r="C1007" s="193"/>
      <c r="D1007" s="193"/>
      <c r="E1007" s="193"/>
      <c r="F1007" s="193"/>
      <c r="G1007" s="193"/>
      <c r="H1007" s="193"/>
    </row>
    <row r="1008" spans="1:8" ht="15.6">
      <c r="A1008" s="193"/>
      <c r="B1008" s="193"/>
      <c r="C1008" s="193"/>
      <c r="D1008" s="193"/>
      <c r="E1008" s="193"/>
      <c r="F1008" s="193"/>
      <c r="G1008" s="193"/>
      <c r="H1008" s="193"/>
    </row>
    <row r="1009" spans="1:8" ht="15.6">
      <c r="A1009" s="193"/>
      <c r="B1009" s="193"/>
      <c r="C1009" s="193"/>
      <c r="D1009" s="193"/>
      <c r="E1009" s="193"/>
      <c r="F1009" s="193"/>
      <c r="G1009" s="193"/>
      <c r="H1009" s="193"/>
    </row>
    <row r="1010" spans="1:8" ht="15.6">
      <c r="A1010" s="193"/>
      <c r="B1010" s="193"/>
      <c r="C1010" s="193"/>
      <c r="D1010" s="193"/>
      <c r="E1010" s="193"/>
      <c r="F1010" s="193"/>
      <c r="G1010" s="193"/>
      <c r="H1010" s="193"/>
    </row>
    <row r="1011" spans="1:8" ht="15.6">
      <c r="A1011" s="193"/>
      <c r="B1011" s="193"/>
      <c r="C1011" s="193"/>
      <c r="D1011" s="193"/>
      <c r="E1011" s="193"/>
      <c r="F1011" s="193"/>
      <c r="G1011" s="193"/>
      <c r="H1011" s="193"/>
    </row>
    <row r="1012" spans="1:8" ht="15.6">
      <c r="A1012" s="193"/>
      <c r="B1012" s="193"/>
      <c r="C1012" s="193"/>
      <c r="D1012" s="193"/>
      <c r="E1012" s="193"/>
      <c r="F1012" s="193"/>
      <c r="G1012" s="193"/>
      <c r="H1012" s="193"/>
    </row>
    <row r="1013" spans="1:8" ht="15.6">
      <c r="A1013" s="193"/>
      <c r="B1013" s="193"/>
      <c r="C1013" s="193"/>
      <c r="D1013" s="193"/>
      <c r="E1013" s="193"/>
      <c r="F1013" s="193"/>
      <c r="G1013" s="193"/>
      <c r="H1013" s="193"/>
    </row>
    <row r="1014" spans="1:8" ht="15.6">
      <c r="A1014" s="193"/>
      <c r="B1014" s="193"/>
      <c r="C1014" s="193"/>
      <c r="D1014" s="193"/>
      <c r="E1014" s="193"/>
      <c r="F1014" s="193"/>
      <c r="G1014" s="193"/>
      <c r="H1014" s="193"/>
    </row>
    <row r="1015" spans="1:8" ht="15.6">
      <c r="A1015" s="193"/>
      <c r="B1015" s="193"/>
      <c r="C1015" s="193"/>
      <c r="D1015" s="193"/>
      <c r="E1015" s="193"/>
      <c r="F1015" s="193"/>
      <c r="G1015" s="193"/>
      <c r="H1015" s="193"/>
    </row>
    <row r="1016" spans="1:8" ht="15.6">
      <c r="A1016" s="193"/>
      <c r="B1016" s="193"/>
      <c r="C1016" s="193"/>
      <c r="D1016" s="193"/>
      <c r="E1016" s="193"/>
      <c r="F1016" s="193"/>
      <c r="G1016" s="193"/>
      <c r="H1016" s="193"/>
    </row>
    <row r="1017" spans="1:8" ht="15.6">
      <c r="A1017" s="193"/>
      <c r="B1017" s="193"/>
      <c r="C1017" s="193"/>
      <c r="D1017" s="193"/>
      <c r="E1017" s="193"/>
      <c r="F1017" s="193"/>
      <c r="G1017" s="193"/>
      <c r="H1017" s="193"/>
    </row>
    <row r="1018" spans="1:8" ht="15.6">
      <c r="A1018" s="193"/>
      <c r="B1018" s="193"/>
      <c r="C1018" s="193"/>
      <c r="D1018" s="193"/>
      <c r="E1018" s="193"/>
      <c r="F1018" s="193"/>
      <c r="G1018" s="193"/>
      <c r="H1018" s="193"/>
    </row>
    <row r="1019" spans="1:8" ht="15.6">
      <c r="A1019" s="193"/>
      <c r="B1019" s="193"/>
      <c r="C1019" s="193"/>
      <c r="D1019" s="193"/>
      <c r="E1019" s="193"/>
      <c r="F1019" s="193"/>
      <c r="G1019" s="193"/>
      <c r="H1019" s="193"/>
    </row>
    <row r="1020" spans="1:8" ht="15.6">
      <c r="A1020" s="193"/>
      <c r="B1020" s="193"/>
      <c r="C1020" s="193"/>
      <c r="D1020" s="193"/>
      <c r="E1020" s="193"/>
      <c r="F1020" s="193"/>
      <c r="G1020" s="193"/>
      <c r="H1020" s="193"/>
    </row>
    <row r="1021" spans="1:8" ht="15.6">
      <c r="A1021" s="193"/>
      <c r="B1021" s="193"/>
      <c r="C1021" s="193"/>
      <c r="D1021" s="193"/>
      <c r="E1021" s="193"/>
      <c r="F1021" s="193"/>
      <c r="G1021" s="193"/>
      <c r="H1021" s="193"/>
    </row>
    <row r="1022" spans="1:8" ht="15.6">
      <c r="A1022" s="193"/>
      <c r="B1022" s="193"/>
      <c r="C1022" s="193"/>
      <c r="D1022" s="193"/>
      <c r="E1022" s="193"/>
      <c r="F1022" s="193"/>
      <c r="G1022" s="193"/>
      <c r="H1022" s="193"/>
    </row>
    <row r="1023" spans="1:8" ht="15.6">
      <c r="A1023" s="193"/>
      <c r="B1023" s="193"/>
      <c r="C1023" s="193"/>
      <c r="D1023" s="193"/>
      <c r="E1023" s="193"/>
      <c r="F1023" s="193"/>
      <c r="G1023" s="193"/>
      <c r="H1023" s="193"/>
    </row>
    <row r="1024" spans="1:8" ht="15.6">
      <c r="A1024" s="193"/>
      <c r="B1024" s="193"/>
      <c r="C1024" s="193"/>
      <c r="D1024" s="193"/>
      <c r="E1024" s="193"/>
      <c r="F1024" s="193"/>
      <c r="G1024" s="193"/>
      <c r="H1024" s="193"/>
    </row>
    <row r="1025" spans="1:8" ht="15.6">
      <c r="A1025" s="193"/>
      <c r="B1025" s="193"/>
      <c r="C1025" s="193"/>
      <c r="D1025" s="193"/>
      <c r="E1025" s="193"/>
      <c r="F1025" s="193"/>
      <c r="G1025" s="193"/>
      <c r="H1025" s="193"/>
    </row>
    <row r="1026" spans="1:8" ht="15.6">
      <c r="A1026" s="193"/>
      <c r="B1026" s="193"/>
      <c r="C1026" s="193"/>
      <c r="D1026" s="193"/>
      <c r="E1026" s="193"/>
      <c r="F1026" s="193"/>
      <c r="G1026" s="193"/>
      <c r="H1026" s="193"/>
    </row>
    <row r="1027" spans="1:8" ht="15.6">
      <c r="A1027" s="193"/>
      <c r="B1027" s="193"/>
      <c r="C1027" s="193"/>
      <c r="D1027" s="193"/>
      <c r="E1027" s="193"/>
      <c r="F1027" s="193"/>
      <c r="G1027" s="193"/>
      <c r="H1027" s="193"/>
    </row>
    <row r="1028" spans="1:8" ht="15.6">
      <c r="A1028" s="193"/>
      <c r="B1028" s="193"/>
      <c r="C1028" s="193"/>
      <c r="D1028" s="193"/>
      <c r="E1028" s="193"/>
      <c r="F1028" s="193"/>
      <c r="G1028" s="193"/>
      <c r="H1028" s="193"/>
    </row>
    <row r="1029" spans="1:8" ht="15.6">
      <c r="A1029" s="193"/>
      <c r="B1029" s="193"/>
      <c r="C1029" s="193"/>
      <c r="D1029" s="193"/>
      <c r="E1029" s="193"/>
      <c r="F1029" s="193"/>
      <c r="G1029" s="193"/>
      <c r="H1029" s="193"/>
    </row>
    <row r="1030" spans="1:8" ht="15.6">
      <c r="A1030" s="193"/>
      <c r="B1030" s="193"/>
      <c r="C1030" s="193"/>
      <c r="D1030" s="193"/>
      <c r="E1030" s="193"/>
      <c r="F1030" s="193"/>
      <c r="G1030" s="193"/>
      <c r="H1030" s="193"/>
    </row>
    <row r="1031" spans="1:8" ht="15.6">
      <c r="A1031" s="193"/>
      <c r="B1031" s="193"/>
      <c r="C1031" s="193"/>
      <c r="D1031" s="193"/>
      <c r="E1031" s="193"/>
      <c r="F1031" s="193"/>
      <c r="G1031" s="193"/>
      <c r="H1031" s="193"/>
    </row>
    <row r="1032" spans="1:8" ht="15.6">
      <c r="A1032" s="193"/>
      <c r="B1032" s="193"/>
      <c r="C1032" s="193"/>
      <c r="D1032" s="193"/>
      <c r="E1032" s="193"/>
      <c r="F1032" s="193"/>
      <c r="G1032" s="193"/>
      <c r="H1032" s="193"/>
    </row>
    <row r="1033" spans="1:8" ht="15.6">
      <c r="A1033" s="193"/>
      <c r="B1033" s="193"/>
      <c r="C1033" s="193"/>
      <c r="D1033" s="193"/>
      <c r="E1033" s="193"/>
      <c r="F1033" s="193"/>
      <c r="G1033" s="193"/>
      <c r="H1033" s="193"/>
    </row>
    <row r="1034" spans="1:8" ht="15.6">
      <c r="A1034" s="193"/>
      <c r="B1034" s="193"/>
      <c r="C1034" s="193"/>
      <c r="D1034" s="193"/>
      <c r="E1034" s="193"/>
      <c r="F1034" s="193"/>
      <c r="G1034" s="193"/>
      <c r="H1034" s="193"/>
    </row>
    <row r="1035" spans="1:8" ht="15.6">
      <c r="A1035" s="193"/>
      <c r="B1035" s="193"/>
      <c r="C1035" s="193"/>
      <c r="D1035" s="193"/>
      <c r="E1035" s="193"/>
      <c r="F1035" s="193"/>
      <c r="G1035" s="193"/>
      <c r="H1035" s="193"/>
    </row>
    <row r="1036" spans="1:8" ht="15.6">
      <c r="A1036" s="193"/>
      <c r="B1036" s="193"/>
      <c r="C1036" s="193"/>
      <c r="D1036" s="193"/>
      <c r="E1036" s="193"/>
      <c r="F1036" s="193"/>
      <c r="G1036" s="193"/>
      <c r="H1036" s="193"/>
    </row>
    <row r="1037" spans="1:8" ht="15.6">
      <c r="A1037" s="193"/>
      <c r="B1037" s="193"/>
      <c r="C1037" s="193"/>
      <c r="D1037" s="193"/>
      <c r="E1037" s="193"/>
      <c r="F1037" s="193"/>
      <c r="G1037" s="193"/>
      <c r="H1037" s="193"/>
    </row>
    <row r="1038" spans="1:8" ht="15.6">
      <c r="A1038" s="193"/>
      <c r="B1038" s="193"/>
      <c r="C1038" s="193"/>
      <c r="D1038" s="193"/>
      <c r="E1038" s="193"/>
      <c r="F1038" s="193"/>
      <c r="G1038" s="193"/>
      <c r="H1038" s="193"/>
    </row>
    <row r="1039" spans="1:8" ht="15.6">
      <c r="A1039" s="193"/>
      <c r="B1039" s="193"/>
      <c r="C1039" s="193"/>
      <c r="D1039" s="193"/>
      <c r="E1039" s="193"/>
      <c r="F1039" s="193"/>
      <c r="G1039" s="193"/>
      <c r="H1039" s="193"/>
    </row>
    <row r="1040" spans="1:8" ht="15.6">
      <c r="A1040" s="193"/>
      <c r="B1040" s="193"/>
      <c r="C1040" s="193"/>
      <c r="D1040" s="193"/>
      <c r="E1040" s="193"/>
      <c r="F1040" s="193"/>
      <c r="G1040" s="193"/>
      <c r="H1040" s="193"/>
    </row>
    <row r="1041" spans="1:8" ht="15.6">
      <c r="A1041" s="193"/>
      <c r="B1041" s="193"/>
      <c r="C1041" s="193"/>
      <c r="D1041" s="193"/>
      <c r="E1041" s="193"/>
      <c r="F1041" s="193"/>
      <c r="G1041" s="193"/>
      <c r="H1041" s="193"/>
    </row>
    <row r="1042" spans="1:8" ht="15.6">
      <c r="A1042" s="193"/>
      <c r="B1042" s="193"/>
      <c r="C1042" s="193"/>
      <c r="D1042" s="193"/>
      <c r="E1042" s="193"/>
      <c r="F1042" s="193"/>
      <c r="G1042" s="193"/>
      <c r="H1042" s="193"/>
    </row>
    <row r="1043" spans="1:8" ht="15.6">
      <c r="A1043" s="193"/>
      <c r="B1043" s="193"/>
      <c r="C1043" s="193"/>
      <c r="D1043" s="193"/>
      <c r="E1043" s="193"/>
      <c r="F1043" s="193"/>
      <c r="G1043" s="193"/>
      <c r="H1043" s="193"/>
    </row>
    <row r="1044" spans="1:8" ht="15.6">
      <c r="A1044" s="193"/>
      <c r="B1044" s="193"/>
      <c r="C1044" s="193"/>
      <c r="D1044" s="193"/>
      <c r="E1044" s="193"/>
      <c r="F1044" s="193"/>
      <c r="G1044" s="193"/>
      <c r="H1044" s="193"/>
    </row>
    <row r="1045" spans="1:8" ht="15.6">
      <c r="A1045" s="193"/>
      <c r="B1045" s="193"/>
      <c r="C1045" s="193"/>
      <c r="D1045" s="193"/>
      <c r="E1045" s="193"/>
      <c r="F1045" s="193"/>
      <c r="G1045" s="193"/>
      <c r="H1045" s="193"/>
    </row>
    <row r="1046" spans="1:8" ht="15.6">
      <c r="A1046" s="193"/>
      <c r="B1046" s="193"/>
      <c r="C1046" s="193"/>
      <c r="D1046" s="193"/>
      <c r="E1046" s="193"/>
      <c r="F1046" s="193"/>
      <c r="G1046" s="193"/>
      <c r="H1046" s="193"/>
    </row>
    <row r="1047" spans="1:8" ht="15.6">
      <c r="A1047" s="193"/>
      <c r="B1047" s="193"/>
      <c r="C1047" s="193"/>
      <c r="D1047" s="193"/>
      <c r="E1047" s="193"/>
      <c r="F1047" s="193"/>
      <c r="G1047" s="193"/>
      <c r="H1047" s="193"/>
    </row>
    <row r="1048" spans="1:8" ht="15.6">
      <c r="A1048" s="193"/>
      <c r="B1048" s="193"/>
      <c r="C1048" s="193"/>
      <c r="D1048" s="193"/>
      <c r="E1048" s="193"/>
      <c r="F1048" s="193"/>
      <c r="G1048" s="193"/>
      <c r="H1048" s="193"/>
    </row>
    <row r="1049" spans="1:8" ht="15.6">
      <c r="A1049" s="193"/>
      <c r="B1049" s="193"/>
      <c r="C1049" s="193"/>
      <c r="D1049" s="193"/>
      <c r="E1049" s="193"/>
      <c r="F1049" s="193"/>
      <c r="G1049" s="193"/>
      <c r="H1049" s="193"/>
    </row>
    <row r="1050" spans="1:8" ht="15.6">
      <c r="A1050" s="193"/>
      <c r="B1050" s="193"/>
      <c r="C1050" s="193"/>
      <c r="D1050" s="193"/>
      <c r="E1050" s="193"/>
      <c r="F1050" s="193"/>
      <c r="G1050" s="193"/>
      <c r="H1050" s="193"/>
    </row>
    <row r="1051" spans="1:8" ht="15.6">
      <c r="A1051" s="193"/>
      <c r="B1051" s="193"/>
      <c r="C1051" s="193"/>
      <c r="D1051" s="193"/>
      <c r="E1051" s="193"/>
      <c r="F1051" s="193"/>
      <c r="G1051" s="193"/>
      <c r="H1051" s="193"/>
    </row>
    <row r="1052" spans="1:8" ht="15.6">
      <c r="A1052" s="193"/>
      <c r="B1052" s="193"/>
      <c r="C1052" s="193"/>
      <c r="D1052" s="193"/>
      <c r="E1052" s="193"/>
      <c r="F1052" s="193"/>
      <c r="G1052" s="193"/>
      <c r="H1052" s="193"/>
    </row>
    <row r="1053" spans="1:8" ht="15.6">
      <c r="A1053" s="193"/>
      <c r="B1053" s="193"/>
      <c r="C1053" s="193"/>
      <c r="D1053" s="193"/>
      <c r="E1053" s="193"/>
      <c r="F1053" s="193"/>
      <c r="G1053" s="193"/>
      <c r="H1053" s="193"/>
    </row>
    <row r="1054" spans="1:8" ht="15.6">
      <c r="A1054" s="193"/>
      <c r="B1054" s="193"/>
      <c r="C1054" s="193"/>
      <c r="D1054" s="193"/>
      <c r="E1054" s="193"/>
      <c r="F1054" s="193"/>
      <c r="G1054" s="193"/>
      <c r="H1054" s="193"/>
    </row>
    <row r="1055" spans="1:8" ht="15.6">
      <c r="A1055" s="193"/>
      <c r="B1055" s="193"/>
      <c r="C1055" s="193"/>
      <c r="D1055" s="193"/>
      <c r="E1055" s="193"/>
      <c r="F1055" s="193"/>
      <c r="G1055" s="193"/>
      <c r="H1055" s="193"/>
    </row>
    <row r="1056" spans="1:8" ht="15.6">
      <c r="A1056" s="193"/>
      <c r="B1056" s="193"/>
      <c r="C1056" s="193"/>
      <c r="D1056" s="193"/>
      <c r="E1056" s="193"/>
      <c r="F1056" s="193"/>
      <c r="G1056" s="193"/>
      <c r="H1056" s="193"/>
    </row>
    <row r="1057" spans="1:8" ht="15.6">
      <c r="A1057" s="193"/>
      <c r="B1057" s="193"/>
      <c r="C1057" s="193"/>
      <c r="D1057" s="193"/>
      <c r="E1057" s="193"/>
      <c r="F1057" s="193"/>
      <c r="G1057" s="193"/>
      <c r="H1057" s="193"/>
    </row>
    <row r="1058" spans="1:8" ht="15.6">
      <c r="A1058" s="193"/>
      <c r="B1058" s="193"/>
      <c r="C1058" s="193"/>
      <c r="D1058" s="193"/>
      <c r="E1058" s="193"/>
      <c r="F1058" s="193"/>
      <c r="G1058" s="193"/>
      <c r="H1058" s="193"/>
    </row>
    <row r="1059" spans="1:8" ht="15.6">
      <c r="A1059" s="193"/>
      <c r="B1059" s="193"/>
      <c r="C1059" s="193"/>
      <c r="D1059" s="193"/>
      <c r="E1059" s="193"/>
      <c r="F1059" s="193"/>
      <c r="G1059" s="193"/>
      <c r="H1059" s="193"/>
    </row>
    <row r="1060" spans="1:8" ht="15.6">
      <c r="A1060" s="193"/>
      <c r="B1060" s="193"/>
      <c r="C1060" s="193"/>
      <c r="D1060" s="193"/>
      <c r="E1060" s="193"/>
      <c r="F1060" s="193"/>
      <c r="G1060" s="193"/>
      <c r="H1060" s="193"/>
    </row>
    <row r="1061" spans="1:8" ht="15.6">
      <c r="A1061" s="193"/>
      <c r="B1061" s="193"/>
      <c r="C1061" s="193"/>
      <c r="D1061" s="193"/>
      <c r="E1061" s="193"/>
      <c r="F1061" s="193"/>
      <c r="G1061" s="193"/>
      <c r="H1061" s="193"/>
    </row>
    <row r="1062" spans="1:8" ht="15.6">
      <c r="A1062" s="193"/>
      <c r="B1062" s="193"/>
      <c r="C1062" s="193"/>
      <c r="D1062" s="193"/>
      <c r="E1062" s="193"/>
      <c r="F1062" s="193"/>
      <c r="G1062" s="193"/>
      <c r="H1062" s="193"/>
    </row>
    <row r="1063" spans="1:8" ht="15.6">
      <c r="A1063" s="193"/>
      <c r="B1063" s="193"/>
      <c r="C1063" s="193"/>
      <c r="D1063" s="193"/>
      <c r="E1063" s="193"/>
      <c r="F1063" s="193"/>
      <c r="G1063" s="193"/>
      <c r="H1063" s="193"/>
    </row>
    <row r="1064" spans="1:8" ht="15.6">
      <c r="A1064" s="193"/>
      <c r="B1064" s="193"/>
      <c r="C1064" s="193"/>
      <c r="D1064" s="193"/>
      <c r="E1064" s="193"/>
      <c r="F1064" s="193"/>
      <c r="G1064" s="193"/>
      <c r="H1064" s="193"/>
    </row>
    <row r="1065" spans="1:8" ht="15.6">
      <c r="A1065" s="193"/>
      <c r="B1065" s="193"/>
      <c r="C1065" s="193"/>
      <c r="D1065" s="193"/>
      <c r="E1065" s="193"/>
      <c r="F1065" s="193"/>
      <c r="G1065" s="193"/>
      <c r="H1065" s="193"/>
    </row>
    <row r="1066" spans="1:8" ht="15.6">
      <c r="A1066" s="193"/>
      <c r="B1066" s="193"/>
      <c r="C1066" s="193"/>
      <c r="D1066" s="193"/>
      <c r="E1066" s="193"/>
      <c r="F1066" s="193"/>
      <c r="G1066" s="193"/>
      <c r="H1066" s="193"/>
    </row>
    <row r="1067" spans="1:8" ht="15.6">
      <c r="A1067" s="193"/>
      <c r="B1067" s="193"/>
      <c r="C1067" s="193"/>
      <c r="D1067" s="193"/>
      <c r="E1067" s="193"/>
      <c r="F1067" s="193"/>
      <c r="G1067" s="193"/>
      <c r="H1067" s="193"/>
    </row>
    <row r="1068" spans="1:8" ht="15.6">
      <c r="A1068" s="193"/>
      <c r="B1068" s="193"/>
      <c r="C1068" s="193"/>
      <c r="D1068" s="193"/>
      <c r="E1068" s="193"/>
      <c r="F1068" s="193"/>
      <c r="G1068" s="193"/>
      <c r="H1068" s="193"/>
    </row>
    <row r="1069" spans="1:8" ht="15.6">
      <c r="A1069" s="193"/>
      <c r="B1069" s="193"/>
      <c r="C1069" s="193"/>
      <c r="D1069" s="193"/>
      <c r="E1069" s="193"/>
      <c r="F1069" s="193"/>
      <c r="G1069" s="193"/>
      <c r="H1069" s="193"/>
    </row>
    <row r="1070" spans="1:8" ht="15.6">
      <c r="A1070" s="193"/>
      <c r="B1070" s="193"/>
      <c r="C1070" s="193"/>
      <c r="D1070" s="193"/>
      <c r="E1070" s="193"/>
      <c r="F1070" s="193"/>
      <c r="G1070" s="193"/>
      <c r="H1070" s="193"/>
    </row>
    <row r="1071" spans="1:8" ht="15.6">
      <c r="A1071" s="193"/>
      <c r="B1071" s="193"/>
      <c r="C1071" s="193"/>
      <c r="D1071" s="193"/>
      <c r="E1071" s="193"/>
      <c r="F1071" s="193"/>
      <c r="G1071" s="193"/>
      <c r="H1071" s="193"/>
    </row>
    <row r="1072" spans="1:8" ht="15.6">
      <c r="A1072" s="193"/>
      <c r="B1072" s="193"/>
      <c r="C1072" s="193"/>
      <c r="D1072" s="193"/>
      <c r="E1072" s="193"/>
      <c r="F1072" s="193"/>
      <c r="G1072" s="193"/>
      <c r="H1072" s="193"/>
    </row>
    <row r="1073" spans="1:8" ht="15.6">
      <c r="A1073" s="193"/>
      <c r="B1073" s="193"/>
      <c r="C1073" s="193"/>
      <c r="D1073" s="193"/>
      <c r="E1073" s="193"/>
      <c r="F1073" s="193"/>
      <c r="G1073" s="193"/>
      <c r="H1073" s="193"/>
    </row>
    <row r="1074" spans="1:8" ht="15.6">
      <c r="A1074" s="193"/>
      <c r="B1074" s="193"/>
      <c r="C1074" s="193"/>
      <c r="D1074" s="193"/>
      <c r="E1074" s="193"/>
      <c r="F1074" s="193"/>
      <c r="G1074" s="193"/>
      <c r="H1074" s="193"/>
    </row>
    <row r="1075" spans="1:8" ht="15.6">
      <c r="A1075" s="193"/>
      <c r="B1075" s="193"/>
      <c r="C1075" s="193"/>
      <c r="D1075" s="193"/>
      <c r="E1075" s="193"/>
      <c r="F1075" s="193"/>
      <c r="G1075" s="193"/>
      <c r="H1075" s="193"/>
    </row>
    <row r="1076" spans="1:8" ht="15.6">
      <c r="A1076" s="193"/>
      <c r="B1076" s="193"/>
      <c r="C1076" s="193"/>
      <c r="D1076" s="193"/>
      <c r="E1076" s="193"/>
      <c r="F1076" s="193"/>
      <c r="G1076" s="193"/>
      <c r="H1076" s="193"/>
    </row>
    <row r="1077" spans="1:8" ht="15.6">
      <c r="A1077" s="193"/>
      <c r="B1077" s="193"/>
      <c r="C1077" s="193"/>
      <c r="D1077" s="193"/>
      <c r="E1077" s="193"/>
      <c r="F1077" s="193"/>
      <c r="G1077" s="193"/>
      <c r="H1077" s="193"/>
    </row>
    <row r="1078" spans="1:8" ht="15.6">
      <c r="A1078" s="193"/>
      <c r="B1078" s="193"/>
      <c r="C1078" s="193"/>
      <c r="D1078" s="193"/>
      <c r="E1078" s="193"/>
      <c r="F1078" s="193"/>
      <c r="G1078" s="193"/>
      <c r="H1078" s="193"/>
    </row>
    <row r="1079" spans="1:8" ht="15.6">
      <c r="A1079" s="193"/>
      <c r="B1079" s="193"/>
      <c r="C1079" s="193"/>
      <c r="D1079" s="193"/>
      <c r="E1079" s="193"/>
      <c r="F1079" s="193"/>
      <c r="G1079" s="193"/>
      <c r="H1079" s="193"/>
    </row>
    <row r="1080" spans="1:8" ht="15.6">
      <c r="A1080" s="193"/>
      <c r="B1080" s="193"/>
      <c r="C1080" s="193"/>
      <c r="D1080" s="193"/>
      <c r="E1080" s="193"/>
      <c r="F1080" s="193"/>
      <c r="G1080" s="193"/>
      <c r="H1080" s="193"/>
    </row>
    <row r="1081" spans="1:8" ht="15.6">
      <c r="A1081" s="193"/>
      <c r="B1081" s="193"/>
      <c r="C1081" s="193"/>
      <c r="D1081" s="193"/>
      <c r="E1081" s="193"/>
      <c r="F1081" s="193"/>
      <c r="G1081" s="193"/>
      <c r="H1081" s="193"/>
    </row>
    <row r="1082" spans="1:8" ht="15.6">
      <c r="A1082" s="193"/>
      <c r="B1082" s="193"/>
      <c r="C1082" s="193"/>
      <c r="D1082" s="193"/>
      <c r="E1082" s="193"/>
      <c r="F1082" s="193"/>
      <c r="G1082" s="193"/>
      <c r="H1082" s="193"/>
    </row>
    <row r="1083" spans="1:8" ht="15.6">
      <c r="A1083" s="193"/>
      <c r="B1083" s="193"/>
      <c r="C1083" s="193"/>
      <c r="D1083" s="193"/>
      <c r="E1083" s="193"/>
      <c r="F1083" s="193"/>
      <c r="G1083" s="193"/>
      <c r="H1083" s="193"/>
    </row>
    <row r="1084" spans="1:8" ht="15.6">
      <c r="A1084" s="193"/>
      <c r="B1084" s="193"/>
      <c r="C1084" s="193"/>
      <c r="D1084" s="193"/>
      <c r="E1084" s="193"/>
      <c r="F1084" s="193"/>
      <c r="G1084" s="193"/>
      <c r="H1084" s="193"/>
    </row>
    <row r="1085" spans="1:8" ht="15.6">
      <c r="A1085" s="193"/>
      <c r="B1085" s="193"/>
      <c r="C1085" s="193"/>
      <c r="D1085" s="193"/>
      <c r="E1085" s="193"/>
      <c r="F1085" s="193"/>
      <c r="G1085" s="193"/>
      <c r="H1085" s="193"/>
    </row>
    <row r="1086" spans="1:8" ht="15.6">
      <c r="A1086" s="193"/>
      <c r="B1086" s="193"/>
      <c r="C1086" s="193"/>
      <c r="D1086" s="193"/>
      <c r="E1086" s="193"/>
      <c r="F1086" s="193"/>
      <c r="G1086" s="193"/>
      <c r="H1086" s="193"/>
    </row>
    <row r="1087" spans="1:8" ht="15.6">
      <c r="A1087" s="193"/>
      <c r="B1087" s="193"/>
      <c r="C1087" s="193"/>
      <c r="D1087" s="193"/>
      <c r="E1087" s="193"/>
      <c r="F1087" s="193"/>
      <c r="G1087" s="193"/>
      <c r="H1087" s="193"/>
    </row>
    <row r="1088" spans="1:8" ht="15.6">
      <c r="A1088" s="193"/>
      <c r="B1088" s="193"/>
      <c r="C1088" s="193"/>
      <c r="D1088" s="193"/>
      <c r="E1088" s="193"/>
      <c r="F1088" s="193"/>
      <c r="G1088" s="193"/>
      <c r="H1088" s="193"/>
    </row>
    <row r="1089" spans="1:8" ht="15.6">
      <c r="A1089" s="193"/>
      <c r="B1089" s="193"/>
      <c r="C1089" s="193"/>
      <c r="D1089" s="193"/>
      <c r="E1089" s="193"/>
      <c r="F1089" s="193"/>
      <c r="G1089" s="193"/>
      <c r="H1089" s="193"/>
    </row>
    <row r="1090" spans="1:8" ht="15.6">
      <c r="A1090" s="193"/>
      <c r="B1090" s="193"/>
      <c r="C1090" s="193"/>
      <c r="D1090" s="193"/>
      <c r="E1090" s="193"/>
      <c r="F1090" s="193"/>
      <c r="G1090" s="193"/>
      <c r="H1090" s="193"/>
    </row>
    <row r="1091" spans="1:8" ht="15.6">
      <c r="A1091" s="193"/>
      <c r="B1091" s="193"/>
      <c r="C1091" s="193"/>
      <c r="D1091" s="193"/>
      <c r="E1091" s="193"/>
      <c r="F1091" s="193"/>
      <c r="G1091" s="193"/>
      <c r="H1091" s="193"/>
    </row>
    <row r="1092" spans="1:8" ht="15.6">
      <c r="A1092" s="193"/>
      <c r="B1092" s="193"/>
      <c r="C1092" s="193"/>
      <c r="D1092" s="193"/>
      <c r="E1092" s="193"/>
      <c r="F1092" s="193"/>
      <c r="G1092" s="193"/>
      <c r="H1092" s="193"/>
    </row>
    <row r="1093" spans="1:8" ht="15.6">
      <c r="A1093" s="193"/>
      <c r="B1093" s="193"/>
      <c r="C1093" s="193"/>
      <c r="D1093" s="193"/>
      <c r="E1093" s="193"/>
      <c r="F1093" s="193"/>
      <c r="G1093" s="193"/>
      <c r="H1093" s="193"/>
    </row>
    <row r="1094" spans="1:8" ht="15.6">
      <c r="A1094" s="193"/>
      <c r="B1094" s="193"/>
      <c r="C1094" s="193"/>
      <c r="D1094" s="193"/>
      <c r="E1094" s="193"/>
      <c r="F1094" s="193"/>
      <c r="G1094" s="193"/>
      <c r="H1094" s="193"/>
    </row>
    <row r="1095" spans="1:8" ht="15.6">
      <c r="A1095" s="193"/>
      <c r="B1095" s="193"/>
      <c r="C1095" s="193"/>
      <c r="D1095" s="193"/>
      <c r="E1095" s="193"/>
      <c r="F1095" s="193"/>
      <c r="G1095" s="193"/>
      <c r="H1095" s="193"/>
    </row>
    <row r="1096" spans="1:8" ht="15.6">
      <c r="A1096" s="193"/>
      <c r="B1096" s="193"/>
      <c r="C1096" s="193"/>
      <c r="D1096" s="193"/>
      <c r="E1096" s="193"/>
      <c r="F1096" s="193"/>
      <c r="G1096" s="193"/>
      <c r="H1096" s="193"/>
    </row>
    <row r="1097" spans="1:8" ht="15.6">
      <c r="A1097" s="193"/>
      <c r="B1097" s="193"/>
      <c r="C1097" s="193"/>
      <c r="D1097" s="193"/>
      <c r="E1097" s="193"/>
      <c r="F1097" s="193"/>
      <c r="G1097" s="193"/>
      <c r="H1097" s="193"/>
    </row>
    <row r="1098" spans="1:8" ht="15.6">
      <c r="A1098" s="193"/>
      <c r="B1098" s="193"/>
      <c r="C1098" s="193"/>
      <c r="D1098" s="193"/>
      <c r="E1098" s="193"/>
      <c r="F1098" s="193"/>
      <c r="G1098" s="193"/>
      <c r="H1098" s="193"/>
    </row>
    <row r="1099" spans="1:8" ht="15.6">
      <c r="A1099" s="193"/>
      <c r="B1099" s="193"/>
      <c r="C1099" s="193"/>
      <c r="D1099" s="193"/>
      <c r="E1099" s="193"/>
      <c r="F1099" s="193"/>
      <c r="G1099" s="193"/>
      <c r="H1099" s="193"/>
    </row>
    <row r="1100" spans="1:8" ht="15.6">
      <c r="A1100" s="193"/>
      <c r="B1100" s="193"/>
      <c r="C1100" s="193"/>
      <c r="D1100" s="193"/>
      <c r="E1100" s="193"/>
      <c r="F1100" s="193"/>
      <c r="G1100" s="193"/>
      <c r="H1100" s="193"/>
    </row>
    <row r="1101" spans="1:8" ht="15.6">
      <c r="A1101" s="193"/>
      <c r="B1101" s="193"/>
      <c r="C1101" s="193"/>
      <c r="D1101" s="193"/>
      <c r="E1101" s="193"/>
      <c r="F1101" s="193"/>
      <c r="G1101" s="193"/>
      <c r="H1101" s="193"/>
    </row>
    <row r="1102" spans="1:8" ht="15.6">
      <c r="A1102" s="193"/>
      <c r="B1102" s="193"/>
      <c r="C1102" s="193"/>
      <c r="D1102" s="193"/>
      <c r="E1102" s="193"/>
      <c r="F1102" s="193"/>
      <c r="G1102" s="193"/>
      <c r="H1102" s="193"/>
    </row>
    <row r="1103" spans="1:8" ht="15.6">
      <c r="A1103" s="193"/>
      <c r="B1103" s="193"/>
      <c r="C1103" s="193"/>
      <c r="D1103" s="193"/>
      <c r="E1103" s="193"/>
      <c r="F1103" s="193"/>
      <c r="G1103" s="193"/>
      <c r="H1103" s="193"/>
    </row>
    <row r="1104" spans="1:8" ht="15.6">
      <c r="A1104" s="193"/>
      <c r="B1104" s="193"/>
      <c r="C1104" s="193"/>
      <c r="D1104" s="193"/>
      <c r="E1104" s="193"/>
      <c r="F1104" s="193"/>
      <c r="G1104" s="193"/>
      <c r="H1104" s="193"/>
    </row>
    <row r="1105" spans="1:8" ht="15.6">
      <c r="A1105" s="193"/>
      <c r="B1105" s="193"/>
      <c r="C1105" s="193"/>
      <c r="D1105" s="193"/>
      <c r="E1105" s="193"/>
      <c r="F1105" s="193"/>
      <c r="G1105" s="193"/>
      <c r="H1105" s="193"/>
    </row>
    <row r="1106" spans="1:8" ht="15.6">
      <c r="A1106" s="193"/>
      <c r="B1106" s="193"/>
      <c r="C1106" s="193"/>
      <c r="D1106" s="193"/>
      <c r="E1106" s="193"/>
      <c r="F1106" s="193"/>
      <c r="G1106" s="193"/>
      <c r="H1106" s="193"/>
    </row>
    <row r="1107" spans="1:8" ht="15.6">
      <c r="A1107" s="193"/>
      <c r="B1107" s="193"/>
      <c r="C1107" s="193"/>
      <c r="D1107" s="193"/>
      <c r="E1107" s="193"/>
      <c r="F1107" s="193"/>
      <c r="G1107" s="193"/>
      <c r="H1107" s="193"/>
    </row>
    <row r="1108" spans="1:8" ht="15.6">
      <c r="A1108" s="193"/>
      <c r="B1108" s="193"/>
      <c r="C1108" s="193"/>
      <c r="D1108" s="193"/>
      <c r="E1108" s="193"/>
      <c r="F1108" s="193"/>
      <c r="G1108" s="193"/>
      <c r="H1108" s="193"/>
    </row>
    <row r="1109" spans="1:8" ht="15.6">
      <c r="A1109" s="193"/>
      <c r="B1109" s="193"/>
      <c r="C1109" s="193"/>
      <c r="D1109" s="193"/>
      <c r="E1109" s="193"/>
      <c r="F1109" s="193"/>
      <c r="G1109" s="193"/>
      <c r="H1109" s="193"/>
    </row>
    <row r="1110" spans="1:8" ht="15.6">
      <c r="A1110" s="193"/>
      <c r="B1110" s="193"/>
      <c r="C1110" s="193"/>
      <c r="D1110" s="193"/>
      <c r="E1110" s="193"/>
      <c r="F1110" s="193"/>
      <c r="G1110" s="193"/>
      <c r="H1110" s="193"/>
    </row>
    <row r="1111" spans="1:8" ht="15.6">
      <c r="A1111" s="193"/>
      <c r="B1111" s="193"/>
      <c r="C1111" s="193"/>
      <c r="D1111" s="193"/>
      <c r="E1111" s="193"/>
      <c r="F1111" s="193"/>
      <c r="G1111" s="193"/>
      <c r="H1111" s="193"/>
    </row>
  </sheetData>
  <mergeCells count="58">
    <mergeCell ref="C42:H42"/>
    <mergeCell ref="B1:G1"/>
    <mergeCell ref="B2:G2"/>
    <mergeCell ref="B4:G4"/>
    <mergeCell ref="C13:H13"/>
    <mergeCell ref="C14:H14"/>
    <mergeCell ref="C15:H15"/>
    <mergeCell ref="C25:H25"/>
    <mergeCell ref="C26:H26"/>
    <mergeCell ref="C27:H27"/>
    <mergeCell ref="C40:H40"/>
    <mergeCell ref="C41:H41"/>
    <mergeCell ref="C79:H79"/>
    <mergeCell ref="C80:H80"/>
    <mergeCell ref="C135:H135"/>
    <mergeCell ref="C78:H78"/>
    <mergeCell ref="C95:H95"/>
    <mergeCell ref="C96:H96"/>
    <mergeCell ref="B83:G83"/>
    <mergeCell ref="C87:H87"/>
    <mergeCell ref="C88:H88"/>
    <mergeCell ref="C89:H89"/>
    <mergeCell ref="C94:H94"/>
    <mergeCell ref="C103:H103"/>
    <mergeCell ref="C104:H104"/>
    <mergeCell ref="C120:H120"/>
    <mergeCell ref="C121:H121"/>
    <mergeCell ref="C126:H126"/>
    <mergeCell ref="C55:H55"/>
    <mergeCell ref="C56:H56"/>
    <mergeCell ref="C69:H69"/>
    <mergeCell ref="C70:H70"/>
    <mergeCell ref="C71:H71"/>
    <mergeCell ref="C57:H57"/>
    <mergeCell ref="C112:H112"/>
    <mergeCell ref="C113:H113"/>
    <mergeCell ref="C114:H114"/>
    <mergeCell ref="C127:H127"/>
    <mergeCell ref="C128:H128"/>
    <mergeCell ref="C180:H180"/>
    <mergeCell ref="C181:H181"/>
    <mergeCell ref="C182:H182"/>
    <mergeCell ref="C136:H136"/>
    <mergeCell ref="C142:H142"/>
    <mergeCell ref="C143:H143"/>
    <mergeCell ref="C144:H144"/>
    <mergeCell ref="C152:H152"/>
    <mergeCell ref="C153:H153"/>
    <mergeCell ref="C161:H161"/>
    <mergeCell ref="C162:H162"/>
    <mergeCell ref="C163:H163"/>
    <mergeCell ref="C171:H171"/>
    <mergeCell ref="C172:H172"/>
    <mergeCell ref="C190:H190"/>
    <mergeCell ref="C191:H191"/>
    <mergeCell ref="C198:H198"/>
    <mergeCell ref="C199:H199"/>
    <mergeCell ref="C200:H20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D14E-96C0-4E64-AB47-1178D0644EC9}">
  <sheetPr>
    <tabColor theme="8"/>
    <outlinePr summaryBelow="0" summaryRight="0"/>
  </sheetPr>
  <dimension ref="A1:AA1000"/>
  <sheetViews>
    <sheetView workbookViewId="0">
      <selection activeCell="G179" sqref="G179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79" customWidth="1"/>
    <col min="9" max="27" width="12.7109375" style="77"/>
    <col min="28" max="16384" width="12.7109375" style="79"/>
  </cols>
  <sheetData>
    <row r="1" spans="1:8" ht="33" customHeight="1">
      <c r="A1" s="204" t="s">
        <v>299</v>
      </c>
      <c r="B1" s="264" t="s">
        <v>300</v>
      </c>
      <c r="C1" s="264"/>
      <c r="D1" s="264"/>
      <c r="E1" s="264"/>
      <c r="F1" s="264"/>
      <c r="G1" s="264"/>
      <c r="H1" s="102" t="s">
        <v>301</v>
      </c>
    </row>
    <row r="2" spans="1:8" ht="20.25" customHeight="1">
      <c r="A2" s="100" t="s">
        <v>10</v>
      </c>
      <c r="B2" s="284" t="s">
        <v>481</v>
      </c>
      <c r="C2" s="285"/>
      <c r="D2" s="285"/>
      <c r="E2" s="285"/>
      <c r="F2" s="285"/>
      <c r="G2" s="285"/>
      <c r="H2" s="101">
        <f>AVERAGE(H4,H66,H110,H154,'ER&amp;MAchinery-2'!I3,'ER&amp;MAchinery-2'!I43)</f>
        <v>4</v>
      </c>
    </row>
    <row r="3" spans="1:8" ht="15" customHeight="1">
      <c r="A3" s="94"/>
      <c r="B3" s="95"/>
      <c r="C3" s="95"/>
      <c r="D3" s="96"/>
      <c r="E3" s="96"/>
      <c r="F3" s="96"/>
      <c r="G3" s="96"/>
      <c r="H3" s="97"/>
    </row>
    <row r="4" spans="1:8" ht="15.75" customHeight="1">
      <c r="A4" s="98">
        <v>1</v>
      </c>
      <c r="B4" s="215" t="s">
        <v>482</v>
      </c>
      <c r="C4" s="278"/>
      <c r="D4" s="278"/>
      <c r="E4" s="278"/>
      <c r="F4" s="278"/>
      <c r="G4" s="278"/>
      <c r="H4" s="90">
        <f>AVERAGE(H5:H64)</f>
        <v>4</v>
      </c>
    </row>
    <row r="5" spans="1:8" ht="15.75" customHeight="1">
      <c r="A5" s="82"/>
      <c r="B5" s="124" t="s">
        <v>483</v>
      </c>
      <c r="C5" s="193"/>
      <c r="D5" s="193" t="s">
        <v>484</v>
      </c>
      <c r="E5" s="194"/>
      <c r="F5" s="194"/>
      <c r="G5" s="194"/>
      <c r="H5" s="90">
        <f>AVERAGE(G7:G20)</f>
        <v>4</v>
      </c>
    </row>
    <row r="6" spans="1:8" ht="15.75" hidden="1" customHeight="1">
      <c r="A6" s="82"/>
      <c r="B6" s="193"/>
      <c r="C6" s="193"/>
      <c r="D6" s="193"/>
      <c r="E6" s="92" t="s">
        <v>31</v>
      </c>
      <c r="F6" s="92" t="s">
        <v>10</v>
      </c>
      <c r="G6" s="92" t="s">
        <v>306</v>
      </c>
      <c r="H6" s="91"/>
    </row>
    <row r="7" spans="1:8" ht="15.75" hidden="1" customHeight="1">
      <c r="A7" s="82"/>
      <c r="B7" s="193"/>
      <c r="C7" s="193" t="s">
        <v>307</v>
      </c>
      <c r="D7" s="193" t="s">
        <v>485</v>
      </c>
      <c r="E7" s="92" t="s">
        <v>285</v>
      </c>
      <c r="F7" s="92">
        <v>4</v>
      </c>
      <c r="G7" s="133">
        <f t="shared" ref="G7:G8" si="0">AVERAGE(E7:F7)</f>
        <v>4</v>
      </c>
      <c r="H7" s="91"/>
    </row>
    <row r="8" spans="1:8" ht="15.75" hidden="1" customHeight="1">
      <c r="A8" s="82"/>
      <c r="B8" s="193"/>
      <c r="C8" s="193" t="s">
        <v>309</v>
      </c>
      <c r="D8" s="193" t="s">
        <v>486</v>
      </c>
      <c r="E8" s="92" t="s">
        <v>285</v>
      </c>
      <c r="F8" s="92">
        <v>4</v>
      </c>
      <c r="G8" s="133">
        <f t="shared" si="0"/>
        <v>4</v>
      </c>
      <c r="H8" s="90"/>
    </row>
    <row r="9" spans="1:8" ht="15.75" hidden="1" customHeight="1">
      <c r="A9" s="82"/>
      <c r="B9" s="193"/>
      <c r="C9" s="193" t="s">
        <v>316</v>
      </c>
      <c r="D9" s="193" t="s">
        <v>487</v>
      </c>
      <c r="E9" s="92" t="s">
        <v>285</v>
      </c>
      <c r="F9" s="92">
        <v>4</v>
      </c>
      <c r="G9" s="133">
        <f>AVERAGE(E9:F9)</f>
        <v>4</v>
      </c>
      <c r="H9" s="90"/>
    </row>
    <row r="10" spans="1:8" ht="15.75" hidden="1" customHeight="1">
      <c r="A10" s="82"/>
      <c r="B10" s="193"/>
      <c r="C10" s="193" t="s">
        <v>318</v>
      </c>
      <c r="D10" s="193" t="s">
        <v>488</v>
      </c>
      <c r="E10" s="92" t="s">
        <v>285</v>
      </c>
      <c r="F10" s="92">
        <v>4</v>
      </c>
      <c r="G10" s="133">
        <f t="shared" ref="G10:G14" si="1">AVERAGE(E10:F10)</f>
        <v>4</v>
      </c>
      <c r="H10" s="90"/>
    </row>
    <row r="11" spans="1:8" ht="15.75" hidden="1" customHeight="1">
      <c r="A11" s="82"/>
      <c r="B11" s="193"/>
      <c r="C11" s="193" t="s">
        <v>320</v>
      </c>
      <c r="D11" s="193" t="s">
        <v>489</v>
      </c>
      <c r="E11" s="92" t="s">
        <v>285</v>
      </c>
      <c r="F11" s="92">
        <v>4</v>
      </c>
      <c r="G11" s="133">
        <f t="shared" si="1"/>
        <v>4</v>
      </c>
      <c r="H11" s="90"/>
    </row>
    <row r="12" spans="1:8" ht="15.75" hidden="1" customHeight="1">
      <c r="A12" s="82"/>
      <c r="B12" s="193"/>
      <c r="C12" s="193" t="s">
        <v>353</v>
      </c>
      <c r="D12" s="193" t="s">
        <v>490</v>
      </c>
      <c r="E12" s="92" t="s">
        <v>285</v>
      </c>
      <c r="F12" s="92">
        <v>4</v>
      </c>
      <c r="G12" s="133">
        <f t="shared" si="1"/>
        <v>4</v>
      </c>
      <c r="H12" s="90"/>
    </row>
    <row r="13" spans="1:8" ht="15.75" hidden="1" customHeight="1">
      <c r="A13" s="82"/>
      <c r="B13" s="193"/>
      <c r="C13" s="193" t="s">
        <v>355</v>
      </c>
      <c r="D13" s="193" t="s">
        <v>491</v>
      </c>
      <c r="E13" s="92">
        <v>4</v>
      </c>
      <c r="F13" s="92">
        <v>4</v>
      </c>
      <c r="G13" s="133">
        <f t="shared" si="1"/>
        <v>4</v>
      </c>
      <c r="H13" s="90"/>
    </row>
    <row r="14" spans="1:8" ht="15.75" hidden="1" customHeight="1">
      <c r="A14" s="82"/>
      <c r="B14" s="193"/>
      <c r="C14" s="193" t="s">
        <v>398</v>
      </c>
      <c r="D14" s="193" t="s">
        <v>492</v>
      </c>
      <c r="E14" s="92">
        <v>4</v>
      </c>
      <c r="F14" s="92" t="s">
        <v>285</v>
      </c>
      <c r="G14" s="133">
        <f t="shared" si="1"/>
        <v>4</v>
      </c>
      <c r="H14" s="90"/>
    </row>
    <row r="15" spans="1:8" ht="15.75" hidden="1" customHeight="1">
      <c r="A15" s="82"/>
      <c r="B15" s="193"/>
      <c r="C15" s="193" t="s">
        <v>407</v>
      </c>
      <c r="D15" s="193" t="s">
        <v>493</v>
      </c>
      <c r="E15" s="92">
        <v>4</v>
      </c>
      <c r="F15" s="92" t="s">
        <v>285</v>
      </c>
      <c r="G15" s="133">
        <f>AVERAGE(E15:F15)</f>
        <v>4</v>
      </c>
      <c r="H15" s="90"/>
    </row>
    <row r="16" spans="1:8" ht="15.75" hidden="1" customHeight="1">
      <c r="A16" s="82"/>
      <c r="B16" s="193"/>
      <c r="C16" s="193" t="s">
        <v>494</v>
      </c>
      <c r="D16" s="193" t="s">
        <v>495</v>
      </c>
      <c r="E16" s="92">
        <v>4</v>
      </c>
      <c r="F16" s="92" t="s">
        <v>285</v>
      </c>
      <c r="G16" s="133">
        <f t="shared" ref="G16:G18" si="2">AVERAGE(E16:F16)</f>
        <v>4</v>
      </c>
      <c r="H16" s="90"/>
    </row>
    <row r="17" spans="1:8" ht="15.75" hidden="1" customHeight="1">
      <c r="A17" s="82"/>
      <c r="B17" s="193"/>
      <c r="C17" s="193" t="s">
        <v>496</v>
      </c>
      <c r="D17" s="193" t="s">
        <v>497</v>
      </c>
      <c r="E17" s="92">
        <v>4</v>
      </c>
      <c r="F17" s="92" t="s">
        <v>285</v>
      </c>
      <c r="G17" s="133">
        <f t="shared" si="2"/>
        <v>4</v>
      </c>
      <c r="H17" s="90"/>
    </row>
    <row r="18" spans="1:8" ht="15.75" hidden="1" customHeight="1">
      <c r="A18" s="82"/>
      <c r="B18" s="193"/>
      <c r="C18" s="193" t="s">
        <v>498</v>
      </c>
      <c r="D18" s="193" t="s">
        <v>499</v>
      </c>
      <c r="E18" s="92" t="s">
        <v>285</v>
      </c>
      <c r="F18" s="92">
        <v>4</v>
      </c>
      <c r="G18" s="133">
        <f t="shared" si="2"/>
        <v>4</v>
      </c>
      <c r="H18" s="90"/>
    </row>
    <row r="19" spans="1:8" ht="15.75" hidden="1" customHeight="1">
      <c r="A19" s="82"/>
      <c r="B19" s="193"/>
      <c r="C19" s="193" t="s">
        <v>500</v>
      </c>
      <c r="D19" s="193" t="s">
        <v>501</v>
      </c>
      <c r="E19" s="92" t="s">
        <v>285</v>
      </c>
      <c r="F19" s="92">
        <v>4</v>
      </c>
      <c r="G19" s="133">
        <f t="shared" ref="G19:G20" si="3">AVERAGE(E19:F19)</f>
        <v>4</v>
      </c>
      <c r="H19" s="90"/>
    </row>
    <row r="20" spans="1:8" ht="15.75" hidden="1" customHeight="1">
      <c r="A20" s="82"/>
      <c r="B20" s="193"/>
      <c r="C20" s="193" t="s">
        <v>502</v>
      </c>
      <c r="D20" s="193" t="s">
        <v>437</v>
      </c>
      <c r="E20" s="92" t="s">
        <v>285</v>
      </c>
      <c r="F20" s="92">
        <v>4</v>
      </c>
      <c r="G20" s="133">
        <f t="shared" si="3"/>
        <v>4</v>
      </c>
      <c r="H20" s="90"/>
    </row>
    <row r="21" spans="1:8" ht="15.75" hidden="1" customHeight="1">
      <c r="A21" s="82"/>
      <c r="B21" s="192" t="s">
        <v>311</v>
      </c>
      <c r="C21" s="271"/>
      <c r="D21" s="271"/>
      <c r="E21" s="271"/>
      <c r="F21" s="271"/>
      <c r="G21" s="271"/>
      <c r="H21" s="272"/>
    </row>
    <row r="22" spans="1:8" ht="15.75" hidden="1" customHeight="1">
      <c r="A22" s="99"/>
      <c r="B22" s="87" t="s">
        <v>285</v>
      </c>
      <c r="C22" s="271" t="s">
        <v>312</v>
      </c>
      <c r="D22" s="271"/>
      <c r="E22" s="271"/>
      <c r="F22" s="271"/>
      <c r="G22" s="271"/>
      <c r="H22" s="272"/>
    </row>
    <row r="23" spans="1:8" ht="15.75" hidden="1" customHeight="1">
      <c r="A23" s="82"/>
      <c r="B23" s="87" t="s">
        <v>285</v>
      </c>
      <c r="C23" s="271" t="s">
        <v>312</v>
      </c>
      <c r="D23" s="271"/>
      <c r="E23" s="271"/>
      <c r="F23" s="271"/>
      <c r="G23" s="271"/>
      <c r="H23" s="272"/>
    </row>
    <row r="24" spans="1:8" ht="15.75" hidden="1" customHeight="1">
      <c r="A24" s="82"/>
      <c r="B24" s="86"/>
      <c r="C24" s="193"/>
      <c r="D24" s="193"/>
      <c r="E24" s="92"/>
      <c r="F24" s="92"/>
      <c r="G24" s="92"/>
      <c r="H24" s="91"/>
    </row>
    <row r="25" spans="1:8" ht="15.75" customHeight="1">
      <c r="A25" s="82"/>
      <c r="B25" s="124" t="s">
        <v>503</v>
      </c>
      <c r="C25" s="193"/>
      <c r="D25" s="193" t="s">
        <v>504</v>
      </c>
      <c r="E25" s="93"/>
      <c r="F25" s="93"/>
      <c r="G25" s="93"/>
      <c r="H25" s="90">
        <f>AVERAGE(G27:G30)</f>
        <v>4</v>
      </c>
    </row>
    <row r="26" spans="1:8" ht="15.75" hidden="1" customHeight="1">
      <c r="A26" s="82"/>
      <c r="B26" s="193"/>
      <c r="C26" s="193"/>
      <c r="D26" s="193"/>
      <c r="E26" s="92" t="s">
        <v>31</v>
      </c>
      <c r="F26" s="92" t="s">
        <v>10</v>
      </c>
      <c r="G26" s="92" t="s">
        <v>306</v>
      </c>
      <c r="H26" s="91"/>
    </row>
    <row r="27" spans="1:8" ht="15.75" hidden="1" customHeight="1">
      <c r="A27" s="82"/>
      <c r="B27" s="193"/>
      <c r="C27" s="193" t="s">
        <v>307</v>
      </c>
      <c r="D27" s="193" t="s">
        <v>505</v>
      </c>
      <c r="E27" s="92">
        <v>4</v>
      </c>
      <c r="F27" s="92" t="s">
        <v>285</v>
      </c>
      <c r="G27" s="133">
        <f t="shared" ref="G27:G28" si="4">AVERAGE(E27:F27)</f>
        <v>4</v>
      </c>
      <c r="H27" s="91"/>
    </row>
    <row r="28" spans="1:8" ht="15.75" hidden="1" customHeight="1">
      <c r="A28" s="82"/>
      <c r="B28" s="193"/>
      <c r="C28" s="193" t="s">
        <v>309</v>
      </c>
      <c r="D28" s="193" t="s">
        <v>506</v>
      </c>
      <c r="E28" s="92">
        <v>4</v>
      </c>
      <c r="F28" s="92" t="s">
        <v>285</v>
      </c>
      <c r="G28" s="133">
        <f t="shared" si="4"/>
        <v>4</v>
      </c>
      <c r="H28" s="90"/>
    </row>
    <row r="29" spans="1:8" ht="15.75" hidden="1" customHeight="1">
      <c r="A29" s="82"/>
      <c r="B29" s="193"/>
      <c r="C29" s="193" t="s">
        <v>316</v>
      </c>
      <c r="D29" s="193" t="s">
        <v>507</v>
      </c>
      <c r="E29" s="92">
        <v>4</v>
      </c>
      <c r="F29" s="92" t="s">
        <v>285</v>
      </c>
      <c r="G29" s="133">
        <f>AVERAGE(E29:F29)</f>
        <v>4</v>
      </c>
      <c r="H29" s="90"/>
    </row>
    <row r="30" spans="1:8" ht="15.75" hidden="1" customHeight="1">
      <c r="A30" s="82"/>
      <c r="B30" s="86"/>
      <c r="C30" s="193" t="s">
        <v>318</v>
      </c>
      <c r="D30" s="193" t="s">
        <v>393</v>
      </c>
      <c r="E30" s="92" t="s">
        <v>285</v>
      </c>
      <c r="F30" s="92">
        <v>4</v>
      </c>
      <c r="G30" s="133">
        <f t="shared" ref="G30" si="5">AVERAGE(E30:F30)</f>
        <v>4</v>
      </c>
      <c r="H30" s="90"/>
    </row>
    <row r="31" spans="1:8" ht="15.75" hidden="1" customHeight="1">
      <c r="A31" s="82"/>
      <c r="B31" s="192" t="s">
        <v>311</v>
      </c>
      <c r="C31" s="271"/>
      <c r="D31" s="271"/>
      <c r="E31" s="271"/>
      <c r="F31" s="271"/>
      <c r="G31" s="271"/>
      <c r="H31" s="272"/>
    </row>
    <row r="32" spans="1:8" ht="15.75" hidden="1" customHeight="1">
      <c r="A32" s="99"/>
      <c r="B32" s="87" t="s">
        <v>285</v>
      </c>
      <c r="C32" s="271" t="s">
        <v>312</v>
      </c>
      <c r="D32" s="271"/>
      <c r="E32" s="271"/>
      <c r="F32" s="271"/>
      <c r="G32" s="271"/>
      <c r="H32" s="272"/>
    </row>
    <row r="33" spans="1:8" ht="15.75" hidden="1" customHeight="1">
      <c r="A33" s="82"/>
      <c r="B33" s="87" t="s">
        <v>285</v>
      </c>
      <c r="C33" s="271" t="s">
        <v>312</v>
      </c>
      <c r="D33" s="271"/>
      <c r="E33" s="271"/>
      <c r="F33" s="271"/>
      <c r="G33" s="271"/>
      <c r="H33" s="272"/>
    </row>
    <row r="34" spans="1:8" ht="15.75" hidden="1" customHeight="1">
      <c r="A34" s="82"/>
      <c r="B34" s="86"/>
      <c r="C34" s="193"/>
      <c r="D34" s="193"/>
      <c r="E34" s="92"/>
      <c r="F34" s="92"/>
      <c r="G34" s="92"/>
      <c r="H34" s="91"/>
    </row>
    <row r="35" spans="1:8" ht="15.75" customHeight="1">
      <c r="A35" s="82"/>
      <c r="B35" s="87" t="s">
        <v>381</v>
      </c>
      <c r="C35" s="193"/>
      <c r="D35" s="193" t="s">
        <v>508</v>
      </c>
      <c r="E35" s="93"/>
      <c r="F35" s="93"/>
      <c r="G35" s="93"/>
      <c r="H35" s="90">
        <f>AVERAGE(G37:G45)</f>
        <v>4</v>
      </c>
    </row>
    <row r="36" spans="1:8" ht="15.75" hidden="1" customHeight="1">
      <c r="A36" s="82"/>
      <c r="B36" s="193"/>
      <c r="C36" s="193"/>
      <c r="D36" s="193"/>
      <c r="E36" s="92" t="s">
        <v>31</v>
      </c>
      <c r="F36" s="92" t="s">
        <v>10</v>
      </c>
      <c r="G36" s="92" t="s">
        <v>306</v>
      </c>
      <c r="H36" s="91"/>
    </row>
    <row r="37" spans="1:8" ht="15.75" hidden="1" customHeight="1">
      <c r="A37" s="82"/>
      <c r="B37" s="193"/>
      <c r="C37" s="193" t="s">
        <v>307</v>
      </c>
      <c r="D37" s="193" t="s">
        <v>485</v>
      </c>
      <c r="E37" s="92" t="s">
        <v>285</v>
      </c>
      <c r="F37" s="92">
        <v>4</v>
      </c>
      <c r="G37" s="133">
        <f t="shared" ref="G37" si="6">AVERAGE(E37:F37)</f>
        <v>4</v>
      </c>
      <c r="H37" s="91"/>
    </row>
    <row r="38" spans="1:8" ht="15.75" hidden="1" customHeight="1">
      <c r="A38" s="82"/>
      <c r="B38" s="193"/>
      <c r="C38" s="193" t="s">
        <v>309</v>
      </c>
      <c r="D38" s="193" t="s">
        <v>509</v>
      </c>
      <c r="E38" s="92" t="s">
        <v>285</v>
      </c>
      <c r="F38" s="92">
        <v>4</v>
      </c>
      <c r="G38" s="133">
        <f>AVERAGE(E38:F38)</f>
        <v>4</v>
      </c>
      <c r="H38" s="90"/>
    </row>
    <row r="39" spans="1:8" ht="15.75" hidden="1" customHeight="1">
      <c r="A39" s="82"/>
      <c r="B39" s="193"/>
      <c r="C39" s="193" t="s">
        <v>316</v>
      </c>
      <c r="D39" s="193" t="s">
        <v>487</v>
      </c>
      <c r="E39" s="92" t="s">
        <v>285</v>
      </c>
      <c r="F39" s="92">
        <v>4</v>
      </c>
      <c r="G39" s="133">
        <f t="shared" ref="G39:G45" si="7">AVERAGE(E39:F39)</f>
        <v>4</v>
      </c>
      <c r="H39" s="91"/>
    </row>
    <row r="40" spans="1:8" ht="15.75" hidden="1" customHeight="1">
      <c r="A40" s="82"/>
      <c r="B40" s="193"/>
      <c r="C40" s="193" t="s">
        <v>318</v>
      </c>
      <c r="D40" s="193" t="s">
        <v>488</v>
      </c>
      <c r="E40" s="92" t="s">
        <v>285</v>
      </c>
      <c r="F40" s="92">
        <v>4</v>
      </c>
      <c r="G40" s="133">
        <f t="shared" si="7"/>
        <v>4</v>
      </c>
      <c r="H40" s="91"/>
    </row>
    <row r="41" spans="1:8" ht="15.75" hidden="1" customHeight="1">
      <c r="A41" s="82"/>
      <c r="B41" s="193"/>
      <c r="C41" s="193" t="s">
        <v>320</v>
      </c>
      <c r="D41" s="193" t="s">
        <v>491</v>
      </c>
      <c r="E41" s="92">
        <v>4</v>
      </c>
      <c r="F41" s="92" t="s">
        <v>285</v>
      </c>
      <c r="G41" s="133">
        <f t="shared" si="7"/>
        <v>4</v>
      </c>
      <c r="H41" s="91"/>
    </row>
    <row r="42" spans="1:8" ht="15.75" hidden="1" customHeight="1">
      <c r="A42" s="82"/>
      <c r="B42" s="193"/>
      <c r="C42" s="193" t="s">
        <v>353</v>
      </c>
      <c r="D42" s="193" t="s">
        <v>492</v>
      </c>
      <c r="E42" s="92">
        <v>4</v>
      </c>
      <c r="F42" s="92" t="s">
        <v>285</v>
      </c>
      <c r="G42" s="133">
        <f t="shared" si="7"/>
        <v>4</v>
      </c>
      <c r="H42" s="91"/>
    </row>
    <row r="43" spans="1:8" ht="15.75" hidden="1" customHeight="1">
      <c r="A43" s="82"/>
      <c r="B43" s="193"/>
      <c r="C43" s="193" t="s">
        <v>355</v>
      </c>
      <c r="D43" s="193" t="s">
        <v>493</v>
      </c>
      <c r="E43" s="92">
        <v>4</v>
      </c>
      <c r="F43" s="92" t="s">
        <v>285</v>
      </c>
      <c r="G43" s="133">
        <f t="shared" si="7"/>
        <v>4</v>
      </c>
      <c r="H43" s="91"/>
    </row>
    <row r="44" spans="1:8" ht="15.75" hidden="1" customHeight="1">
      <c r="A44" s="82"/>
      <c r="B44" s="193"/>
      <c r="C44" s="193" t="s">
        <v>398</v>
      </c>
      <c r="D44" s="193" t="s">
        <v>497</v>
      </c>
      <c r="E44" s="92">
        <v>4</v>
      </c>
      <c r="F44" s="92" t="s">
        <v>285</v>
      </c>
      <c r="G44" s="133">
        <f t="shared" si="7"/>
        <v>4</v>
      </c>
      <c r="H44" s="91"/>
    </row>
    <row r="45" spans="1:8" ht="15.75" hidden="1" customHeight="1">
      <c r="A45" s="82"/>
      <c r="B45" s="193"/>
      <c r="C45" s="193" t="s">
        <v>407</v>
      </c>
      <c r="D45" s="193" t="s">
        <v>437</v>
      </c>
      <c r="E45" s="92" t="s">
        <v>285</v>
      </c>
      <c r="F45" s="92">
        <v>4</v>
      </c>
      <c r="G45" s="133">
        <f t="shared" si="7"/>
        <v>4</v>
      </c>
      <c r="H45" s="91"/>
    </row>
    <row r="46" spans="1:8" ht="15.75" hidden="1" customHeight="1">
      <c r="A46" s="82"/>
      <c r="B46" s="192" t="s">
        <v>311</v>
      </c>
      <c r="C46" s="271"/>
      <c r="D46" s="271"/>
      <c r="E46" s="271"/>
      <c r="F46" s="271"/>
      <c r="G46" s="271"/>
      <c r="H46" s="272"/>
    </row>
    <row r="47" spans="1:8" ht="15.75" hidden="1" customHeight="1">
      <c r="A47" s="99"/>
      <c r="B47" s="87" t="s">
        <v>285</v>
      </c>
      <c r="C47" s="271" t="s">
        <v>312</v>
      </c>
      <c r="D47" s="271"/>
      <c r="E47" s="271"/>
      <c r="F47" s="271"/>
      <c r="G47" s="271"/>
      <c r="H47" s="272"/>
    </row>
    <row r="48" spans="1:8" ht="15.75" hidden="1" customHeight="1">
      <c r="A48" s="82"/>
      <c r="B48" s="87" t="s">
        <v>285</v>
      </c>
      <c r="C48" s="271" t="s">
        <v>312</v>
      </c>
      <c r="D48" s="271"/>
      <c r="E48" s="271"/>
      <c r="F48" s="271"/>
      <c r="G48" s="271"/>
      <c r="H48" s="272"/>
    </row>
    <row r="49" spans="1:8" ht="15.75" hidden="1" customHeight="1">
      <c r="A49" s="82"/>
      <c r="B49" s="87"/>
      <c r="C49" s="208"/>
      <c r="D49" s="208"/>
      <c r="E49" s="208"/>
      <c r="F49" s="208"/>
      <c r="G49" s="208"/>
      <c r="H49" s="209"/>
    </row>
    <row r="50" spans="1:8" ht="15.6">
      <c r="A50" s="82"/>
      <c r="B50" s="78">
        <v>1.4</v>
      </c>
      <c r="C50" s="193"/>
      <c r="D50" s="193" t="s">
        <v>510</v>
      </c>
      <c r="E50" s="93"/>
      <c r="F50" s="93"/>
      <c r="G50" s="93"/>
      <c r="H50" s="90">
        <f>AVERAGE(G52:G60)</f>
        <v>4</v>
      </c>
    </row>
    <row r="51" spans="1:8" ht="15.6" hidden="1">
      <c r="A51" s="82"/>
      <c r="B51" s="193"/>
      <c r="C51" s="193"/>
      <c r="D51" s="193"/>
      <c r="E51" s="92" t="s">
        <v>31</v>
      </c>
      <c r="F51" s="92" t="s">
        <v>10</v>
      </c>
      <c r="G51" s="92" t="s">
        <v>306</v>
      </c>
      <c r="H51" s="91"/>
    </row>
    <row r="52" spans="1:8" ht="15.6" hidden="1">
      <c r="A52" s="82"/>
      <c r="B52" s="193"/>
      <c r="C52" s="193" t="s">
        <v>307</v>
      </c>
      <c r="D52" s="193" t="s">
        <v>485</v>
      </c>
      <c r="E52" s="92" t="s">
        <v>285</v>
      </c>
      <c r="F52" s="92">
        <v>4</v>
      </c>
      <c r="G52" s="133">
        <f t="shared" ref="G52" si="8">AVERAGE(E52:F52)</f>
        <v>4</v>
      </c>
      <c r="H52" s="91"/>
    </row>
    <row r="53" spans="1:8" ht="15.6" hidden="1">
      <c r="A53" s="82"/>
      <c r="B53" s="193"/>
      <c r="C53" s="193" t="s">
        <v>309</v>
      </c>
      <c r="D53" s="193" t="s">
        <v>509</v>
      </c>
      <c r="E53" s="92" t="s">
        <v>285</v>
      </c>
      <c r="F53" s="92">
        <v>4</v>
      </c>
      <c r="G53" s="133">
        <f>AVERAGE(E53:F53)</f>
        <v>4</v>
      </c>
      <c r="H53" s="90"/>
    </row>
    <row r="54" spans="1:8" ht="15.6" hidden="1">
      <c r="A54" s="82"/>
      <c r="B54" s="193"/>
      <c r="C54" s="193" t="s">
        <v>316</v>
      </c>
      <c r="D54" s="193" t="s">
        <v>487</v>
      </c>
      <c r="E54" s="92" t="s">
        <v>285</v>
      </c>
      <c r="F54" s="92">
        <v>4</v>
      </c>
      <c r="G54" s="133">
        <f t="shared" ref="G54:G60" si="9">AVERAGE(E54:F54)</f>
        <v>4</v>
      </c>
      <c r="H54" s="91"/>
    </row>
    <row r="55" spans="1:8" ht="15.6" hidden="1">
      <c r="A55" s="82"/>
      <c r="B55" s="193"/>
      <c r="C55" s="193" t="s">
        <v>318</v>
      </c>
      <c r="D55" s="193" t="s">
        <v>488</v>
      </c>
      <c r="E55" s="92" t="s">
        <v>285</v>
      </c>
      <c r="F55" s="92">
        <v>4</v>
      </c>
      <c r="G55" s="133">
        <f t="shared" si="9"/>
        <v>4</v>
      </c>
      <c r="H55" s="91"/>
    </row>
    <row r="56" spans="1:8" ht="15.6" hidden="1">
      <c r="A56" s="82"/>
      <c r="B56" s="193"/>
      <c r="C56" s="193" t="s">
        <v>320</v>
      </c>
      <c r="D56" s="193" t="s">
        <v>491</v>
      </c>
      <c r="E56" s="92">
        <v>4</v>
      </c>
      <c r="F56" s="92" t="s">
        <v>285</v>
      </c>
      <c r="G56" s="133">
        <f t="shared" si="9"/>
        <v>4</v>
      </c>
      <c r="H56" s="91"/>
    </row>
    <row r="57" spans="1:8" ht="15.6" hidden="1">
      <c r="A57" s="82"/>
      <c r="B57" s="193"/>
      <c r="C57" s="193" t="s">
        <v>353</v>
      </c>
      <c r="D57" s="193" t="s">
        <v>492</v>
      </c>
      <c r="E57" s="92">
        <v>4</v>
      </c>
      <c r="F57" s="92" t="s">
        <v>285</v>
      </c>
      <c r="G57" s="133">
        <f t="shared" si="9"/>
        <v>4</v>
      </c>
      <c r="H57" s="91"/>
    </row>
    <row r="58" spans="1:8" ht="15.6" hidden="1">
      <c r="A58" s="82"/>
      <c r="B58" s="193"/>
      <c r="C58" s="193" t="s">
        <v>355</v>
      </c>
      <c r="D58" s="193" t="s">
        <v>493</v>
      </c>
      <c r="E58" s="92">
        <v>4</v>
      </c>
      <c r="F58" s="92" t="s">
        <v>285</v>
      </c>
      <c r="G58" s="133">
        <f t="shared" si="9"/>
        <v>4</v>
      </c>
      <c r="H58" s="91"/>
    </row>
    <row r="59" spans="1:8" ht="15.6" hidden="1">
      <c r="A59" s="82"/>
      <c r="B59" s="193"/>
      <c r="C59" s="193" t="s">
        <v>398</v>
      </c>
      <c r="D59" s="193" t="s">
        <v>497</v>
      </c>
      <c r="E59" s="92">
        <v>4</v>
      </c>
      <c r="F59" s="92" t="s">
        <v>285</v>
      </c>
      <c r="G59" s="133">
        <f t="shared" si="9"/>
        <v>4</v>
      </c>
      <c r="H59" s="91"/>
    </row>
    <row r="60" spans="1:8" ht="15.6" hidden="1">
      <c r="A60" s="82"/>
      <c r="B60" s="193"/>
      <c r="C60" s="193" t="s">
        <v>407</v>
      </c>
      <c r="D60" s="193" t="s">
        <v>437</v>
      </c>
      <c r="E60" s="92" t="s">
        <v>285</v>
      </c>
      <c r="F60" s="92">
        <v>4</v>
      </c>
      <c r="G60" s="133">
        <f t="shared" si="9"/>
        <v>4</v>
      </c>
      <c r="H60" s="91"/>
    </row>
    <row r="61" spans="1:8" ht="15.6" hidden="1">
      <c r="A61" s="82"/>
      <c r="B61" s="192" t="s">
        <v>311</v>
      </c>
      <c r="C61" s="271"/>
      <c r="D61" s="271"/>
      <c r="E61" s="271"/>
      <c r="F61" s="271"/>
      <c r="G61" s="271"/>
      <c r="H61" s="272"/>
    </row>
    <row r="62" spans="1:8" ht="15.6" hidden="1">
      <c r="A62" s="82"/>
      <c r="B62" s="87" t="s">
        <v>285</v>
      </c>
      <c r="C62" s="271" t="s">
        <v>312</v>
      </c>
      <c r="D62" s="271"/>
      <c r="E62" s="271"/>
      <c r="F62" s="271"/>
      <c r="G62" s="271"/>
      <c r="H62" s="272"/>
    </row>
    <row r="63" spans="1:8" ht="15.6" hidden="1">
      <c r="A63" s="82"/>
      <c r="B63" s="87" t="s">
        <v>285</v>
      </c>
      <c r="C63" s="271" t="s">
        <v>312</v>
      </c>
      <c r="D63" s="271"/>
      <c r="E63" s="271"/>
      <c r="F63" s="271"/>
      <c r="G63" s="271"/>
      <c r="H63" s="272"/>
    </row>
    <row r="64" spans="1:8" ht="15.6" hidden="1">
      <c r="A64" s="82"/>
      <c r="B64" s="87"/>
      <c r="C64" s="208"/>
      <c r="D64" s="208"/>
      <c r="E64" s="208"/>
      <c r="F64" s="208"/>
      <c r="G64" s="208"/>
      <c r="H64" s="209"/>
    </row>
    <row r="65" spans="1:8" ht="15.75" customHeight="1">
      <c r="A65" s="94"/>
      <c r="B65" s="95"/>
      <c r="C65" s="95"/>
      <c r="D65" s="96"/>
      <c r="E65" s="96"/>
      <c r="F65" s="96"/>
      <c r="G65" s="96"/>
      <c r="H65" s="97"/>
    </row>
    <row r="66" spans="1:8" ht="15.75" customHeight="1">
      <c r="A66" s="98">
        <v>2</v>
      </c>
      <c r="B66" s="275" t="s">
        <v>511</v>
      </c>
      <c r="C66" s="275"/>
      <c r="D66" s="275"/>
      <c r="E66" s="275"/>
      <c r="F66" s="275"/>
      <c r="G66" s="275"/>
      <c r="H66" s="103">
        <f>AVERAGE(H67:H108)</f>
        <v>4</v>
      </c>
    </row>
    <row r="67" spans="1:8" ht="15.75" customHeight="1">
      <c r="A67" s="82"/>
      <c r="B67" s="124" t="s">
        <v>439</v>
      </c>
      <c r="C67" s="193"/>
      <c r="D67" s="193" t="s">
        <v>512</v>
      </c>
      <c r="E67" s="194"/>
      <c r="F67" s="194"/>
      <c r="G67" s="194"/>
      <c r="H67" s="90">
        <f>AVERAGE(G69:G73)</f>
        <v>4</v>
      </c>
    </row>
    <row r="68" spans="1:8" ht="15.75" hidden="1" customHeight="1">
      <c r="A68" s="82"/>
      <c r="B68" s="193"/>
      <c r="C68" s="193"/>
      <c r="D68" s="193"/>
      <c r="E68" s="194"/>
      <c r="F68" s="92" t="s">
        <v>31</v>
      </c>
      <c r="G68" s="92" t="s">
        <v>306</v>
      </c>
      <c r="H68" s="84"/>
    </row>
    <row r="69" spans="1:8" ht="15.75" hidden="1" customHeight="1">
      <c r="A69" s="82"/>
      <c r="B69" s="193"/>
      <c r="C69" s="193" t="s">
        <v>307</v>
      </c>
      <c r="D69" s="193" t="s">
        <v>513</v>
      </c>
      <c r="E69" s="194"/>
      <c r="F69" s="92">
        <v>4</v>
      </c>
      <c r="G69" s="133">
        <f>AVERAGE(F69:F69)</f>
        <v>4</v>
      </c>
      <c r="H69" s="84"/>
    </row>
    <row r="70" spans="1:8" ht="15.75" hidden="1" customHeight="1">
      <c r="A70" s="82"/>
      <c r="B70" s="193"/>
      <c r="C70" s="193" t="s">
        <v>309</v>
      </c>
      <c r="D70" s="193" t="s">
        <v>514</v>
      </c>
      <c r="E70" s="194"/>
      <c r="F70" s="92">
        <v>4</v>
      </c>
      <c r="G70" s="133">
        <f>AVERAGE(F70:F70)</f>
        <v>4</v>
      </c>
      <c r="H70" s="84"/>
    </row>
    <row r="71" spans="1:8" ht="15.75" hidden="1" customHeight="1">
      <c r="A71" s="82"/>
      <c r="B71" s="193"/>
      <c r="C71" s="193" t="s">
        <v>316</v>
      </c>
      <c r="D71" s="193" t="s">
        <v>515</v>
      </c>
      <c r="E71" s="194"/>
      <c r="F71" s="92">
        <v>4</v>
      </c>
      <c r="G71" s="133">
        <f>AVERAGE(F71:F71)</f>
        <v>4</v>
      </c>
      <c r="H71" s="84"/>
    </row>
    <row r="72" spans="1:8" ht="15.75" hidden="1" customHeight="1">
      <c r="A72" s="82"/>
      <c r="B72" s="193"/>
      <c r="C72" s="193" t="s">
        <v>318</v>
      </c>
      <c r="D72" s="193" t="s">
        <v>516</v>
      </c>
      <c r="E72" s="194"/>
      <c r="F72" s="92">
        <v>4</v>
      </c>
      <c r="G72" s="133">
        <f>AVERAGE(F72:F72)</f>
        <v>4</v>
      </c>
      <c r="H72" s="84"/>
    </row>
    <row r="73" spans="1:8" ht="15.75" hidden="1" customHeight="1">
      <c r="A73" s="82"/>
      <c r="B73" s="193"/>
      <c r="C73" s="193" t="s">
        <v>320</v>
      </c>
      <c r="D73" s="193" t="s">
        <v>433</v>
      </c>
      <c r="E73" s="194"/>
      <c r="F73" s="92">
        <v>4</v>
      </c>
      <c r="G73" s="133">
        <f>AVERAGE(F73:F73)</f>
        <v>4</v>
      </c>
      <c r="H73" s="84"/>
    </row>
    <row r="74" spans="1:8" ht="15.75" hidden="1" customHeight="1">
      <c r="A74" s="82"/>
      <c r="B74" s="192" t="s">
        <v>311</v>
      </c>
      <c r="C74" s="271"/>
      <c r="D74" s="271"/>
      <c r="E74" s="271"/>
      <c r="F74" s="271"/>
      <c r="G74" s="271"/>
      <c r="H74" s="272"/>
    </row>
    <row r="75" spans="1:8" ht="15.75" hidden="1" customHeight="1">
      <c r="A75" s="99"/>
      <c r="B75" s="87" t="s">
        <v>285</v>
      </c>
      <c r="C75" s="271" t="s">
        <v>312</v>
      </c>
      <c r="D75" s="271"/>
      <c r="E75" s="271"/>
      <c r="F75" s="271"/>
      <c r="G75" s="271"/>
      <c r="H75" s="272"/>
    </row>
    <row r="76" spans="1:8" ht="15.75" hidden="1" customHeight="1">
      <c r="A76" s="82"/>
      <c r="B76" s="87" t="s">
        <v>285</v>
      </c>
      <c r="C76" s="271" t="s">
        <v>312</v>
      </c>
      <c r="D76" s="271"/>
      <c r="E76" s="271"/>
      <c r="F76" s="271"/>
      <c r="G76" s="271"/>
      <c r="H76" s="272"/>
    </row>
    <row r="77" spans="1:8" ht="15.6" hidden="1">
      <c r="A77" s="82"/>
      <c r="B77" s="80"/>
      <c r="C77" s="193"/>
      <c r="D77" s="193"/>
      <c r="E77" s="92"/>
      <c r="F77" s="92"/>
      <c r="G77" s="92"/>
      <c r="H77" s="83"/>
    </row>
    <row r="78" spans="1:8" ht="15.6">
      <c r="A78" s="82"/>
      <c r="B78" s="124" t="s">
        <v>441</v>
      </c>
      <c r="C78" s="193"/>
      <c r="D78" s="193" t="s">
        <v>517</v>
      </c>
      <c r="E78" s="92"/>
      <c r="F78" s="92"/>
      <c r="G78" s="92"/>
      <c r="H78" s="90">
        <f>AVERAGE(G80:G84)</f>
        <v>4</v>
      </c>
    </row>
    <row r="79" spans="1:8" ht="15.6" hidden="1">
      <c r="A79" s="82"/>
      <c r="B79" s="193"/>
      <c r="C79" s="193"/>
      <c r="D79" s="193"/>
      <c r="E79" s="194"/>
      <c r="F79" s="92" t="s">
        <v>31</v>
      </c>
      <c r="G79" s="92" t="s">
        <v>306</v>
      </c>
      <c r="H79" s="84"/>
    </row>
    <row r="80" spans="1:8" ht="15.6" hidden="1">
      <c r="A80" s="82"/>
      <c r="B80" s="193"/>
      <c r="C80" s="193" t="s">
        <v>307</v>
      </c>
      <c r="D80" s="193" t="s">
        <v>513</v>
      </c>
      <c r="E80" s="194"/>
      <c r="F80" s="92">
        <v>4</v>
      </c>
      <c r="G80" s="133">
        <f>AVERAGE(F80:F80)</f>
        <v>4</v>
      </c>
      <c r="H80" s="84"/>
    </row>
    <row r="81" spans="1:8" ht="15.6" hidden="1">
      <c r="A81" s="82"/>
      <c r="B81" s="193"/>
      <c r="C81" s="193" t="s">
        <v>309</v>
      </c>
      <c r="D81" s="193" t="s">
        <v>514</v>
      </c>
      <c r="E81" s="194"/>
      <c r="F81" s="92">
        <v>4</v>
      </c>
      <c r="G81" s="133">
        <f>AVERAGE(F81:F81)</f>
        <v>4</v>
      </c>
      <c r="H81" s="84"/>
    </row>
    <row r="82" spans="1:8" ht="15.6" hidden="1">
      <c r="A82" s="82"/>
      <c r="B82" s="193"/>
      <c r="C82" s="193" t="s">
        <v>316</v>
      </c>
      <c r="D82" s="193" t="s">
        <v>515</v>
      </c>
      <c r="E82" s="194"/>
      <c r="F82" s="92">
        <v>4</v>
      </c>
      <c r="G82" s="133">
        <f>AVERAGE(F82:F82)</f>
        <v>4</v>
      </c>
      <c r="H82" s="84"/>
    </row>
    <row r="83" spans="1:8" ht="15.6" hidden="1">
      <c r="A83" s="82"/>
      <c r="B83" s="193"/>
      <c r="C83" s="193" t="s">
        <v>318</v>
      </c>
      <c r="D83" s="193" t="s">
        <v>516</v>
      </c>
      <c r="E83" s="194"/>
      <c r="F83" s="92">
        <v>4</v>
      </c>
      <c r="G83" s="133">
        <f>AVERAGE(F83:F83)</f>
        <v>4</v>
      </c>
      <c r="H83" s="84"/>
    </row>
    <row r="84" spans="1:8" ht="15.6" hidden="1">
      <c r="A84" s="82"/>
      <c r="B84" s="193"/>
      <c r="C84" s="193" t="s">
        <v>320</v>
      </c>
      <c r="D84" s="193" t="s">
        <v>433</v>
      </c>
      <c r="E84" s="194"/>
      <c r="F84" s="92">
        <v>4</v>
      </c>
      <c r="G84" s="133">
        <f>AVERAGE(F84:F84)</f>
        <v>4</v>
      </c>
      <c r="H84" s="84"/>
    </row>
    <row r="85" spans="1:8" ht="15.75" hidden="1" customHeight="1">
      <c r="A85" s="82"/>
      <c r="B85" s="192" t="s">
        <v>311</v>
      </c>
      <c r="C85" s="271"/>
      <c r="D85" s="271"/>
      <c r="E85" s="271"/>
      <c r="F85" s="271"/>
      <c r="G85" s="271"/>
      <c r="H85" s="272"/>
    </row>
    <row r="86" spans="1:8" ht="15.75" hidden="1" customHeight="1">
      <c r="A86" s="99"/>
      <c r="B86" s="87" t="s">
        <v>285</v>
      </c>
      <c r="C86" s="271" t="s">
        <v>312</v>
      </c>
      <c r="D86" s="271"/>
      <c r="E86" s="271"/>
      <c r="F86" s="271"/>
      <c r="G86" s="271"/>
      <c r="H86" s="272"/>
    </row>
    <row r="87" spans="1:8" ht="15.75" hidden="1" customHeight="1">
      <c r="A87" s="82"/>
      <c r="B87" s="87" t="s">
        <v>285</v>
      </c>
      <c r="C87" s="271" t="s">
        <v>312</v>
      </c>
      <c r="D87" s="271"/>
      <c r="E87" s="271"/>
      <c r="F87" s="271"/>
      <c r="G87" s="271"/>
      <c r="H87" s="272"/>
    </row>
    <row r="88" spans="1:8" ht="15.6" hidden="1">
      <c r="A88" s="82"/>
      <c r="B88" s="86"/>
      <c r="C88" s="193"/>
      <c r="D88" s="193"/>
      <c r="E88" s="92"/>
      <c r="F88" s="92"/>
      <c r="G88" s="92"/>
      <c r="H88" s="84"/>
    </row>
    <row r="89" spans="1:8" ht="15.6">
      <c r="A89" s="82"/>
      <c r="B89" s="124" t="s">
        <v>443</v>
      </c>
      <c r="C89" s="193"/>
      <c r="D89" s="193" t="s">
        <v>518</v>
      </c>
      <c r="E89" s="92"/>
      <c r="F89" s="92"/>
      <c r="G89" s="92"/>
      <c r="H89" s="90">
        <f>AVERAGE(G91:G94)</f>
        <v>4</v>
      </c>
    </row>
    <row r="90" spans="1:8" ht="15.6" hidden="1">
      <c r="A90" s="82"/>
      <c r="B90" s="193"/>
      <c r="C90" s="193"/>
      <c r="D90" s="193"/>
      <c r="E90" s="194"/>
      <c r="F90" s="92" t="s">
        <v>31</v>
      </c>
      <c r="G90" s="92" t="s">
        <v>306</v>
      </c>
      <c r="H90" s="84"/>
    </row>
    <row r="91" spans="1:8" ht="15.6" hidden="1">
      <c r="A91" s="82"/>
      <c r="B91" s="193"/>
      <c r="C91" s="193" t="s">
        <v>307</v>
      </c>
      <c r="D91" s="193" t="s">
        <v>519</v>
      </c>
      <c r="E91" s="194"/>
      <c r="F91" s="92">
        <v>4</v>
      </c>
      <c r="G91" s="133">
        <f>AVERAGE(F91:F91)</f>
        <v>4</v>
      </c>
      <c r="H91" s="84"/>
    </row>
    <row r="92" spans="1:8" ht="15.6" hidden="1">
      <c r="A92" s="82"/>
      <c r="B92" s="193"/>
      <c r="C92" s="193" t="s">
        <v>309</v>
      </c>
      <c r="D92" s="193" t="s">
        <v>520</v>
      </c>
      <c r="E92" s="194"/>
      <c r="F92" s="92">
        <v>4</v>
      </c>
      <c r="G92" s="133">
        <f>AVERAGE(F92:F92)</f>
        <v>4</v>
      </c>
      <c r="H92" s="84"/>
    </row>
    <row r="93" spans="1:8" ht="15.6" hidden="1">
      <c r="A93" s="82"/>
      <c r="B93" s="193"/>
      <c r="C93" s="193" t="s">
        <v>316</v>
      </c>
      <c r="D93" s="193" t="s">
        <v>521</v>
      </c>
      <c r="E93" s="194"/>
      <c r="F93" s="92">
        <v>4</v>
      </c>
      <c r="G93" s="133">
        <f>AVERAGE(F93:F93)</f>
        <v>4</v>
      </c>
      <c r="H93" s="84"/>
    </row>
    <row r="94" spans="1:8" ht="15.6" hidden="1">
      <c r="A94" s="82"/>
      <c r="B94" s="193"/>
      <c r="C94" s="193" t="s">
        <v>318</v>
      </c>
      <c r="D94" s="193" t="s">
        <v>433</v>
      </c>
      <c r="E94" s="194"/>
      <c r="F94" s="92">
        <v>4</v>
      </c>
      <c r="G94" s="133">
        <f>AVERAGE(F94:F94)</f>
        <v>4</v>
      </c>
      <c r="H94" s="84"/>
    </row>
    <row r="95" spans="1:8" ht="15.6" hidden="1">
      <c r="A95" s="82"/>
      <c r="B95" s="192" t="s">
        <v>311</v>
      </c>
      <c r="C95" s="193"/>
      <c r="D95" s="193"/>
      <c r="E95" s="78"/>
      <c r="F95" s="193"/>
      <c r="G95" s="78"/>
      <c r="H95" s="85"/>
    </row>
    <row r="96" spans="1:8" ht="15.75" hidden="1" customHeight="1">
      <c r="A96" s="99"/>
      <c r="B96" s="87" t="s">
        <v>285</v>
      </c>
      <c r="C96" s="271" t="s">
        <v>312</v>
      </c>
      <c r="D96" s="271"/>
      <c r="E96" s="271"/>
      <c r="F96" s="271"/>
      <c r="G96" s="271"/>
      <c r="H96" s="272"/>
    </row>
    <row r="97" spans="1:8" ht="15.75" hidden="1" customHeight="1">
      <c r="A97" s="82"/>
      <c r="B97" s="87" t="s">
        <v>285</v>
      </c>
      <c r="C97" s="271" t="s">
        <v>312</v>
      </c>
      <c r="D97" s="271"/>
      <c r="E97" s="271"/>
      <c r="F97" s="271"/>
      <c r="G97" s="271"/>
      <c r="H97" s="272"/>
    </row>
    <row r="98" spans="1:8" ht="15.75" hidden="1" customHeight="1">
      <c r="A98" s="82"/>
      <c r="B98" s="87"/>
      <c r="C98" s="208"/>
      <c r="D98" s="208"/>
      <c r="E98" s="208"/>
      <c r="F98" s="208"/>
      <c r="G98" s="208"/>
      <c r="H98" s="209"/>
    </row>
    <row r="99" spans="1:8" ht="15.75" customHeight="1">
      <c r="A99" s="82"/>
      <c r="B99" s="124" t="s">
        <v>445</v>
      </c>
      <c r="C99" s="193"/>
      <c r="D99" s="193" t="s">
        <v>522</v>
      </c>
      <c r="E99" s="92"/>
      <c r="F99" s="92"/>
      <c r="G99" s="92"/>
      <c r="H99" s="90">
        <f>AVERAGE(G101:G104)</f>
        <v>4</v>
      </c>
    </row>
    <row r="100" spans="1:8" ht="15.75" hidden="1" customHeight="1">
      <c r="A100" s="82"/>
      <c r="B100" s="193"/>
      <c r="C100" s="193"/>
      <c r="D100" s="193"/>
      <c r="E100" s="194"/>
      <c r="F100" s="92" t="s">
        <v>31</v>
      </c>
      <c r="G100" s="92" t="s">
        <v>306</v>
      </c>
      <c r="H100" s="84"/>
    </row>
    <row r="101" spans="1:8" ht="15.75" hidden="1" customHeight="1">
      <c r="A101" s="82"/>
      <c r="B101" s="193"/>
      <c r="C101" s="193" t="s">
        <v>307</v>
      </c>
      <c r="D101" s="193" t="s">
        <v>519</v>
      </c>
      <c r="E101" s="194"/>
      <c r="F101" s="92">
        <v>4</v>
      </c>
      <c r="G101" s="133">
        <f>AVERAGE(F101:F101)</f>
        <v>4</v>
      </c>
      <c r="H101" s="84"/>
    </row>
    <row r="102" spans="1:8" ht="15.75" hidden="1" customHeight="1">
      <c r="A102" s="82"/>
      <c r="B102" s="193"/>
      <c r="C102" s="193" t="s">
        <v>309</v>
      </c>
      <c r="D102" s="193" t="s">
        <v>520</v>
      </c>
      <c r="E102" s="194"/>
      <c r="F102" s="92">
        <v>4</v>
      </c>
      <c r="G102" s="133">
        <f>AVERAGE(F102:F102)</f>
        <v>4</v>
      </c>
      <c r="H102" s="84"/>
    </row>
    <row r="103" spans="1:8" ht="15.75" hidden="1" customHeight="1">
      <c r="A103" s="82"/>
      <c r="B103" s="193"/>
      <c r="C103" s="193" t="s">
        <v>316</v>
      </c>
      <c r="D103" s="193" t="s">
        <v>521</v>
      </c>
      <c r="E103" s="194"/>
      <c r="F103" s="92">
        <v>4</v>
      </c>
      <c r="G103" s="133">
        <f>AVERAGE(F103:F103)</f>
        <v>4</v>
      </c>
      <c r="H103" s="84"/>
    </row>
    <row r="104" spans="1:8" ht="15.75" hidden="1" customHeight="1">
      <c r="A104" s="82"/>
      <c r="B104" s="193"/>
      <c r="C104" s="193" t="s">
        <v>318</v>
      </c>
      <c r="D104" s="193" t="s">
        <v>433</v>
      </c>
      <c r="E104" s="194"/>
      <c r="F104" s="92">
        <v>4</v>
      </c>
      <c r="G104" s="133">
        <f>AVERAGE(F104:F104)</f>
        <v>4</v>
      </c>
      <c r="H104" s="84"/>
    </row>
    <row r="105" spans="1:8" ht="15.75" hidden="1" customHeight="1">
      <c r="A105" s="82"/>
      <c r="B105" s="192" t="s">
        <v>311</v>
      </c>
      <c r="C105" s="271"/>
      <c r="D105" s="271"/>
      <c r="E105" s="271"/>
      <c r="F105" s="271"/>
      <c r="G105" s="271"/>
      <c r="H105" s="272"/>
    </row>
    <row r="106" spans="1:8" ht="15.75" hidden="1" customHeight="1">
      <c r="A106" s="99"/>
      <c r="B106" s="87" t="s">
        <v>285</v>
      </c>
      <c r="C106" s="271" t="s">
        <v>312</v>
      </c>
      <c r="D106" s="271"/>
      <c r="E106" s="271"/>
      <c r="F106" s="271"/>
      <c r="G106" s="271"/>
      <c r="H106" s="272"/>
    </row>
    <row r="107" spans="1:8" ht="15.75" hidden="1" customHeight="1">
      <c r="A107" s="82"/>
      <c r="B107" s="87" t="s">
        <v>285</v>
      </c>
      <c r="C107" s="271" t="s">
        <v>312</v>
      </c>
      <c r="D107" s="271"/>
      <c r="E107" s="271"/>
      <c r="F107" s="271"/>
      <c r="G107" s="271"/>
      <c r="H107" s="272"/>
    </row>
    <row r="108" spans="1:8" ht="15.75" hidden="1" customHeight="1">
      <c r="A108" s="82"/>
      <c r="B108" s="87"/>
      <c r="C108" s="208"/>
      <c r="D108" s="208"/>
      <c r="E108" s="208"/>
      <c r="F108" s="208"/>
      <c r="G108" s="208"/>
      <c r="H108" s="209"/>
    </row>
    <row r="109" spans="1:8" ht="15.75" customHeight="1">
      <c r="A109" s="94"/>
      <c r="B109" s="95"/>
      <c r="C109" s="95"/>
      <c r="D109" s="96"/>
      <c r="E109" s="96"/>
      <c r="F109" s="96"/>
      <c r="G109" s="96"/>
      <c r="H109" s="97"/>
    </row>
    <row r="110" spans="1:8" ht="15.6">
      <c r="A110" s="98">
        <v>3</v>
      </c>
      <c r="B110" s="275" t="s">
        <v>523</v>
      </c>
      <c r="C110" s="275"/>
      <c r="D110" s="275"/>
      <c r="E110" s="275"/>
      <c r="F110" s="275"/>
      <c r="G110" s="275"/>
      <c r="H110" s="103">
        <f>AVERAGE(H111:H153)</f>
        <v>4</v>
      </c>
    </row>
    <row r="111" spans="1:8" ht="15.6">
      <c r="A111" s="82"/>
      <c r="B111" s="124" t="s">
        <v>524</v>
      </c>
      <c r="C111" s="193"/>
      <c r="D111" s="193" t="s">
        <v>525</v>
      </c>
      <c r="E111" s="194"/>
      <c r="F111" s="194"/>
      <c r="G111" s="194"/>
      <c r="H111" s="90">
        <f>AVERAGE(G113:G117)</f>
        <v>4</v>
      </c>
    </row>
    <row r="112" spans="1:8" ht="15.6" hidden="1">
      <c r="A112" s="82"/>
      <c r="B112" s="193"/>
      <c r="C112" s="193"/>
      <c r="D112" s="193"/>
      <c r="E112" s="194"/>
      <c r="F112" s="92" t="s">
        <v>31</v>
      </c>
      <c r="G112" s="92" t="s">
        <v>306</v>
      </c>
      <c r="H112" s="84"/>
    </row>
    <row r="113" spans="1:8" ht="15.6" hidden="1">
      <c r="A113" s="82"/>
      <c r="B113" s="193"/>
      <c r="C113" s="193" t="s">
        <v>307</v>
      </c>
      <c r="D113" s="193" t="s">
        <v>513</v>
      </c>
      <c r="E113" s="194"/>
      <c r="F113" s="92">
        <v>4</v>
      </c>
      <c r="G113" s="133">
        <f>AVERAGE(F113:F113)</f>
        <v>4</v>
      </c>
      <c r="H113" s="84"/>
    </row>
    <row r="114" spans="1:8" ht="15.6" hidden="1">
      <c r="A114" s="82"/>
      <c r="B114" s="193"/>
      <c r="C114" s="193" t="s">
        <v>309</v>
      </c>
      <c r="D114" s="193" t="s">
        <v>514</v>
      </c>
      <c r="E114" s="194"/>
      <c r="F114" s="92">
        <v>4</v>
      </c>
      <c r="G114" s="133">
        <f>AVERAGE(F114:F114)</f>
        <v>4</v>
      </c>
      <c r="H114" s="84"/>
    </row>
    <row r="115" spans="1:8" ht="15.6" hidden="1">
      <c r="A115" s="82"/>
      <c r="B115" s="193"/>
      <c r="C115" s="193" t="s">
        <v>316</v>
      </c>
      <c r="D115" s="193" t="s">
        <v>515</v>
      </c>
      <c r="E115" s="194"/>
      <c r="F115" s="92">
        <v>4</v>
      </c>
      <c r="G115" s="133">
        <f>AVERAGE(F115:F115)</f>
        <v>4</v>
      </c>
      <c r="H115" s="84"/>
    </row>
    <row r="116" spans="1:8" ht="15.6" hidden="1">
      <c r="A116" s="82"/>
      <c r="B116" s="193"/>
      <c r="C116" s="193" t="s">
        <v>318</v>
      </c>
      <c r="D116" s="193" t="s">
        <v>516</v>
      </c>
      <c r="E116" s="194"/>
      <c r="F116" s="92">
        <v>4</v>
      </c>
      <c r="G116" s="133">
        <f>AVERAGE(F116:F116)</f>
        <v>4</v>
      </c>
      <c r="H116" s="84"/>
    </row>
    <row r="117" spans="1:8" ht="15.6" hidden="1">
      <c r="A117" s="82"/>
      <c r="B117" s="193"/>
      <c r="C117" s="193" t="s">
        <v>320</v>
      </c>
      <c r="D117" s="193" t="s">
        <v>433</v>
      </c>
      <c r="E117" s="194"/>
      <c r="F117" s="92">
        <v>4</v>
      </c>
      <c r="G117" s="133">
        <f>AVERAGE(F117:F117)</f>
        <v>4</v>
      </c>
      <c r="H117" s="84"/>
    </row>
    <row r="118" spans="1:8" ht="15.6" hidden="1">
      <c r="A118" s="82"/>
      <c r="B118" s="192" t="s">
        <v>311</v>
      </c>
      <c r="C118" s="271"/>
      <c r="D118" s="271"/>
      <c r="E118" s="271"/>
      <c r="F118" s="271"/>
      <c r="G118" s="271"/>
      <c r="H118" s="272"/>
    </row>
    <row r="119" spans="1:8" ht="15.6" hidden="1">
      <c r="A119" s="99"/>
      <c r="B119" s="87" t="s">
        <v>285</v>
      </c>
      <c r="C119" s="271" t="s">
        <v>312</v>
      </c>
      <c r="D119" s="271"/>
      <c r="E119" s="271"/>
      <c r="F119" s="271"/>
      <c r="G119" s="271"/>
      <c r="H119" s="272"/>
    </row>
    <row r="120" spans="1:8" ht="15.6" hidden="1">
      <c r="A120" s="82"/>
      <c r="B120" s="87" t="s">
        <v>285</v>
      </c>
      <c r="C120" s="271" t="s">
        <v>312</v>
      </c>
      <c r="D120" s="271"/>
      <c r="E120" s="271"/>
      <c r="F120" s="271"/>
      <c r="G120" s="271"/>
      <c r="H120" s="272"/>
    </row>
    <row r="121" spans="1:8" ht="15.6" hidden="1">
      <c r="A121" s="82"/>
      <c r="B121" s="80"/>
      <c r="C121" s="193"/>
      <c r="D121" s="193"/>
      <c r="E121" s="92"/>
      <c r="F121" s="92"/>
      <c r="G121" s="92"/>
      <c r="H121" s="83"/>
    </row>
    <row r="122" spans="1:8" ht="15.6">
      <c r="A122" s="82"/>
      <c r="B122" s="124" t="s">
        <v>526</v>
      </c>
      <c r="C122" s="193"/>
      <c r="D122" s="193" t="s">
        <v>527</v>
      </c>
      <c r="E122" s="92"/>
      <c r="F122" s="92"/>
      <c r="G122" s="92"/>
      <c r="H122" s="90">
        <f>AVERAGE(G124:G128)</f>
        <v>4</v>
      </c>
    </row>
    <row r="123" spans="1:8" ht="15.6" hidden="1">
      <c r="A123" s="82"/>
      <c r="B123" s="193"/>
      <c r="C123" s="193"/>
      <c r="D123" s="193"/>
      <c r="E123" s="194"/>
      <c r="F123" s="92" t="s">
        <v>31</v>
      </c>
      <c r="G123" s="92" t="s">
        <v>306</v>
      </c>
      <c r="H123" s="84"/>
    </row>
    <row r="124" spans="1:8" ht="15.6" hidden="1">
      <c r="A124" s="82"/>
      <c r="B124" s="193"/>
      <c r="C124" s="193" t="s">
        <v>307</v>
      </c>
      <c r="D124" s="193" t="s">
        <v>513</v>
      </c>
      <c r="E124" s="194"/>
      <c r="F124" s="92">
        <v>4</v>
      </c>
      <c r="G124" s="133">
        <f>AVERAGE(F124:F124)</f>
        <v>4</v>
      </c>
      <c r="H124" s="84"/>
    </row>
    <row r="125" spans="1:8" ht="15.6" hidden="1">
      <c r="A125" s="82"/>
      <c r="B125" s="193"/>
      <c r="C125" s="193" t="s">
        <v>309</v>
      </c>
      <c r="D125" s="193" t="s">
        <v>514</v>
      </c>
      <c r="E125" s="194"/>
      <c r="F125" s="92">
        <v>4</v>
      </c>
      <c r="G125" s="133">
        <f>AVERAGE(F125:F125)</f>
        <v>4</v>
      </c>
      <c r="H125" s="84"/>
    </row>
    <row r="126" spans="1:8" ht="15.6" hidden="1">
      <c r="A126" s="82"/>
      <c r="B126" s="193"/>
      <c r="C126" s="193" t="s">
        <v>316</v>
      </c>
      <c r="D126" s="193" t="s">
        <v>515</v>
      </c>
      <c r="E126" s="194"/>
      <c r="F126" s="92">
        <v>4</v>
      </c>
      <c r="G126" s="133">
        <f>AVERAGE(F126:F126)</f>
        <v>4</v>
      </c>
      <c r="H126" s="84"/>
    </row>
    <row r="127" spans="1:8" ht="15.6" hidden="1">
      <c r="A127" s="82"/>
      <c r="B127" s="193"/>
      <c r="C127" s="193" t="s">
        <v>318</v>
      </c>
      <c r="D127" s="193" t="s">
        <v>516</v>
      </c>
      <c r="E127" s="194"/>
      <c r="F127" s="92">
        <v>4</v>
      </c>
      <c r="G127" s="133">
        <f>AVERAGE(F127:F127)</f>
        <v>4</v>
      </c>
      <c r="H127" s="84"/>
    </row>
    <row r="128" spans="1:8" ht="15.6" hidden="1">
      <c r="A128" s="82"/>
      <c r="B128" s="193"/>
      <c r="C128" s="193" t="s">
        <v>320</v>
      </c>
      <c r="D128" s="193" t="s">
        <v>433</v>
      </c>
      <c r="E128" s="194"/>
      <c r="F128" s="92">
        <v>4</v>
      </c>
      <c r="G128" s="133">
        <f>AVERAGE(F128:F128)</f>
        <v>4</v>
      </c>
      <c r="H128" s="84"/>
    </row>
    <row r="129" spans="1:8" ht="15.6" hidden="1">
      <c r="A129" s="82"/>
      <c r="B129" s="192" t="s">
        <v>311</v>
      </c>
      <c r="C129" s="271"/>
      <c r="D129" s="271"/>
      <c r="E129" s="271"/>
      <c r="F129" s="271"/>
      <c r="G129" s="271"/>
      <c r="H129" s="272"/>
    </row>
    <row r="130" spans="1:8" ht="15.6" hidden="1">
      <c r="A130" s="99"/>
      <c r="B130" s="87" t="s">
        <v>285</v>
      </c>
      <c r="C130" s="271" t="s">
        <v>312</v>
      </c>
      <c r="D130" s="271"/>
      <c r="E130" s="271"/>
      <c r="F130" s="271"/>
      <c r="G130" s="271"/>
      <c r="H130" s="272"/>
    </row>
    <row r="131" spans="1:8" ht="15.6" hidden="1">
      <c r="A131" s="82"/>
      <c r="B131" s="87" t="s">
        <v>285</v>
      </c>
      <c r="C131" s="271" t="s">
        <v>312</v>
      </c>
      <c r="D131" s="271"/>
      <c r="E131" s="271"/>
      <c r="F131" s="271"/>
      <c r="G131" s="271"/>
      <c r="H131" s="272"/>
    </row>
    <row r="132" spans="1:8" ht="15.6" hidden="1">
      <c r="A132" s="82"/>
      <c r="B132" s="86"/>
      <c r="C132" s="193"/>
      <c r="D132" s="193"/>
      <c r="E132" s="92"/>
      <c r="F132" s="92"/>
      <c r="G132" s="92"/>
      <c r="H132" s="84"/>
    </row>
    <row r="133" spans="1:8" ht="15.6">
      <c r="A133" s="82"/>
      <c r="B133" s="124" t="s">
        <v>528</v>
      </c>
      <c r="C133" s="193"/>
      <c r="D133" s="193" t="s">
        <v>529</v>
      </c>
      <c r="E133" s="92"/>
      <c r="F133" s="92"/>
      <c r="G133" s="92"/>
      <c r="H133" s="90">
        <f>AVERAGE(G135:G138)</f>
        <v>4</v>
      </c>
    </row>
    <row r="134" spans="1:8" ht="15.6" hidden="1">
      <c r="A134" s="82"/>
      <c r="B134" s="193"/>
      <c r="C134" s="193"/>
      <c r="D134" s="193"/>
      <c r="E134" s="194"/>
      <c r="F134" s="92" t="s">
        <v>31</v>
      </c>
      <c r="G134" s="92" t="s">
        <v>306</v>
      </c>
      <c r="H134" s="84"/>
    </row>
    <row r="135" spans="1:8" ht="15.6" hidden="1">
      <c r="A135" s="82"/>
      <c r="B135" s="193"/>
      <c r="C135" s="193" t="s">
        <v>307</v>
      </c>
      <c r="D135" s="193" t="s">
        <v>519</v>
      </c>
      <c r="E135" s="194"/>
      <c r="F135" s="92">
        <v>4</v>
      </c>
      <c r="G135" s="133">
        <f>AVERAGE(F135:F135)</f>
        <v>4</v>
      </c>
      <c r="H135" s="84"/>
    </row>
    <row r="136" spans="1:8" ht="15.6" hidden="1">
      <c r="A136" s="82"/>
      <c r="B136" s="193"/>
      <c r="C136" s="193" t="s">
        <v>309</v>
      </c>
      <c r="D136" s="193" t="s">
        <v>520</v>
      </c>
      <c r="E136" s="194"/>
      <c r="F136" s="92">
        <v>4</v>
      </c>
      <c r="G136" s="133">
        <f>AVERAGE(F136:F136)</f>
        <v>4</v>
      </c>
      <c r="H136" s="84"/>
    </row>
    <row r="137" spans="1:8" ht="15.6" hidden="1">
      <c r="A137" s="82"/>
      <c r="B137" s="193"/>
      <c r="C137" s="193" t="s">
        <v>316</v>
      </c>
      <c r="D137" s="193" t="s">
        <v>521</v>
      </c>
      <c r="E137" s="194"/>
      <c r="F137" s="92">
        <v>4</v>
      </c>
      <c r="G137" s="133">
        <f>AVERAGE(F137:F137)</f>
        <v>4</v>
      </c>
      <c r="H137" s="84"/>
    </row>
    <row r="138" spans="1:8" ht="15.6" hidden="1">
      <c r="A138" s="82"/>
      <c r="B138" s="193"/>
      <c r="C138" s="193" t="s">
        <v>318</v>
      </c>
      <c r="D138" s="193" t="s">
        <v>530</v>
      </c>
      <c r="E138" s="194"/>
      <c r="F138" s="92">
        <v>4</v>
      </c>
      <c r="G138" s="133">
        <f>AVERAGE(F138:F138)</f>
        <v>4</v>
      </c>
      <c r="H138" s="84"/>
    </row>
    <row r="139" spans="1:8" ht="15.6" hidden="1">
      <c r="A139" s="82"/>
      <c r="B139" s="192" t="s">
        <v>311</v>
      </c>
      <c r="C139" s="193"/>
      <c r="D139" s="193"/>
      <c r="E139" s="78"/>
      <c r="F139" s="193"/>
      <c r="G139" s="78"/>
      <c r="H139" s="85"/>
    </row>
    <row r="140" spans="1:8" ht="15.6" hidden="1">
      <c r="A140" s="99"/>
      <c r="B140" s="87" t="s">
        <v>285</v>
      </c>
      <c r="C140" s="271" t="s">
        <v>312</v>
      </c>
      <c r="D140" s="271"/>
      <c r="E140" s="271"/>
      <c r="F140" s="271"/>
      <c r="G140" s="271"/>
      <c r="H140" s="272"/>
    </row>
    <row r="141" spans="1:8" ht="15.6" hidden="1">
      <c r="A141" s="82"/>
      <c r="B141" s="87" t="s">
        <v>285</v>
      </c>
      <c r="C141" s="271" t="s">
        <v>312</v>
      </c>
      <c r="D141" s="271"/>
      <c r="E141" s="271"/>
      <c r="F141" s="271"/>
      <c r="G141" s="271"/>
      <c r="H141" s="272"/>
    </row>
    <row r="142" spans="1:8" ht="15.6" hidden="1">
      <c r="A142" s="82"/>
      <c r="B142" s="78"/>
      <c r="C142" s="208"/>
      <c r="D142" s="208"/>
      <c r="E142" s="208"/>
      <c r="F142" s="208"/>
      <c r="G142" s="208"/>
      <c r="H142" s="209"/>
    </row>
    <row r="143" spans="1:8" ht="15.6">
      <c r="A143" s="82"/>
      <c r="B143" s="124" t="s">
        <v>531</v>
      </c>
      <c r="C143" s="193"/>
      <c r="D143" s="193" t="s">
        <v>532</v>
      </c>
      <c r="E143" s="92"/>
      <c r="F143" s="92"/>
      <c r="G143" s="92"/>
      <c r="H143" s="90">
        <f>AVERAGE(G145:G148)</f>
        <v>4</v>
      </c>
    </row>
    <row r="144" spans="1:8" ht="15.6" hidden="1">
      <c r="A144" s="82"/>
      <c r="B144" s="193"/>
      <c r="C144" s="193"/>
      <c r="D144" s="193"/>
      <c r="E144" s="194"/>
      <c r="F144" s="92" t="s">
        <v>31</v>
      </c>
      <c r="G144" s="92" t="s">
        <v>306</v>
      </c>
      <c r="H144" s="84"/>
    </row>
    <row r="145" spans="1:8" ht="15.6" hidden="1">
      <c r="A145" s="82"/>
      <c r="B145" s="193"/>
      <c r="C145" s="193" t="s">
        <v>307</v>
      </c>
      <c r="D145" s="193" t="s">
        <v>519</v>
      </c>
      <c r="E145" s="194"/>
      <c r="F145" s="92">
        <v>4</v>
      </c>
      <c r="G145" s="133">
        <f>AVERAGE(F145:F145)</f>
        <v>4</v>
      </c>
      <c r="H145" s="84"/>
    </row>
    <row r="146" spans="1:8" ht="15.6" hidden="1">
      <c r="A146" s="82"/>
      <c r="B146" s="193"/>
      <c r="C146" s="193" t="s">
        <v>309</v>
      </c>
      <c r="D146" s="193" t="s">
        <v>520</v>
      </c>
      <c r="E146" s="194"/>
      <c r="F146" s="92">
        <v>4</v>
      </c>
      <c r="G146" s="133">
        <f>AVERAGE(F146:F146)</f>
        <v>4</v>
      </c>
      <c r="H146" s="84"/>
    </row>
    <row r="147" spans="1:8" ht="15.6" hidden="1">
      <c r="A147" s="82"/>
      <c r="B147" s="193"/>
      <c r="C147" s="193" t="s">
        <v>316</v>
      </c>
      <c r="D147" s="193" t="s">
        <v>521</v>
      </c>
      <c r="E147" s="194"/>
      <c r="F147" s="92">
        <v>4</v>
      </c>
      <c r="G147" s="133">
        <f>AVERAGE(F147:F147)</f>
        <v>4</v>
      </c>
      <c r="H147" s="84"/>
    </row>
    <row r="148" spans="1:8" ht="15.6" hidden="1">
      <c r="A148" s="82"/>
      <c r="B148" s="193"/>
      <c r="C148" s="193" t="s">
        <v>318</v>
      </c>
      <c r="D148" s="193" t="s">
        <v>530</v>
      </c>
      <c r="E148" s="194"/>
      <c r="F148" s="92">
        <v>4</v>
      </c>
      <c r="G148" s="133">
        <f>AVERAGE(F148:F148)</f>
        <v>4</v>
      </c>
      <c r="H148" s="84"/>
    </row>
    <row r="149" spans="1:8" ht="15.6" hidden="1">
      <c r="A149" s="82"/>
      <c r="B149" s="192" t="s">
        <v>311</v>
      </c>
      <c r="C149" s="271"/>
      <c r="D149" s="271"/>
      <c r="E149" s="271"/>
      <c r="F149" s="271"/>
      <c r="G149" s="271"/>
      <c r="H149" s="272"/>
    </row>
    <row r="150" spans="1:8" ht="15.6" hidden="1">
      <c r="A150" s="99"/>
      <c r="B150" s="87" t="s">
        <v>285</v>
      </c>
      <c r="C150" s="271" t="s">
        <v>312</v>
      </c>
      <c r="D150" s="271"/>
      <c r="E150" s="271"/>
      <c r="F150" s="271"/>
      <c r="G150" s="271"/>
      <c r="H150" s="272"/>
    </row>
    <row r="151" spans="1:8" ht="15.6" hidden="1">
      <c r="A151" s="82"/>
      <c r="B151" s="87" t="s">
        <v>285</v>
      </c>
      <c r="C151" s="271" t="s">
        <v>312</v>
      </c>
      <c r="D151" s="271"/>
      <c r="E151" s="271"/>
      <c r="F151" s="271"/>
      <c r="G151" s="271"/>
      <c r="H151" s="272"/>
    </row>
    <row r="152" spans="1:8" ht="15.6" hidden="1">
      <c r="A152" s="82"/>
      <c r="B152" s="78"/>
      <c r="C152" s="208"/>
      <c r="D152" s="208"/>
      <c r="E152" s="208"/>
      <c r="F152" s="208"/>
      <c r="G152" s="208"/>
      <c r="H152" s="209"/>
    </row>
    <row r="153" spans="1:8" ht="15.6">
      <c r="A153" s="94"/>
      <c r="B153" s="95"/>
      <c r="C153" s="95"/>
      <c r="D153" s="96"/>
      <c r="E153" s="96"/>
      <c r="F153" s="96"/>
      <c r="G153" s="96"/>
      <c r="H153" s="97"/>
    </row>
    <row r="154" spans="1:8" ht="15.6">
      <c r="A154" s="98">
        <v>4</v>
      </c>
      <c r="B154" s="275" t="s">
        <v>533</v>
      </c>
      <c r="C154" s="275"/>
      <c r="D154" s="275"/>
      <c r="E154" s="275"/>
      <c r="F154" s="275"/>
      <c r="G154" s="275"/>
      <c r="H154" s="103">
        <f>AVERAGE(H155:H175)</f>
        <v>4</v>
      </c>
    </row>
    <row r="155" spans="1:8" ht="15.6">
      <c r="A155" s="82"/>
      <c r="B155" s="124" t="s">
        <v>534</v>
      </c>
      <c r="C155" s="193"/>
      <c r="D155" s="193" t="s">
        <v>535</v>
      </c>
      <c r="E155" s="194"/>
      <c r="F155" s="194"/>
      <c r="G155" s="194"/>
      <c r="H155" s="90">
        <f>AVERAGE(G157:G161)</f>
        <v>4</v>
      </c>
    </row>
    <row r="156" spans="1:8" ht="15.6" hidden="1">
      <c r="A156" s="82"/>
      <c r="B156" s="193"/>
      <c r="C156" s="193"/>
      <c r="D156" s="193"/>
      <c r="E156" s="194"/>
      <c r="F156" s="92" t="s">
        <v>31</v>
      </c>
      <c r="G156" s="92" t="s">
        <v>306</v>
      </c>
      <c r="H156" s="84"/>
    </row>
    <row r="157" spans="1:8" ht="15.6" hidden="1">
      <c r="A157" s="82"/>
      <c r="B157" s="193"/>
      <c r="C157" s="193" t="s">
        <v>307</v>
      </c>
      <c r="D157" s="193" t="s">
        <v>513</v>
      </c>
      <c r="E157" s="194"/>
      <c r="F157" s="92">
        <v>4</v>
      </c>
      <c r="G157" s="133">
        <f>AVERAGE(F157:F157)</f>
        <v>4</v>
      </c>
      <c r="H157" s="84"/>
    </row>
    <row r="158" spans="1:8" ht="15.6" hidden="1">
      <c r="A158" s="82"/>
      <c r="B158" s="193"/>
      <c r="C158" s="193" t="s">
        <v>309</v>
      </c>
      <c r="D158" s="193" t="s">
        <v>536</v>
      </c>
      <c r="E158" s="194"/>
      <c r="F158" s="92">
        <v>4</v>
      </c>
      <c r="G158" s="133">
        <f>AVERAGE(F158:F158)</f>
        <v>4</v>
      </c>
      <c r="H158" s="84"/>
    </row>
    <row r="159" spans="1:8" ht="15.6" hidden="1">
      <c r="A159" s="82"/>
      <c r="B159" s="193"/>
      <c r="C159" s="193" t="s">
        <v>316</v>
      </c>
      <c r="D159" s="193" t="s">
        <v>516</v>
      </c>
      <c r="E159" s="194"/>
      <c r="F159" s="92">
        <v>4</v>
      </c>
      <c r="G159" s="133">
        <f>AVERAGE(F159:F159)</f>
        <v>4</v>
      </c>
      <c r="H159" s="84"/>
    </row>
    <row r="160" spans="1:8" ht="15.6" hidden="1">
      <c r="A160" s="82"/>
      <c r="B160" s="193"/>
      <c r="C160" s="193" t="s">
        <v>318</v>
      </c>
      <c r="D160" s="193" t="s">
        <v>433</v>
      </c>
      <c r="E160" s="194"/>
      <c r="F160" s="92">
        <v>4</v>
      </c>
      <c r="G160" s="133">
        <f>AVERAGE(F160:F160)</f>
        <v>4</v>
      </c>
      <c r="H160" s="84"/>
    </row>
    <row r="161" spans="1:8" ht="15.6" hidden="1">
      <c r="A161" s="82"/>
      <c r="B161" s="193"/>
      <c r="C161" s="193" t="s">
        <v>320</v>
      </c>
      <c r="D161" s="193" t="s">
        <v>530</v>
      </c>
      <c r="E161" s="194"/>
      <c r="F161" s="92">
        <v>4</v>
      </c>
      <c r="G161" s="133">
        <f>AVERAGE(F161:F161)</f>
        <v>4</v>
      </c>
      <c r="H161" s="84"/>
    </row>
    <row r="162" spans="1:8" ht="15.6" hidden="1">
      <c r="A162" s="82"/>
      <c r="B162" s="192" t="s">
        <v>311</v>
      </c>
      <c r="C162" s="271"/>
      <c r="D162" s="271"/>
      <c r="E162" s="271"/>
      <c r="F162" s="271"/>
      <c r="G162" s="271"/>
      <c r="H162" s="272"/>
    </row>
    <row r="163" spans="1:8" ht="15.6" hidden="1">
      <c r="A163" s="99"/>
      <c r="B163" s="87" t="s">
        <v>285</v>
      </c>
      <c r="C163" s="271" t="s">
        <v>312</v>
      </c>
      <c r="D163" s="271"/>
      <c r="E163" s="271"/>
      <c r="F163" s="271"/>
      <c r="G163" s="271"/>
      <c r="H163" s="272"/>
    </row>
    <row r="164" spans="1:8" ht="15.6" hidden="1">
      <c r="A164" s="82"/>
      <c r="B164" s="87" t="s">
        <v>285</v>
      </c>
      <c r="C164" s="271" t="s">
        <v>312</v>
      </c>
      <c r="D164" s="271"/>
      <c r="E164" s="271"/>
      <c r="F164" s="271"/>
      <c r="G164" s="271"/>
      <c r="H164" s="272"/>
    </row>
    <row r="165" spans="1:8" ht="15.6" hidden="1">
      <c r="A165" s="82"/>
      <c r="B165" s="80"/>
      <c r="C165" s="193"/>
      <c r="D165" s="193"/>
      <c r="E165" s="92"/>
      <c r="F165" s="92"/>
      <c r="G165" s="92"/>
      <c r="H165" s="83"/>
    </row>
    <row r="166" spans="1:8" ht="15.6">
      <c r="A166" s="82"/>
      <c r="B166" s="124" t="s">
        <v>537</v>
      </c>
      <c r="C166" s="193"/>
      <c r="D166" s="193" t="s">
        <v>538</v>
      </c>
      <c r="E166" s="92"/>
      <c r="F166" s="92"/>
      <c r="G166" s="92"/>
      <c r="H166" s="90">
        <f>AVERAGE(G168:G172)</f>
        <v>4</v>
      </c>
    </row>
    <row r="167" spans="1:8" ht="15.6" hidden="1">
      <c r="A167" s="82"/>
      <c r="B167" s="193"/>
      <c r="C167" s="193"/>
      <c r="D167" s="193"/>
      <c r="E167" s="194"/>
      <c r="F167" s="92" t="s">
        <v>31</v>
      </c>
      <c r="G167" s="92" t="s">
        <v>306</v>
      </c>
      <c r="H167" s="84"/>
    </row>
    <row r="168" spans="1:8" ht="15.6" hidden="1">
      <c r="A168" s="82"/>
      <c r="B168" s="193"/>
      <c r="C168" s="193" t="s">
        <v>307</v>
      </c>
      <c r="D168" s="193" t="s">
        <v>513</v>
      </c>
      <c r="E168" s="194"/>
      <c r="F168" s="92">
        <v>4</v>
      </c>
      <c r="G168" s="133">
        <f>AVERAGE(F168:F168)</f>
        <v>4</v>
      </c>
      <c r="H168" s="84"/>
    </row>
    <row r="169" spans="1:8" ht="15.6" hidden="1">
      <c r="A169" s="82"/>
      <c r="B169" s="193"/>
      <c r="C169" s="193" t="s">
        <v>309</v>
      </c>
      <c r="D169" s="193" t="s">
        <v>536</v>
      </c>
      <c r="E169" s="194"/>
      <c r="F169" s="92">
        <v>4</v>
      </c>
      <c r="G169" s="133">
        <f>AVERAGE(F169:F169)</f>
        <v>4</v>
      </c>
      <c r="H169" s="84"/>
    </row>
    <row r="170" spans="1:8" ht="15.6" hidden="1">
      <c r="A170" s="82"/>
      <c r="B170" s="193"/>
      <c r="C170" s="193" t="s">
        <v>316</v>
      </c>
      <c r="D170" s="193" t="s">
        <v>516</v>
      </c>
      <c r="E170" s="194"/>
      <c r="F170" s="92">
        <v>4</v>
      </c>
      <c r="G170" s="133">
        <f>AVERAGE(F170:F170)</f>
        <v>4</v>
      </c>
      <c r="H170" s="84"/>
    </row>
    <row r="171" spans="1:8" ht="15.6" hidden="1">
      <c r="A171" s="82"/>
      <c r="B171" s="193"/>
      <c r="C171" s="193" t="s">
        <v>318</v>
      </c>
      <c r="D171" s="193" t="s">
        <v>433</v>
      </c>
      <c r="E171" s="194"/>
      <c r="F171" s="92">
        <v>4</v>
      </c>
      <c r="G171" s="133">
        <f>AVERAGE(F171:F171)</f>
        <v>4</v>
      </c>
      <c r="H171" s="84"/>
    </row>
    <row r="172" spans="1:8" ht="15.6" hidden="1">
      <c r="A172" s="82"/>
      <c r="B172" s="193"/>
      <c r="C172" s="193" t="s">
        <v>320</v>
      </c>
      <c r="D172" s="193" t="s">
        <v>530</v>
      </c>
      <c r="E172" s="194"/>
      <c r="F172" s="92">
        <v>4</v>
      </c>
      <c r="G172" s="133">
        <f>AVERAGE(F172:F172)</f>
        <v>4</v>
      </c>
      <c r="H172" s="84"/>
    </row>
    <row r="173" spans="1:8" ht="15.6" hidden="1">
      <c r="A173" s="82"/>
      <c r="B173" s="192" t="s">
        <v>311</v>
      </c>
      <c r="C173" s="271"/>
      <c r="D173" s="271"/>
      <c r="E173" s="271"/>
      <c r="F173" s="271"/>
      <c r="G173" s="271"/>
      <c r="H173" s="272"/>
    </row>
    <row r="174" spans="1:8" ht="15.6" hidden="1">
      <c r="A174" s="99"/>
      <c r="B174" s="87" t="s">
        <v>285</v>
      </c>
      <c r="C174" s="271" t="s">
        <v>312</v>
      </c>
      <c r="D174" s="271"/>
      <c r="E174" s="271"/>
      <c r="F174" s="271"/>
      <c r="G174" s="271"/>
      <c r="H174" s="272"/>
    </row>
    <row r="175" spans="1:8" ht="15.6" hidden="1">
      <c r="A175" s="88"/>
      <c r="B175" s="89" t="s">
        <v>285</v>
      </c>
      <c r="C175" s="273" t="s">
        <v>312</v>
      </c>
      <c r="D175" s="273"/>
      <c r="E175" s="273"/>
      <c r="F175" s="273"/>
      <c r="G175" s="273"/>
      <c r="H175" s="274"/>
    </row>
    <row r="176" spans="1:8" ht="15.6">
      <c r="A176" s="193"/>
      <c r="B176" s="193"/>
      <c r="C176" s="193"/>
      <c r="D176" s="193"/>
      <c r="E176" s="193"/>
      <c r="F176" s="193"/>
      <c r="G176" s="193"/>
      <c r="H176" s="193"/>
    </row>
    <row r="177" spans="1:8" ht="15.6">
      <c r="A177" s="193"/>
      <c r="B177" s="193"/>
      <c r="C177" s="193"/>
      <c r="D177" s="193"/>
      <c r="E177" s="193"/>
      <c r="F177" s="193"/>
      <c r="G177" s="193"/>
      <c r="H177" s="193"/>
    </row>
    <row r="178" spans="1:8" ht="15.6">
      <c r="A178" s="193"/>
      <c r="B178" s="193"/>
      <c r="C178" s="193"/>
      <c r="D178" s="193"/>
      <c r="E178" s="193"/>
      <c r="F178" s="193"/>
      <c r="G178" s="193"/>
      <c r="H178" s="193"/>
    </row>
    <row r="179" spans="1:8" ht="15.6">
      <c r="A179" s="193"/>
      <c r="B179" s="193"/>
      <c r="C179" s="193"/>
      <c r="D179" s="193"/>
      <c r="E179" s="193"/>
      <c r="F179" s="193"/>
      <c r="G179" s="193"/>
      <c r="H179" s="193"/>
    </row>
    <row r="180" spans="1:8" ht="15.6">
      <c r="A180" s="193"/>
      <c r="B180" s="193"/>
      <c r="C180" s="193"/>
      <c r="D180" s="193"/>
      <c r="E180" s="193"/>
      <c r="F180" s="193"/>
      <c r="G180" s="193"/>
      <c r="H180" s="193"/>
    </row>
    <row r="181" spans="1:8" ht="15.6">
      <c r="A181" s="193"/>
      <c r="B181" s="193"/>
      <c r="C181" s="193"/>
      <c r="D181" s="193"/>
      <c r="E181" s="193"/>
      <c r="F181" s="193"/>
      <c r="G181" s="193"/>
      <c r="H181" s="193"/>
    </row>
    <row r="182" spans="1:8" ht="15.6">
      <c r="A182" s="193"/>
      <c r="B182" s="193"/>
      <c r="C182" s="193"/>
      <c r="D182" s="193"/>
      <c r="E182" s="193"/>
      <c r="F182" s="193"/>
      <c r="G182" s="193"/>
      <c r="H182" s="193"/>
    </row>
    <row r="183" spans="1:8" ht="15.6">
      <c r="A183" s="193"/>
      <c r="B183" s="193"/>
      <c r="C183" s="193"/>
      <c r="D183" s="193"/>
      <c r="E183" s="193"/>
      <c r="F183" s="193"/>
      <c r="G183" s="193"/>
      <c r="H183" s="193"/>
    </row>
    <row r="184" spans="1:8" ht="15.6">
      <c r="A184" s="193"/>
      <c r="B184" s="193"/>
      <c r="C184" s="193"/>
      <c r="D184" s="193"/>
      <c r="E184" s="193"/>
      <c r="F184" s="193"/>
      <c r="G184" s="193"/>
      <c r="H184" s="193"/>
    </row>
    <row r="185" spans="1:8" ht="15.6">
      <c r="A185" s="193"/>
      <c r="B185" s="193"/>
      <c r="C185" s="193"/>
      <c r="D185" s="193"/>
      <c r="E185" s="193"/>
      <c r="F185" s="193"/>
      <c r="G185" s="193"/>
      <c r="H185" s="193"/>
    </row>
    <row r="186" spans="1:8" ht="15.6">
      <c r="A186" s="193"/>
      <c r="B186" s="193"/>
      <c r="C186" s="193"/>
      <c r="D186" s="193"/>
      <c r="E186" s="193"/>
      <c r="F186" s="193"/>
      <c r="G186" s="193"/>
      <c r="H186" s="193"/>
    </row>
    <row r="187" spans="1:8" ht="15.6">
      <c r="A187" s="193"/>
      <c r="B187" s="193"/>
      <c r="C187" s="193"/>
      <c r="D187" s="193"/>
      <c r="E187" s="193"/>
      <c r="F187" s="193"/>
      <c r="G187" s="193"/>
      <c r="H187" s="193"/>
    </row>
    <row r="188" spans="1:8" ht="15.6">
      <c r="A188" s="193"/>
      <c r="B188" s="193"/>
      <c r="C188" s="193"/>
      <c r="D188" s="193"/>
      <c r="E188" s="193"/>
      <c r="F188" s="193"/>
      <c r="G188" s="193"/>
      <c r="H188" s="193"/>
    </row>
    <row r="189" spans="1:8" ht="15.6">
      <c r="A189" s="193"/>
      <c r="B189" s="193"/>
      <c r="C189" s="193"/>
      <c r="D189" s="193"/>
      <c r="E189" s="193"/>
      <c r="F189" s="193"/>
      <c r="G189" s="193"/>
      <c r="H189" s="193"/>
    </row>
    <row r="190" spans="1:8" ht="15.6">
      <c r="A190" s="193"/>
      <c r="B190" s="193"/>
      <c r="C190" s="193"/>
      <c r="D190" s="193"/>
      <c r="E190" s="193"/>
      <c r="F190" s="193"/>
      <c r="G190" s="193"/>
      <c r="H190" s="193"/>
    </row>
    <row r="191" spans="1:8" ht="15.6">
      <c r="A191" s="193"/>
      <c r="B191" s="193"/>
      <c r="C191" s="193"/>
      <c r="D191" s="193"/>
      <c r="E191" s="193"/>
      <c r="F191" s="193"/>
      <c r="G191" s="193"/>
      <c r="H191" s="193"/>
    </row>
    <row r="192" spans="1:8" ht="15.6">
      <c r="A192" s="193"/>
      <c r="B192" s="193"/>
      <c r="C192" s="193"/>
      <c r="D192" s="193"/>
      <c r="E192" s="193"/>
      <c r="F192" s="193"/>
      <c r="G192" s="193"/>
      <c r="H192" s="193"/>
    </row>
    <row r="193" spans="1:8" ht="15.6">
      <c r="A193" s="193"/>
      <c r="B193" s="193"/>
      <c r="C193" s="193"/>
      <c r="D193" s="193"/>
      <c r="E193" s="193"/>
      <c r="F193" s="193"/>
      <c r="G193" s="193"/>
      <c r="H193" s="193"/>
    </row>
    <row r="194" spans="1:8" ht="15.6">
      <c r="A194" s="193"/>
      <c r="B194" s="193"/>
      <c r="C194" s="193"/>
      <c r="D194" s="193"/>
      <c r="E194" s="193"/>
      <c r="F194" s="193"/>
      <c r="G194" s="193"/>
      <c r="H194" s="193"/>
    </row>
    <row r="195" spans="1:8" ht="15.6">
      <c r="A195" s="193"/>
      <c r="B195" s="193"/>
      <c r="C195" s="193"/>
      <c r="D195" s="193"/>
      <c r="E195" s="193"/>
      <c r="F195" s="193"/>
      <c r="G195" s="193"/>
      <c r="H195" s="193"/>
    </row>
    <row r="196" spans="1:8" ht="15.6">
      <c r="A196" s="193"/>
      <c r="B196" s="193"/>
      <c r="C196" s="193"/>
      <c r="D196" s="193"/>
      <c r="E196" s="193"/>
      <c r="F196" s="193"/>
      <c r="G196" s="193"/>
      <c r="H196" s="193"/>
    </row>
    <row r="197" spans="1:8" ht="15.6">
      <c r="A197" s="193"/>
      <c r="B197" s="193"/>
      <c r="C197" s="193"/>
      <c r="D197" s="193"/>
      <c r="E197" s="193"/>
      <c r="F197" s="193"/>
      <c r="G197" s="193"/>
      <c r="H197" s="193"/>
    </row>
    <row r="198" spans="1:8" ht="15.6">
      <c r="A198" s="193"/>
      <c r="B198" s="193"/>
      <c r="C198" s="193"/>
      <c r="D198" s="193"/>
      <c r="E198" s="193"/>
      <c r="F198" s="193"/>
      <c r="G198" s="193"/>
      <c r="H198" s="193"/>
    </row>
    <row r="199" spans="1:8" ht="15.6">
      <c r="A199" s="193"/>
      <c r="B199" s="193"/>
      <c r="C199" s="193"/>
      <c r="D199" s="193"/>
      <c r="E199" s="193"/>
      <c r="F199" s="193"/>
      <c r="G199" s="193"/>
      <c r="H199" s="193"/>
    </row>
    <row r="200" spans="1:8" ht="15.6">
      <c r="A200" s="193"/>
      <c r="B200" s="193"/>
      <c r="C200" s="193"/>
      <c r="D200" s="193"/>
      <c r="E200" s="193"/>
      <c r="F200" s="193"/>
      <c r="G200" s="193"/>
      <c r="H200" s="193"/>
    </row>
    <row r="201" spans="1:8" ht="15.6">
      <c r="A201" s="193"/>
      <c r="B201" s="193"/>
      <c r="C201" s="193"/>
      <c r="D201" s="193"/>
      <c r="E201" s="193"/>
      <c r="F201" s="193"/>
      <c r="G201" s="193"/>
      <c r="H201" s="193"/>
    </row>
    <row r="202" spans="1:8" ht="15.6">
      <c r="A202" s="193"/>
      <c r="B202" s="193"/>
      <c r="C202" s="193"/>
      <c r="D202" s="193"/>
      <c r="E202" s="193"/>
      <c r="F202" s="193"/>
      <c r="G202" s="193"/>
      <c r="H202" s="193"/>
    </row>
    <row r="203" spans="1:8" ht="15.6">
      <c r="A203" s="193"/>
      <c r="B203" s="193"/>
      <c r="C203" s="193"/>
      <c r="D203" s="193"/>
      <c r="E203" s="193"/>
      <c r="F203" s="193"/>
      <c r="G203" s="193"/>
      <c r="H203" s="193"/>
    </row>
    <row r="204" spans="1:8" ht="15.6">
      <c r="A204" s="193"/>
      <c r="B204" s="193"/>
      <c r="C204" s="193"/>
      <c r="D204" s="193"/>
      <c r="E204" s="193"/>
      <c r="F204" s="193"/>
      <c r="G204" s="193"/>
      <c r="H204" s="193"/>
    </row>
    <row r="205" spans="1:8" ht="15.6">
      <c r="A205" s="193"/>
      <c r="B205" s="193"/>
      <c r="C205" s="193"/>
      <c r="D205" s="193"/>
      <c r="E205" s="193"/>
      <c r="F205" s="193"/>
      <c r="G205" s="193"/>
      <c r="H205" s="193"/>
    </row>
    <row r="206" spans="1:8" ht="15.6">
      <c r="A206" s="193"/>
      <c r="B206" s="193"/>
      <c r="C206" s="193"/>
      <c r="D206" s="193"/>
      <c r="E206" s="193"/>
      <c r="F206" s="193"/>
      <c r="G206" s="193"/>
      <c r="H206" s="193"/>
    </row>
    <row r="207" spans="1:8" ht="15.6">
      <c r="A207" s="193"/>
      <c r="B207" s="193"/>
      <c r="C207" s="193"/>
      <c r="D207" s="193"/>
      <c r="E207" s="193"/>
      <c r="F207" s="193"/>
      <c r="G207" s="193"/>
      <c r="H207" s="193"/>
    </row>
    <row r="208" spans="1:8" ht="15.6">
      <c r="A208" s="193"/>
      <c r="B208" s="193"/>
      <c r="C208" s="193"/>
      <c r="D208" s="193"/>
      <c r="E208" s="193"/>
      <c r="F208" s="193"/>
      <c r="G208" s="193"/>
      <c r="H208" s="193"/>
    </row>
    <row r="209" spans="1:8" ht="15.6">
      <c r="A209" s="193"/>
      <c r="B209" s="193"/>
      <c r="C209" s="193"/>
      <c r="D209" s="193"/>
      <c r="E209" s="193"/>
      <c r="F209" s="193"/>
      <c r="G209" s="193"/>
      <c r="H209" s="193"/>
    </row>
    <row r="210" spans="1:8" ht="15.6">
      <c r="A210" s="193"/>
      <c r="B210" s="193"/>
      <c r="C210" s="193"/>
      <c r="D210" s="193"/>
      <c r="E210" s="193"/>
      <c r="F210" s="193"/>
      <c r="G210" s="193"/>
      <c r="H210" s="193"/>
    </row>
    <row r="211" spans="1:8" ht="15.6">
      <c r="A211" s="193"/>
      <c r="B211" s="193"/>
      <c r="C211" s="193"/>
      <c r="D211" s="193"/>
      <c r="E211" s="193"/>
      <c r="F211" s="193"/>
      <c r="G211" s="193"/>
      <c r="H211" s="193"/>
    </row>
    <row r="212" spans="1:8" ht="15.6">
      <c r="A212" s="193"/>
      <c r="B212" s="193"/>
      <c r="C212" s="193"/>
      <c r="D212" s="193"/>
      <c r="E212" s="193"/>
      <c r="F212" s="193"/>
      <c r="G212" s="193"/>
      <c r="H212" s="193"/>
    </row>
    <row r="213" spans="1:8" ht="15.6">
      <c r="A213" s="193"/>
      <c r="B213" s="193"/>
      <c r="C213" s="193"/>
      <c r="D213" s="193"/>
      <c r="E213" s="193"/>
      <c r="F213" s="193"/>
      <c r="G213" s="193"/>
      <c r="H213" s="193"/>
    </row>
    <row r="214" spans="1:8" ht="15.6">
      <c r="A214" s="193"/>
      <c r="B214" s="193"/>
      <c r="C214" s="193"/>
      <c r="D214" s="193"/>
      <c r="E214" s="193"/>
      <c r="F214" s="193"/>
      <c r="G214" s="193"/>
      <c r="H214" s="193"/>
    </row>
    <row r="215" spans="1:8" ht="15.6">
      <c r="A215" s="193"/>
      <c r="B215" s="193"/>
      <c r="C215" s="193"/>
      <c r="D215" s="193"/>
      <c r="E215" s="193"/>
      <c r="F215" s="193"/>
      <c r="G215" s="193"/>
      <c r="H215" s="193"/>
    </row>
    <row r="216" spans="1:8" ht="15.6">
      <c r="A216" s="193"/>
      <c r="B216" s="193"/>
      <c r="C216" s="193"/>
      <c r="D216" s="193"/>
      <c r="E216" s="193"/>
      <c r="F216" s="193"/>
      <c r="G216" s="193"/>
      <c r="H216" s="193"/>
    </row>
    <row r="217" spans="1:8" ht="15.6">
      <c r="A217" s="193"/>
      <c r="B217" s="193"/>
      <c r="C217" s="193"/>
      <c r="D217" s="193"/>
      <c r="E217" s="193"/>
      <c r="F217" s="193"/>
      <c r="G217" s="193"/>
      <c r="H217" s="193"/>
    </row>
    <row r="218" spans="1:8" ht="15.6">
      <c r="A218" s="193"/>
      <c r="B218" s="193"/>
      <c r="C218" s="193"/>
      <c r="D218" s="193"/>
      <c r="E218" s="193"/>
      <c r="F218" s="193"/>
      <c r="G218" s="193"/>
      <c r="H218" s="193"/>
    </row>
    <row r="219" spans="1:8" ht="15.6">
      <c r="A219" s="193"/>
      <c r="B219" s="193"/>
      <c r="C219" s="193"/>
      <c r="D219" s="193"/>
      <c r="E219" s="193"/>
      <c r="F219" s="193"/>
      <c r="G219" s="193"/>
      <c r="H219" s="193"/>
    </row>
    <row r="220" spans="1:8" ht="15.6">
      <c r="A220" s="193"/>
      <c r="B220" s="193"/>
      <c r="C220" s="193"/>
      <c r="D220" s="193"/>
      <c r="E220" s="193"/>
      <c r="F220" s="193"/>
      <c r="G220" s="193"/>
      <c r="H220" s="193"/>
    </row>
    <row r="221" spans="1:8" ht="15.6">
      <c r="A221" s="193"/>
      <c r="B221" s="193"/>
      <c r="C221" s="193"/>
      <c r="D221" s="193"/>
      <c r="E221" s="193"/>
      <c r="F221" s="193"/>
      <c r="G221" s="193"/>
      <c r="H221" s="193"/>
    </row>
    <row r="222" spans="1:8" ht="15.6">
      <c r="A222" s="193"/>
      <c r="B222" s="193"/>
      <c r="C222" s="193"/>
      <c r="D222" s="193"/>
      <c r="E222" s="193"/>
      <c r="F222" s="193"/>
      <c r="G222" s="193"/>
      <c r="H222" s="193"/>
    </row>
    <row r="223" spans="1:8" ht="15.6">
      <c r="A223" s="193"/>
      <c r="B223" s="193"/>
      <c r="C223" s="193"/>
      <c r="D223" s="193"/>
      <c r="E223" s="193"/>
      <c r="F223" s="193"/>
      <c r="G223" s="193"/>
      <c r="H223" s="193"/>
    </row>
    <row r="224" spans="1:8" ht="15.6">
      <c r="A224" s="193"/>
      <c r="B224" s="193"/>
      <c r="C224" s="193"/>
      <c r="D224" s="193"/>
      <c r="E224" s="193"/>
      <c r="F224" s="193"/>
      <c r="G224" s="193"/>
      <c r="H224" s="193"/>
    </row>
    <row r="225" spans="1:8" ht="15.6">
      <c r="A225" s="193"/>
      <c r="B225" s="193"/>
      <c r="C225" s="193"/>
      <c r="D225" s="193"/>
      <c r="E225" s="193"/>
      <c r="F225" s="193"/>
      <c r="G225" s="193"/>
      <c r="H225" s="193"/>
    </row>
    <row r="226" spans="1:8" ht="15.6">
      <c r="A226" s="193"/>
      <c r="B226" s="193"/>
      <c r="C226" s="193"/>
      <c r="D226" s="193"/>
      <c r="E226" s="193"/>
      <c r="F226" s="193"/>
      <c r="G226" s="193"/>
      <c r="H226" s="193"/>
    </row>
    <row r="227" spans="1:8" ht="15.6">
      <c r="A227" s="193"/>
      <c r="B227" s="193"/>
      <c r="C227" s="193"/>
      <c r="D227" s="193"/>
      <c r="E227" s="193"/>
      <c r="F227" s="193"/>
      <c r="G227" s="193"/>
      <c r="H227" s="193"/>
    </row>
    <row r="228" spans="1:8" ht="15.6">
      <c r="A228" s="193"/>
      <c r="B228" s="193"/>
      <c r="C228" s="193"/>
      <c r="D228" s="193"/>
      <c r="E228" s="193"/>
      <c r="F228" s="193"/>
      <c r="G228" s="193"/>
      <c r="H228" s="193"/>
    </row>
    <row r="229" spans="1:8" ht="15.6">
      <c r="A229" s="193"/>
      <c r="B229" s="193"/>
      <c r="C229" s="193"/>
      <c r="D229" s="193"/>
      <c r="E229" s="193"/>
      <c r="F229" s="193"/>
      <c r="G229" s="193"/>
      <c r="H229" s="193"/>
    </row>
    <row r="230" spans="1:8" ht="15.6">
      <c r="A230" s="193"/>
      <c r="B230" s="193"/>
      <c r="C230" s="193"/>
      <c r="D230" s="193"/>
      <c r="E230" s="193"/>
      <c r="F230" s="193"/>
      <c r="G230" s="193"/>
      <c r="H230" s="193"/>
    </row>
    <row r="231" spans="1:8" ht="15.6">
      <c r="A231" s="193"/>
      <c r="B231" s="193"/>
      <c r="C231" s="193"/>
      <c r="D231" s="193"/>
      <c r="E231" s="193"/>
      <c r="F231" s="193"/>
      <c r="G231" s="193"/>
      <c r="H231" s="193"/>
    </row>
    <row r="232" spans="1:8" ht="15.6">
      <c r="A232" s="193"/>
      <c r="B232" s="193"/>
      <c r="C232" s="193"/>
      <c r="D232" s="193"/>
      <c r="E232" s="193"/>
      <c r="F232" s="193"/>
      <c r="G232" s="193"/>
      <c r="H232" s="193"/>
    </row>
    <row r="233" spans="1:8" ht="15.6">
      <c r="A233" s="193"/>
      <c r="B233" s="193"/>
      <c r="C233" s="193"/>
      <c r="D233" s="193"/>
      <c r="E233" s="193"/>
      <c r="F233" s="193"/>
      <c r="G233" s="193"/>
      <c r="H233" s="193"/>
    </row>
    <row r="234" spans="1:8" ht="15.6">
      <c r="A234" s="193"/>
      <c r="B234" s="193"/>
      <c r="C234" s="193"/>
      <c r="D234" s="193"/>
      <c r="E234" s="193"/>
      <c r="F234" s="193"/>
      <c r="G234" s="193"/>
      <c r="H234" s="193"/>
    </row>
    <row r="235" spans="1:8" ht="15.6">
      <c r="A235" s="193"/>
      <c r="B235" s="193"/>
      <c r="C235" s="193"/>
      <c r="D235" s="193"/>
      <c r="E235" s="193"/>
      <c r="F235" s="193"/>
      <c r="G235" s="193"/>
      <c r="H235" s="193"/>
    </row>
    <row r="236" spans="1:8" ht="15.6">
      <c r="A236" s="193"/>
      <c r="B236" s="193"/>
      <c r="C236" s="193"/>
      <c r="D236" s="193"/>
      <c r="E236" s="193"/>
      <c r="F236" s="193"/>
      <c r="G236" s="193"/>
      <c r="H236" s="193"/>
    </row>
    <row r="237" spans="1:8" ht="15.6">
      <c r="A237" s="193"/>
      <c r="B237" s="193"/>
      <c r="C237" s="193"/>
      <c r="D237" s="193"/>
      <c r="E237" s="193"/>
      <c r="F237" s="193"/>
      <c r="G237" s="193"/>
      <c r="H237" s="193"/>
    </row>
    <row r="238" spans="1:8" ht="15.6">
      <c r="A238" s="193"/>
      <c r="B238" s="193"/>
      <c r="C238" s="193"/>
      <c r="D238" s="193"/>
      <c r="E238" s="193"/>
      <c r="F238" s="193"/>
      <c r="G238" s="193"/>
      <c r="H238" s="193"/>
    </row>
    <row r="239" spans="1:8" ht="15.6">
      <c r="A239" s="193"/>
      <c r="B239" s="193"/>
      <c r="C239" s="193"/>
      <c r="D239" s="193"/>
      <c r="E239" s="193"/>
      <c r="F239" s="193"/>
      <c r="G239" s="193"/>
      <c r="H239" s="193"/>
    </row>
    <row r="240" spans="1:8" ht="15.6">
      <c r="A240" s="193"/>
      <c r="B240" s="193"/>
      <c r="C240" s="193"/>
      <c r="D240" s="193"/>
      <c r="E240" s="193"/>
      <c r="F240" s="193"/>
      <c r="G240" s="193"/>
      <c r="H240" s="193"/>
    </row>
    <row r="241" spans="1:8" ht="15.6">
      <c r="A241" s="193"/>
      <c r="B241" s="193"/>
      <c r="C241" s="193"/>
      <c r="D241" s="193"/>
      <c r="E241" s="193"/>
      <c r="F241" s="193"/>
      <c r="G241" s="193"/>
      <c r="H241" s="193"/>
    </row>
    <row r="242" spans="1:8" ht="15.6">
      <c r="A242" s="193"/>
      <c r="B242" s="193"/>
      <c r="C242" s="193"/>
      <c r="D242" s="193"/>
      <c r="E242" s="193"/>
      <c r="F242" s="193"/>
      <c r="G242" s="193"/>
      <c r="H242" s="193"/>
    </row>
    <row r="243" spans="1:8" ht="15.6">
      <c r="A243" s="193"/>
      <c r="B243" s="193"/>
      <c r="C243" s="193"/>
      <c r="D243" s="193"/>
      <c r="E243" s="193"/>
      <c r="F243" s="193"/>
      <c r="G243" s="193"/>
      <c r="H243" s="193"/>
    </row>
    <row r="244" spans="1:8" ht="15.6">
      <c r="A244" s="193"/>
      <c r="B244" s="193"/>
      <c r="C244" s="193"/>
      <c r="D244" s="193"/>
      <c r="E244" s="193"/>
      <c r="F244" s="193"/>
      <c r="G244" s="193"/>
      <c r="H244" s="193"/>
    </row>
    <row r="245" spans="1:8" ht="15.6">
      <c r="A245" s="193"/>
      <c r="B245" s="193"/>
      <c r="C245" s="193"/>
      <c r="D245" s="193"/>
      <c r="E245" s="193"/>
      <c r="F245" s="193"/>
      <c r="G245" s="193"/>
      <c r="H245" s="193"/>
    </row>
    <row r="246" spans="1:8" ht="15.6">
      <c r="A246" s="193"/>
      <c r="B246" s="193"/>
      <c r="C246" s="193"/>
      <c r="D246" s="193"/>
      <c r="E246" s="193"/>
      <c r="F246" s="193"/>
      <c r="G246" s="193"/>
      <c r="H246" s="193"/>
    </row>
    <row r="247" spans="1:8" ht="15.6">
      <c r="A247" s="193"/>
      <c r="B247" s="193"/>
      <c r="C247" s="193"/>
      <c r="D247" s="193"/>
      <c r="E247" s="193"/>
      <c r="F247" s="193"/>
      <c r="G247" s="193"/>
      <c r="H247" s="193"/>
    </row>
    <row r="248" spans="1:8" ht="15.6">
      <c r="A248" s="193"/>
      <c r="B248" s="193"/>
      <c r="C248" s="193"/>
      <c r="D248" s="193"/>
      <c r="E248" s="193"/>
      <c r="F248" s="193"/>
      <c r="G248" s="193"/>
      <c r="H248" s="193"/>
    </row>
    <row r="249" spans="1:8" ht="15.6">
      <c r="A249" s="193"/>
      <c r="B249" s="193"/>
      <c r="C249" s="193"/>
      <c r="D249" s="193"/>
      <c r="E249" s="193"/>
      <c r="F249" s="193"/>
      <c r="G249" s="193"/>
      <c r="H249" s="193"/>
    </row>
    <row r="250" spans="1:8" ht="15.6">
      <c r="A250" s="193"/>
      <c r="B250" s="193"/>
      <c r="C250" s="193"/>
      <c r="D250" s="193"/>
      <c r="E250" s="193"/>
      <c r="F250" s="193"/>
      <c r="G250" s="193"/>
      <c r="H250" s="193"/>
    </row>
    <row r="251" spans="1:8" ht="15.6">
      <c r="A251" s="193"/>
      <c r="B251" s="193"/>
      <c r="C251" s="193"/>
      <c r="D251" s="193"/>
      <c r="E251" s="193"/>
      <c r="F251" s="193"/>
      <c r="G251" s="193"/>
      <c r="H251" s="193"/>
    </row>
    <row r="252" spans="1:8" ht="15.6">
      <c r="A252" s="193"/>
      <c r="B252" s="193"/>
      <c r="C252" s="193"/>
      <c r="D252" s="193"/>
      <c r="E252" s="193"/>
      <c r="F252" s="193"/>
      <c r="G252" s="193"/>
      <c r="H252" s="193"/>
    </row>
    <row r="253" spans="1:8" ht="15.6">
      <c r="A253" s="193"/>
      <c r="B253" s="193"/>
      <c r="C253" s="193"/>
      <c r="D253" s="193"/>
      <c r="E253" s="193"/>
      <c r="F253" s="193"/>
      <c r="G253" s="193"/>
      <c r="H253" s="193"/>
    </row>
    <row r="254" spans="1:8" ht="15.6">
      <c r="A254" s="193"/>
      <c r="B254" s="193"/>
      <c r="C254" s="193"/>
      <c r="D254" s="193"/>
      <c r="E254" s="193"/>
      <c r="F254" s="193"/>
      <c r="G254" s="193"/>
      <c r="H254" s="193"/>
    </row>
    <row r="255" spans="1:8" ht="15.6">
      <c r="A255" s="193"/>
      <c r="B255" s="193"/>
      <c r="C255" s="193"/>
      <c r="D255" s="193"/>
      <c r="E255" s="193"/>
      <c r="F255" s="193"/>
      <c r="G255" s="193"/>
      <c r="H255" s="193"/>
    </row>
    <row r="256" spans="1:8" ht="15.6">
      <c r="A256" s="193"/>
      <c r="B256" s="193"/>
      <c r="C256" s="193"/>
      <c r="D256" s="193"/>
      <c r="E256" s="193"/>
      <c r="F256" s="193"/>
      <c r="G256" s="193"/>
      <c r="H256" s="193"/>
    </row>
    <row r="257" spans="1:8" ht="15.6">
      <c r="A257" s="193"/>
      <c r="B257" s="193"/>
      <c r="C257" s="193"/>
      <c r="D257" s="193"/>
      <c r="E257" s="193"/>
      <c r="F257" s="193"/>
      <c r="G257" s="193"/>
      <c r="H257" s="193"/>
    </row>
    <row r="258" spans="1:8" ht="15.6">
      <c r="A258" s="193"/>
      <c r="B258" s="193"/>
      <c r="C258" s="193"/>
      <c r="D258" s="193"/>
      <c r="E258" s="193"/>
      <c r="F258" s="193"/>
      <c r="G258" s="193"/>
      <c r="H258" s="193"/>
    </row>
    <row r="259" spans="1:8" ht="15.6">
      <c r="A259" s="193"/>
      <c r="B259" s="193"/>
      <c r="C259" s="193"/>
      <c r="D259" s="193"/>
      <c r="E259" s="193"/>
      <c r="F259" s="193"/>
      <c r="G259" s="193"/>
      <c r="H259" s="193"/>
    </row>
    <row r="260" spans="1:8" ht="15.6">
      <c r="A260" s="193"/>
      <c r="B260" s="193"/>
      <c r="C260" s="193"/>
      <c r="D260" s="193"/>
      <c r="E260" s="193"/>
      <c r="F260" s="193"/>
      <c r="G260" s="193"/>
      <c r="H260" s="193"/>
    </row>
    <row r="261" spans="1:8" ht="15.6">
      <c r="A261" s="193"/>
      <c r="B261" s="193"/>
      <c r="C261" s="193"/>
      <c r="D261" s="193"/>
      <c r="E261" s="193"/>
      <c r="F261" s="193"/>
      <c r="G261" s="193"/>
      <c r="H261" s="193"/>
    </row>
    <row r="262" spans="1:8" ht="15.6">
      <c r="A262" s="193"/>
      <c r="B262" s="193"/>
      <c r="C262" s="193"/>
      <c r="D262" s="193"/>
      <c r="E262" s="193"/>
      <c r="F262" s="193"/>
      <c r="G262" s="193"/>
      <c r="H262" s="193"/>
    </row>
    <row r="263" spans="1:8" ht="15.6">
      <c r="A263" s="193"/>
      <c r="B263" s="193"/>
      <c r="C263" s="193"/>
      <c r="D263" s="193"/>
      <c r="E263" s="193"/>
      <c r="F263" s="193"/>
      <c r="G263" s="193"/>
      <c r="H263" s="193"/>
    </row>
    <row r="264" spans="1:8" ht="15.6">
      <c r="A264" s="193"/>
      <c r="B264" s="193"/>
      <c r="C264" s="193"/>
      <c r="D264" s="193"/>
      <c r="E264" s="193"/>
      <c r="F264" s="193"/>
      <c r="G264" s="193"/>
      <c r="H264" s="193"/>
    </row>
    <row r="265" spans="1:8" ht="15.6">
      <c r="A265" s="193"/>
      <c r="B265" s="193"/>
      <c r="C265" s="193"/>
      <c r="D265" s="193"/>
      <c r="E265" s="193"/>
      <c r="F265" s="193"/>
      <c r="G265" s="193"/>
      <c r="H265" s="193"/>
    </row>
    <row r="266" spans="1:8" ht="15.6">
      <c r="A266" s="193"/>
      <c r="B266" s="193"/>
      <c r="C266" s="193"/>
      <c r="D266" s="193"/>
      <c r="E266" s="193"/>
      <c r="F266" s="193"/>
      <c r="G266" s="193"/>
      <c r="H266" s="193"/>
    </row>
    <row r="267" spans="1:8" ht="15.6">
      <c r="A267" s="193"/>
      <c r="B267" s="193"/>
      <c r="C267" s="193"/>
      <c r="D267" s="193"/>
      <c r="E267" s="193"/>
      <c r="F267" s="193"/>
      <c r="G267" s="193"/>
      <c r="H267" s="193"/>
    </row>
    <row r="268" spans="1:8" ht="15.6">
      <c r="A268" s="193"/>
      <c r="B268" s="193"/>
      <c r="C268" s="193"/>
      <c r="D268" s="193"/>
      <c r="E268" s="193"/>
      <c r="F268" s="193"/>
      <c r="G268" s="193"/>
      <c r="H268" s="193"/>
    </row>
    <row r="269" spans="1:8" ht="15.6">
      <c r="A269" s="193"/>
      <c r="B269" s="193"/>
      <c r="C269" s="193"/>
      <c r="D269" s="193"/>
      <c r="E269" s="193"/>
      <c r="F269" s="193"/>
      <c r="G269" s="193"/>
      <c r="H269" s="193"/>
    </row>
    <row r="270" spans="1:8" ht="15.6">
      <c r="A270" s="193"/>
      <c r="B270" s="193"/>
      <c r="C270" s="193"/>
      <c r="D270" s="193"/>
      <c r="E270" s="193"/>
      <c r="F270" s="193"/>
      <c r="G270" s="193"/>
      <c r="H270" s="193"/>
    </row>
    <row r="271" spans="1:8" ht="15.6">
      <c r="A271" s="193"/>
      <c r="B271" s="193"/>
      <c r="C271" s="193"/>
      <c r="D271" s="193"/>
      <c r="E271" s="193"/>
      <c r="F271" s="193"/>
      <c r="G271" s="193"/>
      <c r="H271" s="193"/>
    </row>
    <row r="272" spans="1:8" ht="15.6">
      <c r="A272" s="193"/>
      <c r="B272" s="193"/>
      <c r="C272" s="193"/>
      <c r="D272" s="193"/>
      <c r="E272" s="193"/>
      <c r="F272" s="193"/>
      <c r="G272" s="193"/>
      <c r="H272" s="193"/>
    </row>
    <row r="273" spans="1:8" ht="15.6">
      <c r="A273" s="193"/>
      <c r="B273" s="193"/>
      <c r="C273" s="193"/>
      <c r="D273" s="193"/>
      <c r="E273" s="193"/>
      <c r="F273" s="193"/>
      <c r="G273" s="193"/>
      <c r="H273" s="193"/>
    </row>
    <row r="274" spans="1:8" ht="15.6">
      <c r="A274" s="193"/>
      <c r="B274" s="193"/>
      <c r="C274" s="193"/>
      <c r="D274" s="193"/>
      <c r="E274" s="193"/>
      <c r="F274" s="193"/>
      <c r="G274" s="193"/>
      <c r="H274" s="193"/>
    </row>
    <row r="275" spans="1:8" ht="15.6">
      <c r="A275" s="193"/>
      <c r="B275" s="193"/>
      <c r="C275" s="193"/>
      <c r="D275" s="193"/>
      <c r="E275" s="193"/>
      <c r="F275" s="193"/>
      <c r="G275" s="193"/>
      <c r="H275" s="193"/>
    </row>
    <row r="276" spans="1:8" ht="15.6">
      <c r="A276" s="193"/>
      <c r="B276" s="193"/>
      <c r="C276" s="193"/>
      <c r="D276" s="193"/>
      <c r="E276" s="193"/>
      <c r="F276" s="193"/>
      <c r="G276" s="193"/>
      <c r="H276" s="193"/>
    </row>
    <row r="277" spans="1:8" ht="15.6">
      <c r="A277" s="193"/>
      <c r="B277" s="193"/>
      <c r="C277" s="193"/>
      <c r="D277" s="193"/>
      <c r="E277" s="193"/>
      <c r="F277" s="193"/>
      <c r="G277" s="193"/>
      <c r="H277" s="193"/>
    </row>
    <row r="278" spans="1:8" ht="15.6">
      <c r="A278" s="193"/>
      <c r="B278" s="193"/>
      <c r="C278" s="193"/>
      <c r="D278" s="193"/>
      <c r="E278" s="193"/>
      <c r="F278" s="193"/>
      <c r="G278" s="193"/>
      <c r="H278" s="193"/>
    </row>
    <row r="279" spans="1:8" ht="15.6">
      <c r="A279" s="193"/>
      <c r="B279" s="193"/>
      <c r="C279" s="193"/>
      <c r="D279" s="193"/>
      <c r="E279" s="193"/>
      <c r="F279" s="193"/>
      <c r="G279" s="193"/>
      <c r="H279" s="193"/>
    </row>
    <row r="280" spans="1:8" ht="15.6">
      <c r="A280" s="193"/>
      <c r="B280" s="193"/>
      <c r="C280" s="193"/>
      <c r="D280" s="193"/>
      <c r="E280" s="193"/>
      <c r="F280" s="193"/>
      <c r="G280" s="193"/>
      <c r="H280" s="193"/>
    </row>
    <row r="281" spans="1:8" ht="15.6">
      <c r="A281" s="193"/>
      <c r="B281" s="193"/>
      <c r="C281" s="193"/>
      <c r="D281" s="193"/>
      <c r="E281" s="193"/>
      <c r="F281" s="193"/>
      <c r="G281" s="193"/>
      <c r="H281" s="193"/>
    </row>
    <row r="282" spans="1:8" ht="15.6">
      <c r="A282" s="193"/>
      <c r="B282" s="193"/>
      <c r="C282" s="193"/>
      <c r="D282" s="193"/>
      <c r="E282" s="193"/>
      <c r="F282" s="193"/>
      <c r="G282" s="193"/>
      <c r="H282" s="193"/>
    </row>
    <row r="283" spans="1:8" ht="15.6">
      <c r="A283" s="193"/>
      <c r="B283" s="193"/>
      <c r="C283" s="193"/>
      <c r="D283" s="193"/>
      <c r="E283" s="193"/>
      <c r="F283" s="193"/>
      <c r="G283" s="193"/>
      <c r="H283" s="193"/>
    </row>
    <row r="284" spans="1:8" ht="15.6">
      <c r="A284" s="193"/>
      <c r="B284" s="193"/>
      <c r="C284" s="193"/>
      <c r="D284" s="193"/>
      <c r="E284" s="193"/>
      <c r="F284" s="193"/>
      <c r="G284" s="193"/>
      <c r="H284" s="193"/>
    </row>
    <row r="285" spans="1:8" ht="15.6">
      <c r="A285" s="193"/>
      <c r="B285" s="193"/>
      <c r="C285" s="193"/>
      <c r="D285" s="193"/>
      <c r="E285" s="193"/>
      <c r="F285" s="193"/>
      <c r="G285" s="193"/>
      <c r="H285" s="193"/>
    </row>
    <row r="286" spans="1:8" ht="15.6">
      <c r="A286" s="193"/>
      <c r="B286" s="193"/>
      <c r="C286" s="193"/>
      <c r="D286" s="193"/>
      <c r="E286" s="193"/>
      <c r="F286" s="193"/>
      <c r="G286" s="193"/>
      <c r="H286" s="193"/>
    </row>
    <row r="287" spans="1:8" ht="15.6">
      <c r="A287" s="193"/>
      <c r="B287" s="193"/>
      <c r="C287" s="193"/>
      <c r="D287" s="193"/>
      <c r="E287" s="193"/>
      <c r="F287" s="193"/>
      <c r="G287" s="193"/>
      <c r="H287" s="193"/>
    </row>
    <row r="288" spans="1:8" ht="15.6">
      <c r="A288" s="193"/>
      <c r="B288" s="193"/>
      <c r="C288" s="193"/>
      <c r="D288" s="193"/>
      <c r="E288" s="193"/>
      <c r="F288" s="193"/>
      <c r="G288" s="193"/>
      <c r="H288" s="193"/>
    </row>
    <row r="289" spans="1:8" ht="15.6">
      <c r="A289" s="193"/>
      <c r="B289" s="193"/>
      <c r="C289" s="193"/>
      <c r="D289" s="193"/>
      <c r="E289" s="193"/>
      <c r="F289" s="193"/>
      <c r="G289" s="193"/>
      <c r="H289" s="193"/>
    </row>
    <row r="290" spans="1:8" ht="15.6">
      <c r="A290" s="193"/>
      <c r="B290" s="193"/>
      <c r="C290" s="193"/>
      <c r="D290" s="193"/>
      <c r="E290" s="193"/>
      <c r="F290" s="193"/>
      <c r="G290" s="193"/>
      <c r="H290" s="193"/>
    </row>
    <row r="291" spans="1:8" ht="15.6">
      <c r="A291" s="193"/>
      <c r="B291" s="193"/>
      <c r="C291" s="193"/>
      <c r="D291" s="193"/>
      <c r="E291" s="193"/>
      <c r="F291" s="193"/>
      <c r="G291" s="193"/>
      <c r="H291" s="193"/>
    </row>
    <row r="292" spans="1:8" ht="15.6">
      <c r="A292" s="193"/>
      <c r="B292" s="193"/>
      <c r="C292" s="193"/>
      <c r="D292" s="193"/>
      <c r="E292" s="193"/>
      <c r="F292" s="193"/>
      <c r="G292" s="193"/>
      <c r="H292" s="193"/>
    </row>
    <row r="293" spans="1:8" ht="15.6">
      <c r="A293" s="193"/>
      <c r="B293" s="193"/>
      <c r="C293" s="193"/>
      <c r="D293" s="193"/>
      <c r="E293" s="193"/>
      <c r="F293" s="193"/>
      <c r="G293" s="193"/>
      <c r="H293" s="193"/>
    </row>
    <row r="294" spans="1:8" ht="15.6">
      <c r="A294" s="193"/>
      <c r="B294" s="193"/>
      <c r="C294" s="193"/>
      <c r="D294" s="193"/>
      <c r="E294" s="193"/>
      <c r="F294" s="193"/>
      <c r="G294" s="193"/>
      <c r="H294" s="193"/>
    </row>
    <row r="295" spans="1:8" ht="15.6">
      <c r="A295" s="193"/>
      <c r="B295" s="193"/>
      <c r="C295" s="193"/>
      <c r="D295" s="193"/>
      <c r="E295" s="193"/>
      <c r="F295" s="193"/>
      <c r="G295" s="193"/>
      <c r="H295" s="193"/>
    </row>
    <row r="296" spans="1:8" ht="15.6">
      <c r="A296" s="193"/>
      <c r="B296" s="193"/>
      <c r="C296" s="193"/>
      <c r="D296" s="193"/>
      <c r="E296" s="193"/>
      <c r="F296" s="193"/>
      <c r="G296" s="193"/>
      <c r="H296" s="193"/>
    </row>
    <row r="297" spans="1:8" ht="15.6">
      <c r="A297" s="193"/>
      <c r="B297" s="193"/>
      <c r="C297" s="193"/>
      <c r="D297" s="193"/>
      <c r="E297" s="193"/>
      <c r="F297" s="193"/>
      <c r="G297" s="193"/>
      <c r="H297" s="193"/>
    </row>
    <row r="298" spans="1:8" ht="15.6">
      <c r="A298" s="193"/>
      <c r="B298" s="193"/>
      <c r="C298" s="193"/>
      <c r="D298" s="193"/>
      <c r="E298" s="193"/>
      <c r="F298" s="193"/>
      <c r="G298" s="193"/>
      <c r="H298" s="193"/>
    </row>
    <row r="299" spans="1:8" ht="15.6">
      <c r="A299" s="193"/>
      <c r="B299" s="193"/>
      <c r="C299" s="193"/>
      <c r="D299" s="193"/>
      <c r="E299" s="193"/>
      <c r="F299" s="193"/>
      <c r="G299" s="193"/>
      <c r="H299" s="193"/>
    </row>
    <row r="300" spans="1:8" ht="15.6">
      <c r="A300" s="193"/>
      <c r="B300" s="193"/>
      <c r="C300" s="193"/>
      <c r="D300" s="193"/>
      <c r="E300" s="193"/>
      <c r="F300" s="193"/>
      <c r="G300" s="193"/>
      <c r="H300" s="193"/>
    </row>
    <row r="301" spans="1:8" ht="15.6">
      <c r="A301" s="193"/>
      <c r="B301" s="193"/>
      <c r="C301" s="193"/>
      <c r="D301" s="193"/>
      <c r="E301" s="193"/>
      <c r="F301" s="193"/>
      <c r="G301" s="193"/>
      <c r="H301" s="193"/>
    </row>
    <row r="302" spans="1:8" ht="15.6">
      <c r="A302" s="193"/>
      <c r="B302" s="193"/>
      <c r="C302" s="193"/>
      <c r="D302" s="193"/>
      <c r="E302" s="193"/>
      <c r="F302" s="193"/>
      <c r="G302" s="193"/>
      <c r="H302" s="193"/>
    </row>
    <row r="303" spans="1:8" ht="15.6">
      <c r="A303" s="193"/>
      <c r="B303" s="193"/>
      <c r="C303" s="193"/>
      <c r="D303" s="193"/>
      <c r="E303" s="193"/>
      <c r="F303" s="193"/>
      <c r="G303" s="193"/>
      <c r="H303" s="193"/>
    </row>
    <row r="304" spans="1:8" ht="15.6">
      <c r="A304" s="193"/>
      <c r="B304" s="193"/>
      <c r="C304" s="193"/>
      <c r="D304" s="193"/>
      <c r="E304" s="193"/>
      <c r="F304" s="193"/>
      <c r="G304" s="193"/>
      <c r="H304" s="193"/>
    </row>
    <row r="305" spans="1:8" ht="15.6">
      <c r="A305" s="193"/>
      <c r="B305" s="193"/>
      <c r="C305" s="193"/>
      <c r="D305" s="193"/>
      <c r="E305" s="193"/>
      <c r="F305" s="193"/>
      <c r="G305" s="193"/>
      <c r="H305" s="193"/>
    </row>
    <row r="306" spans="1:8" ht="15.6">
      <c r="A306" s="193"/>
      <c r="B306" s="193"/>
      <c r="C306" s="193"/>
      <c r="D306" s="193"/>
      <c r="E306" s="193"/>
      <c r="F306" s="193"/>
      <c r="G306" s="193"/>
      <c r="H306" s="193"/>
    </row>
    <row r="307" spans="1:8" ht="15.6">
      <c r="A307" s="193"/>
      <c r="B307" s="193"/>
      <c r="C307" s="193"/>
      <c r="D307" s="193"/>
      <c r="E307" s="193"/>
      <c r="F307" s="193"/>
      <c r="G307" s="193"/>
      <c r="H307" s="193"/>
    </row>
    <row r="308" spans="1:8" ht="15.6">
      <c r="A308" s="193"/>
      <c r="B308" s="193"/>
      <c r="C308" s="193"/>
      <c r="D308" s="193"/>
      <c r="E308" s="193"/>
      <c r="F308" s="193"/>
      <c r="G308" s="193"/>
      <c r="H308" s="193"/>
    </row>
    <row r="309" spans="1:8" ht="15.6">
      <c r="A309" s="193"/>
      <c r="B309" s="193"/>
      <c r="C309" s="193"/>
      <c r="D309" s="193"/>
      <c r="E309" s="193"/>
      <c r="F309" s="193"/>
      <c r="G309" s="193"/>
      <c r="H309" s="193"/>
    </row>
    <row r="310" spans="1:8" ht="15.6">
      <c r="A310" s="193"/>
      <c r="B310" s="193"/>
      <c r="C310" s="193"/>
      <c r="D310" s="193"/>
      <c r="E310" s="193"/>
      <c r="F310" s="193"/>
      <c r="G310" s="193"/>
      <c r="H310" s="193"/>
    </row>
    <row r="311" spans="1:8" ht="15.6">
      <c r="A311" s="193"/>
      <c r="B311" s="193"/>
      <c r="C311" s="193"/>
      <c r="D311" s="193"/>
      <c r="E311" s="193"/>
      <c r="F311" s="193"/>
      <c r="G311" s="193"/>
      <c r="H311" s="193"/>
    </row>
    <row r="312" spans="1:8" ht="15.6">
      <c r="A312" s="193"/>
      <c r="B312" s="193"/>
      <c r="C312" s="193"/>
      <c r="D312" s="193"/>
      <c r="E312" s="193"/>
      <c r="F312" s="193"/>
      <c r="G312" s="193"/>
      <c r="H312" s="193"/>
    </row>
    <row r="313" spans="1:8" ht="15.6">
      <c r="A313" s="193"/>
      <c r="B313" s="193"/>
      <c r="C313" s="193"/>
      <c r="D313" s="193"/>
      <c r="E313" s="193"/>
      <c r="F313" s="193"/>
      <c r="G313" s="193"/>
      <c r="H313" s="193"/>
    </row>
    <row r="314" spans="1:8" ht="15.6">
      <c r="A314" s="193"/>
      <c r="B314" s="193"/>
      <c r="C314" s="193"/>
      <c r="D314" s="193"/>
      <c r="E314" s="193"/>
      <c r="F314" s="193"/>
      <c r="G314" s="193"/>
      <c r="H314" s="193"/>
    </row>
    <row r="315" spans="1:8" ht="15.6">
      <c r="A315" s="193"/>
      <c r="B315" s="193"/>
      <c r="C315" s="193"/>
      <c r="D315" s="193"/>
      <c r="E315" s="193"/>
      <c r="F315" s="193"/>
      <c r="G315" s="193"/>
      <c r="H315" s="193"/>
    </row>
    <row r="316" spans="1:8" ht="15.6">
      <c r="A316" s="193"/>
      <c r="B316" s="193"/>
      <c r="C316" s="193"/>
      <c r="D316" s="193"/>
      <c r="E316" s="193"/>
      <c r="F316" s="193"/>
      <c r="G316" s="193"/>
      <c r="H316" s="193"/>
    </row>
    <row r="317" spans="1:8" ht="15.6">
      <c r="A317" s="193"/>
      <c r="B317" s="193"/>
      <c r="C317" s="193"/>
      <c r="D317" s="193"/>
      <c r="E317" s="193"/>
      <c r="F317" s="193"/>
      <c r="G317" s="193"/>
      <c r="H317" s="193"/>
    </row>
    <row r="318" spans="1:8" ht="15.6">
      <c r="A318" s="193"/>
      <c r="B318" s="193"/>
      <c r="C318" s="193"/>
      <c r="D318" s="193"/>
      <c r="E318" s="193"/>
      <c r="F318" s="193"/>
      <c r="G318" s="193"/>
      <c r="H318" s="193"/>
    </row>
    <row r="319" spans="1:8" ht="15.6">
      <c r="A319" s="193"/>
      <c r="B319" s="193"/>
      <c r="C319" s="193"/>
      <c r="D319" s="193"/>
      <c r="E319" s="193"/>
      <c r="F319" s="193"/>
      <c r="G319" s="193"/>
      <c r="H319" s="193"/>
    </row>
    <row r="320" spans="1:8" ht="15.6">
      <c r="A320" s="193"/>
      <c r="B320" s="193"/>
      <c r="C320" s="193"/>
      <c r="D320" s="193"/>
      <c r="E320" s="193"/>
      <c r="F320" s="193"/>
      <c r="G320" s="193"/>
      <c r="H320" s="193"/>
    </row>
    <row r="321" spans="1:8" ht="15.6">
      <c r="A321" s="193"/>
      <c r="B321" s="193"/>
      <c r="C321" s="193"/>
      <c r="D321" s="193"/>
      <c r="E321" s="193"/>
      <c r="F321" s="193"/>
      <c r="G321" s="193"/>
      <c r="H321" s="193"/>
    </row>
    <row r="322" spans="1:8" ht="15.6">
      <c r="A322" s="193"/>
      <c r="B322" s="193"/>
      <c r="C322" s="193"/>
      <c r="D322" s="193"/>
      <c r="E322" s="193"/>
      <c r="F322" s="193"/>
      <c r="G322" s="193"/>
      <c r="H322" s="193"/>
    </row>
    <row r="323" spans="1:8" ht="15.6">
      <c r="A323" s="193"/>
      <c r="B323" s="193"/>
      <c r="C323" s="193"/>
      <c r="D323" s="193"/>
      <c r="E323" s="193"/>
      <c r="F323" s="193"/>
      <c r="G323" s="193"/>
      <c r="H323" s="193"/>
    </row>
    <row r="324" spans="1:8" ht="15.6">
      <c r="A324" s="193"/>
      <c r="B324" s="193"/>
      <c r="C324" s="193"/>
      <c r="D324" s="193"/>
      <c r="E324" s="193"/>
      <c r="F324" s="193"/>
      <c r="G324" s="193"/>
      <c r="H324" s="193"/>
    </row>
    <row r="325" spans="1:8" ht="15.6">
      <c r="A325" s="193"/>
      <c r="B325" s="193"/>
      <c r="C325" s="193"/>
      <c r="D325" s="193"/>
      <c r="E325" s="193"/>
      <c r="F325" s="193"/>
      <c r="G325" s="193"/>
      <c r="H325" s="193"/>
    </row>
    <row r="326" spans="1:8" ht="15.6">
      <c r="A326" s="193"/>
      <c r="B326" s="193"/>
      <c r="C326" s="193"/>
      <c r="D326" s="193"/>
      <c r="E326" s="193"/>
      <c r="F326" s="193"/>
      <c r="G326" s="193"/>
      <c r="H326" s="193"/>
    </row>
    <row r="327" spans="1:8" ht="15.6">
      <c r="A327" s="193"/>
      <c r="B327" s="193"/>
      <c r="C327" s="193"/>
      <c r="D327" s="193"/>
      <c r="E327" s="193"/>
      <c r="F327" s="193"/>
      <c r="G327" s="193"/>
      <c r="H327" s="193"/>
    </row>
    <row r="328" spans="1:8" ht="15.6">
      <c r="A328" s="193"/>
      <c r="B328" s="193"/>
      <c r="C328" s="193"/>
      <c r="D328" s="193"/>
      <c r="E328" s="193"/>
      <c r="F328" s="193"/>
      <c r="G328" s="193"/>
      <c r="H328" s="193"/>
    </row>
    <row r="329" spans="1:8" ht="15.6">
      <c r="A329" s="193"/>
      <c r="B329" s="193"/>
      <c r="C329" s="193"/>
      <c r="D329" s="193"/>
      <c r="E329" s="193"/>
      <c r="F329" s="193"/>
      <c r="G329" s="193"/>
      <c r="H329" s="193"/>
    </row>
    <row r="330" spans="1:8" ht="15.6">
      <c r="A330" s="193"/>
      <c r="B330" s="193"/>
      <c r="C330" s="193"/>
      <c r="D330" s="193"/>
      <c r="E330" s="193"/>
      <c r="F330" s="193"/>
      <c r="G330" s="193"/>
      <c r="H330" s="193"/>
    </row>
    <row r="331" spans="1:8" ht="15.6">
      <c r="A331" s="193"/>
      <c r="B331" s="193"/>
      <c r="C331" s="193"/>
      <c r="D331" s="193"/>
      <c r="E331" s="193"/>
      <c r="F331" s="193"/>
      <c r="G331" s="193"/>
      <c r="H331" s="193"/>
    </row>
    <row r="332" spans="1:8" ht="15.6">
      <c r="A332" s="193"/>
      <c r="B332" s="193"/>
      <c r="C332" s="193"/>
      <c r="D332" s="193"/>
      <c r="E332" s="193"/>
      <c r="F332" s="193"/>
      <c r="G332" s="193"/>
      <c r="H332" s="193"/>
    </row>
    <row r="333" spans="1:8" ht="15.6">
      <c r="A333" s="193"/>
      <c r="B333" s="193"/>
      <c r="C333" s="193"/>
      <c r="D333" s="193"/>
      <c r="E333" s="193"/>
      <c r="F333" s="193"/>
      <c r="G333" s="193"/>
      <c r="H333" s="193"/>
    </row>
    <row r="334" spans="1:8" ht="15.6">
      <c r="A334" s="193"/>
      <c r="B334" s="193"/>
      <c r="C334" s="193"/>
      <c r="D334" s="193"/>
      <c r="E334" s="193"/>
      <c r="F334" s="193"/>
      <c r="G334" s="193"/>
      <c r="H334" s="193"/>
    </row>
    <row r="335" spans="1:8" ht="15.6">
      <c r="A335" s="193"/>
      <c r="B335" s="193"/>
      <c r="C335" s="193"/>
      <c r="D335" s="193"/>
      <c r="E335" s="193"/>
      <c r="F335" s="193"/>
      <c r="G335" s="193"/>
      <c r="H335" s="193"/>
    </row>
    <row r="336" spans="1:8" ht="15.6">
      <c r="A336" s="193"/>
      <c r="B336" s="193"/>
      <c r="C336" s="193"/>
      <c r="D336" s="193"/>
      <c r="E336" s="193"/>
      <c r="F336" s="193"/>
      <c r="G336" s="193"/>
      <c r="H336" s="193"/>
    </row>
    <row r="337" spans="1:8" ht="15.6">
      <c r="A337" s="193"/>
      <c r="B337" s="193"/>
      <c r="C337" s="193"/>
      <c r="D337" s="193"/>
      <c r="E337" s="193"/>
      <c r="F337" s="193"/>
      <c r="G337" s="193"/>
      <c r="H337" s="193"/>
    </row>
    <row r="338" spans="1:8" ht="15.6">
      <c r="A338" s="193"/>
      <c r="B338" s="193"/>
      <c r="C338" s="193"/>
      <c r="D338" s="193"/>
      <c r="E338" s="193"/>
      <c r="F338" s="193"/>
      <c r="G338" s="193"/>
      <c r="H338" s="193"/>
    </row>
    <row r="339" spans="1:8" ht="15.6">
      <c r="A339" s="193"/>
      <c r="B339" s="193"/>
      <c r="C339" s="193"/>
      <c r="D339" s="193"/>
      <c r="E339" s="193"/>
      <c r="F339" s="193"/>
      <c r="G339" s="193"/>
      <c r="H339" s="193"/>
    </row>
    <row r="340" spans="1:8" ht="15.6">
      <c r="A340" s="193"/>
      <c r="B340" s="193"/>
      <c r="C340" s="193"/>
      <c r="D340" s="193"/>
      <c r="E340" s="193"/>
      <c r="F340" s="193"/>
      <c r="G340" s="193"/>
      <c r="H340" s="193"/>
    </row>
    <row r="341" spans="1:8" ht="15.6">
      <c r="A341" s="193"/>
      <c r="B341" s="193"/>
      <c r="C341" s="193"/>
      <c r="D341" s="193"/>
      <c r="E341" s="193"/>
      <c r="F341" s="193"/>
      <c r="G341" s="193"/>
      <c r="H341" s="193"/>
    </row>
    <row r="342" spans="1:8" ht="15.6">
      <c r="A342" s="193"/>
      <c r="B342" s="193"/>
      <c r="C342" s="193"/>
      <c r="D342" s="193"/>
      <c r="E342" s="193"/>
      <c r="F342" s="193"/>
      <c r="G342" s="193"/>
      <c r="H342" s="193"/>
    </row>
    <row r="343" spans="1:8" ht="15.6">
      <c r="A343" s="193"/>
      <c r="B343" s="193"/>
      <c r="C343" s="193"/>
      <c r="D343" s="193"/>
      <c r="E343" s="193"/>
      <c r="F343" s="193"/>
      <c r="G343" s="193"/>
      <c r="H343" s="193"/>
    </row>
    <row r="344" spans="1:8" ht="15.6">
      <c r="A344" s="193"/>
      <c r="B344" s="193"/>
      <c r="C344" s="193"/>
      <c r="D344" s="193"/>
      <c r="E344" s="193"/>
      <c r="F344" s="193"/>
      <c r="G344" s="193"/>
      <c r="H344" s="193"/>
    </row>
    <row r="345" spans="1:8" ht="15.6">
      <c r="A345" s="193"/>
      <c r="B345" s="193"/>
      <c r="C345" s="193"/>
      <c r="D345" s="193"/>
      <c r="E345" s="193"/>
      <c r="F345" s="193"/>
      <c r="G345" s="193"/>
      <c r="H345" s="193"/>
    </row>
    <row r="346" spans="1:8" ht="15.6">
      <c r="A346" s="193"/>
      <c r="B346" s="193"/>
      <c r="C346" s="193"/>
      <c r="D346" s="193"/>
      <c r="E346" s="193"/>
      <c r="F346" s="193"/>
      <c r="G346" s="193"/>
      <c r="H346" s="193"/>
    </row>
    <row r="347" spans="1:8" ht="15.6">
      <c r="A347" s="193"/>
      <c r="B347" s="193"/>
      <c r="C347" s="193"/>
      <c r="D347" s="193"/>
      <c r="E347" s="193"/>
      <c r="F347" s="193"/>
      <c r="G347" s="193"/>
      <c r="H347" s="193"/>
    </row>
    <row r="348" spans="1:8" ht="15.6">
      <c r="A348" s="193"/>
      <c r="B348" s="193"/>
      <c r="C348" s="193"/>
      <c r="D348" s="193"/>
      <c r="E348" s="193"/>
      <c r="F348" s="193"/>
      <c r="G348" s="193"/>
      <c r="H348" s="193"/>
    </row>
    <row r="349" spans="1:8" ht="15.6">
      <c r="A349" s="193"/>
      <c r="B349" s="193"/>
      <c r="C349" s="193"/>
      <c r="D349" s="193"/>
      <c r="E349" s="193"/>
      <c r="F349" s="193"/>
      <c r="G349" s="193"/>
      <c r="H349" s="193"/>
    </row>
    <row r="350" spans="1:8" ht="15.6">
      <c r="A350" s="193"/>
      <c r="B350" s="193"/>
      <c r="C350" s="193"/>
      <c r="D350" s="193"/>
      <c r="E350" s="193"/>
      <c r="F350" s="193"/>
      <c r="G350" s="193"/>
      <c r="H350" s="193"/>
    </row>
    <row r="351" spans="1:8" ht="15.6">
      <c r="A351" s="193"/>
      <c r="B351" s="193"/>
      <c r="C351" s="193"/>
      <c r="D351" s="193"/>
      <c r="E351" s="193"/>
      <c r="F351" s="193"/>
      <c r="G351" s="193"/>
      <c r="H351" s="193"/>
    </row>
    <row r="352" spans="1:8" ht="15.6">
      <c r="A352" s="193"/>
      <c r="B352" s="193"/>
      <c r="C352" s="193"/>
      <c r="D352" s="193"/>
      <c r="E352" s="193"/>
      <c r="F352" s="193"/>
      <c r="G352" s="193"/>
      <c r="H352" s="193"/>
    </row>
    <row r="353" spans="1:8" ht="15.6">
      <c r="A353" s="193"/>
      <c r="B353" s="193"/>
      <c r="C353" s="193"/>
      <c r="D353" s="193"/>
      <c r="E353" s="193"/>
      <c r="F353" s="193"/>
      <c r="G353" s="193"/>
      <c r="H353" s="193"/>
    </row>
    <row r="354" spans="1:8" ht="15.6">
      <c r="A354" s="193"/>
      <c r="B354" s="193"/>
      <c r="C354" s="193"/>
      <c r="D354" s="193"/>
      <c r="E354" s="193"/>
      <c r="F354" s="193"/>
      <c r="G354" s="193"/>
      <c r="H354" s="193"/>
    </row>
    <row r="355" spans="1:8" ht="15.6">
      <c r="A355" s="193"/>
      <c r="B355" s="193"/>
      <c r="C355" s="193"/>
      <c r="D355" s="193"/>
      <c r="E355" s="193"/>
      <c r="F355" s="193"/>
      <c r="G355" s="193"/>
      <c r="H355" s="193"/>
    </row>
    <row r="356" spans="1:8" ht="15.6">
      <c r="A356" s="193"/>
      <c r="B356" s="193"/>
      <c r="C356" s="193"/>
      <c r="D356" s="193"/>
      <c r="E356" s="193"/>
      <c r="F356" s="193"/>
      <c r="G356" s="193"/>
      <c r="H356" s="193"/>
    </row>
    <row r="357" spans="1:8" ht="15.6">
      <c r="A357" s="193"/>
      <c r="B357" s="193"/>
      <c r="C357" s="193"/>
      <c r="D357" s="193"/>
      <c r="E357" s="193"/>
      <c r="F357" s="193"/>
      <c r="G357" s="193"/>
      <c r="H357" s="193"/>
    </row>
    <row r="358" spans="1:8" ht="15.6">
      <c r="A358" s="193"/>
      <c r="B358" s="193"/>
      <c r="C358" s="193"/>
      <c r="D358" s="193"/>
      <c r="E358" s="193"/>
      <c r="F358" s="193"/>
      <c r="G358" s="193"/>
      <c r="H358" s="193"/>
    </row>
    <row r="359" spans="1:8" ht="15.6">
      <c r="A359" s="193"/>
      <c r="B359" s="193"/>
      <c r="C359" s="193"/>
      <c r="D359" s="193"/>
      <c r="E359" s="193"/>
      <c r="F359" s="193"/>
      <c r="G359" s="193"/>
      <c r="H359" s="193"/>
    </row>
    <row r="360" spans="1:8" ht="15.6">
      <c r="A360" s="193"/>
      <c r="B360" s="193"/>
      <c r="C360" s="193"/>
      <c r="D360" s="193"/>
      <c r="E360" s="193"/>
      <c r="F360" s="193"/>
      <c r="G360" s="193"/>
      <c r="H360" s="193"/>
    </row>
    <row r="361" spans="1:8" ht="15.6">
      <c r="A361" s="193"/>
      <c r="B361" s="193"/>
      <c r="C361" s="193"/>
      <c r="D361" s="193"/>
      <c r="E361" s="193"/>
      <c r="F361" s="193"/>
      <c r="G361" s="193"/>
      <c r="H361" s="193"/>
    </row>
    <row r="362" spans="1:8" ht="15.6">
      <c r="A362" s="193"/>
      <c r="B362" s="193"/>
      <c r="C362" s="193"/>
      <c r="D362" s="193"/>
      <c r="E362" s="193"/>
      <c r="F362" s="193"/>
      <c r="G362" s="193"/>
      <c r="H362" s="193"/>
    </row>
    <row r="363" spans="1:8" ht="15.6">
      <c r="A363" s="193"/>
      <c r="B363" s="193"/>
      <c r="C363" s="193"/>
      <c r="D363" s="193"/>
      <c r="E363" s="193"/>
      <c r="F363" s="193"/>
      <c r="G363" s="193"/>
      <c r="H363" s="193"/>
    </row>
    <row r="364" spans="1:8" ht="15.6">
      <c r="A364" s="193"/>
      <c r="B364" s="193"/>
      <c r="C364" s="193"/>
      <c r="D364" s="193"/>
      <c r="E364" s="193"/>
      <c r="F364" s="193"/>
      <c r="G364" s="193"/>
      <c r="H364" s="193"/>
    </row>
    <row r="365" spans="1:8" ht="15.6">
      <c r="A365" s="193"/>
      <c r="B365" s="193"/>
      <c r="C365" s="193"/>
      <c r="D365" s="193"/>
      <c r="E365" s="193"/>
      <c r="F365" s="193"/>
      <c r="G365" s="193"/>
      <c r="H365" s="193"/>
    </row>
    <row r="366" spans="1:8" ht="15.6">
      <c r="A366" s="193"/>
      <c r="B366" s="193"/>
      <c r="C366" s="193"/>
      <c r="D366" s="193"/>
      <c r="E366" s="193"/>
      <c r="F366" s="193"/>
      <c r="G366" s="193"/>
      <c r="H366" s="193"/>
    </row>
    <row r="367" spans="1:8" ht="15.6">
      <c r="A367" s="193"/>
      <c r="B367" s="193"/>
      <c r="C367" s="193"/>
      <c r="D367" s="193"/>
      <c r="E367" s="193"/>
      <c r="F367" s="193"/>
      <c r="G367" s="193"/>
      <c r="H367" s="193"/>
    </row>
    <row r="368" spans="1:8" ht="15.6">
      <c r="A368" s="193"/>
      <c r="B368" s="193"/>
      <c r="C368" s="193"/>
      <c r="D368" s="193"/>
      <c r="E368" s="193"/>
      <c r="F368" s="193"/>
      <c r="G368" s="193"/>
      <c r="H368" s="193"/>
    </row>
    <row r="369" spans="1:8" ht="15.6">
      <c r="A369" s="193"/>
      <c r="B369" s="193"/>
      <c r="C369" s="193"/>
      <c r="D369" s="193"/>
      <c r="E369" s="193"/>
      <c r="F369" s="193"/>
      <c r="G369" s="193"/>
      <c r="H369" s="193"/>
    </row>
    <row r="370" spans="1:8" ht="15.6">
      <c r="A370" s="193"/>
      <c r="B370" s="193"/>
      <c r="C370" s="193"/>
      <c r="D370" s="193"/>
      <c r="E370" s="193"/>
      <c r="F370" s="193"/>
      <c r="G370" s="193"/>
      <c r="H370" s="193"/>
    </row>
    <row r="371" spans="1:8" ht="15.6">
      <c r="A371" s="193"/>
      <c r="B371" s="193"/>
      <c r="C371" s="193"/>
      <c r="D371" s="193"/>
      <c r="E371" s="193"/>
      <c r="F371" s="193"/>
      <c r="G371" s="193"/>
      <c r="H371" s="193"/>
    </row>
    <row r="372" spans="1:8" ht="15.6">
      <c r="A372" s="193"/>
      <c r="B372" s="193"/>
      <c r="C372" s="193"/>
      <c r="D372" s="193"/>
      <c r="E372" s="193"/>
      <c r="F372" s="193"/>
      <c r="G372" s="193"/>
      <c r="H372" s="193"/>
    </row>
    <row r="373" spans="1:8" ht="15.6">
      <c r="A373" s="193"/>
      <c r="B373" s="193"/>
      <c r="C373" s="193"/>
      <c r="D373" s="193"/>
      <c r="E373" s="193"/>
      <c r="F373" s="193"/>
      <c r="G373" s="193"/>
      <c r="H373" s="193"/>
    </row>
    <row r="374" spans="1:8" ht="15.6">
      <c r="A374" s="193"/>
      <c r="B374" s="193"/>
      <c r="C374" s="193"/>
      <c r="D374" s="193"/>
      <c r="E374" s="193"/>
      <c r="F374" s="193"/>
      <c r="G374" s="193"/>
      <c r="H374" s="193"/>
    </row>
    <row r="375" spans="1:8" ht="15.6">
      <c r="A375" s="193"/>
      <c r="B375" s="193"/>
      <c r="C375" s="193"/>
      <c r="D375" s="193"/>
      <c r="E375" s="193"/>
      <c r="F375" s="193"/>
      <c r="G375" s="193"/>
      <c r="H375" s="193"/>
    </row>
    <row r="376" spans="1:8" ht="15.6">
      <c r="A376" s="193"/>
      <c r="B376" s="193"/>
      <c r="C376" s="193"/>
      <c r="D376" s="193"/>
      <c r="E376" s="193"/>
      <c r="F376" s="193"/>
      <c r="G376" s="193"/>
      <c r="H376" s="193"/>
    </row>
    <row r="377" spans="1:8" ht="15.6">
      <c r="A377" s="193"/>
      <c r="B377" s="193"/>
      <c r="C377" s="193"/>
      <c r="D377" s="193"/>
      <c r="E377" s="193"/>
      <c r="F377" s="193"/>
      <c r="G377" s="193"/>
      <c r="H377" s="193"/>
    </row>
    <row r="378" spans="1:8" ht="15.6">
      <c r="A378" s="193"/>
      <c r="B378" s="193"/>
      <c r="C378" s="193"/>
      <c r="D378" s="193"/>
      <c r="E378" s="193"/>
      <c r="F378" s="193"/>
      <c r="G378" s="193"/>
      <c r="H378" s="193"/>
    </row>
    <row r="379" spans="1:8" ht="15.6">
      <c r="A379" s="193"/>
      <c r="B379" s="193"/>
      <c r="C379" s="193"/>
      <c r="D379" s="193"/>
      <c r="E379" s="193"/>
      <c r="F379" s="193"/>
      <c r="G379" s="193"/>
      <c r="H379" s="193"/>
    </row>
    <row r="380" spans="1:8" ht="15.6">
      <c r="A380" s="193"/>
      <c r="B380" s="193"/>
      <c r="C380" s="193"/>
      <c r="D380" s="193"/>
      <c r="E380" s="193"/>
      <c r="F380" s="193"/>
      <c r="G380" s="193"/>
      <c r="H380" s="193"/>
    </row>
    <row r="381" spans="1:8" ht="15.6">
      <c r="A381" s="193"/>
      <c r="B381" s="193"/>
      <c r="C381" s="193"/>
      <c r="D381" s="193"/>
      <c r="E381" s="193"/>
      <c r="F381" s="193"/>
      <c r="G381" s="193"/>
      <c r="H381" s="193"/>
    </row>
    <row r="382" spans="1:8" ht="15.6">
      <c r="A382" s="193"/>
      <c r="B382" s="193"/>
      <c r="C382" s="193"/>
      <c r="D382" s="193"/>
      <c r="E382" s="193"/>
      <c r="F382" s="193"/>
      <c r="G382" s="193"/>
      <c r="H382" s="193"/>
    </row>
    <row r="383" spans="1:8" ht="15.6">
      <c r="A383" s="193"/>
      <c r="B383" s="193"/>
      <c r="C383" s="193"/>
      <c r="D383" s="193"/>
      <c r="E383" s="193"/>
      <c r="F383" s="193"/>
      <c r="G383" s="193"/>
      <c r="H383" s="193"/>
    </row>
    <row r="384" spans="1:8" ht="15.6">
      <c r="A384" s="193"/>
      <c r="B384" s="193"/>
      <c r="C384" s="193"/>
      <c r="D384" s="193"/>
      <c r="E384" s="193"/>
      <c r="F384" s="193"/>
      <c r="G384" s="193"/>
      <c r="H384" s="193"/>
    </row>
    <row r="385" spans="1:8" ht="15.6">
      <c r="A385" s="193"/>
      <c r="B385" s="193"/>
      <c r="C385" s="193"/>
      <c r="D385" s="193"/>
      <c r="E385" s="193"/>
      <c r="F385" s="193"/>
      <c r="G385" s="193"/>
      <c r="H385" s="193"/>
    </row>
    <row r="386" spans="1:8" ht="15.6">
      <c r="A386" s="193"/>
      <c r="B386" s="193"/>
      <c r="C386" s="193"/>
      <c r="D386" s="193"/>
      <c r="E386" s="193"/>
      <c r="F386" s="193"/>
      <c r="G386" s="193"/>
      <c r="H386" s="193"/>
    </row>
    <row r="387" spans="1:8" ht="15.6">
      <c r="A387" s="193"/>
      <c r="B387" s="193"/>
      <c r="C387" s="193"/>
      <c r="D387" s="193"/>
      <c r="E387" s="193"/>
      <c r="F387" s="193"/>
      <c r="G387" s="193"/>
      <c r="H387" s="193"/>
    </row>
    <row r="388" spans="1:8" ht="15.6">
      <c r="A388" s="193"/>
      <c r="B388" s="193"/>
      <c r="C388" s="193"/>
      <c r="D388" s="193"/>
      <c r="E388" s="193"/>
      <c r="F388" s="193"/>
      <c r="G388" s="193"/>
      <c r="H388" s="193"/>
    </row>
    <row r="389" spans="1:8" ht="15.6">
      <c r="A389" s="193"/>
      <c r="B389" s="193"/>
      <c r="C389" s="193"/>
      <c r="D389" s="193"/>
      <c r="E389" s="193"/>
      <c r="F389" s="193"/>
      <c r="G389" s="193"/>
      <c r="H389" s="193"/>
    </row>
    <row r="390" spans="1:8" ht="15.6">
      <c r="A390" s="193"/>
      <c r="B390" s="193"/>
      <c r="C390" s="193"/>
      <c r="D390" s="193"/>
      <c r="E390" s="193"/>
      <c r="F390" s="193"/>
      <c r="G390" s="193"/>
      <c r="H390" s="193"/>
    </row>
    <row r="391" spans="1:8" ht="15.6">
      <c r="A391" s="193"/>
      <c r="B391" s="193"/>
      <c r="C391" s="193"/>
      <c r="D391" s="193"/>
      <c r="E391" s="193"/>
      <c r="F391" s="193"/>
      <c r="G391" s="193"/>
      <c r="H391" s="193"/>
    </row>
    <row r="392" spans="1:8" ht="15.6">
      <c r="A392" s="193"/>
      <c r="B392" s="193"/>
      <c r="C392" s="193"/>
      <c r="D392" s="193"/>
      <c r="E392" s="193"/>
      <c r="F392" s="193"/>
      <c r="G392" s="193"/>
      <c r="H392" s="193"/>
    </row>
    <row r="393" spans="1:8" ht="15.6">
      <c r="A393" s="193"/>
      <c r="B393" s="193"/>
      <c r="C393" s="193"/>
      <c r="D393" s="193"/>
      <c r="E393" s="193"/>
      <c r="F393" s="193"/>
      <c r="G393" s="193"/>
      <c r="H393" s="193"/>
    </row>
    <row r="394" spans="1:8" ht="15.6">
      <c r="A394" s="193"/>
      <c r="B394" s="193"/>
      <c r="C394" s="193"/>
      <c r="D394" s="193"/>
      <c r="E394" s="193"/>
      <c r="F394" s="193"/>
      <c r="G394" s="193"/>
      <c r="H394" s="193"/>
    </row>
    <row r="395" spans="1:8" ht="15.6">
      <c r="A395" s="193"/>
      <c r="B395" s="193"/>
      <c r="C395" s="193"/>
      <c r="D395" s="193"/>
      <c r="E395" s="193"/>
      <c r="F395" s="193"/>
      <c r="G395" s="193"/>
      <c r="H395" s="193"/>
    </row>
    <row r="396" spans="1:8" ht="15.6">
      <c r="A396" s="193"/>
      <c r="B396" s="193"/>
      <c r="C396" s="193"/>
      <c r="D396" s="193"/>
      <c r="E396" s="193"/>
      <c r="F396" s="193"/>
      <c r="G396" s="193"/>
      <c r="H396" s="193"/>
    </row>
    <row r="397" spans="1:8" ht="15.6">
      <c r="A397" s="193"/>
      <c r="B397" s="193"/>
      <c r="C397" s="193"/>
      <c r="D397" s="193"/>
      <c r="E397" s="193"/>
      <c r="F397" s="193"/>
      <c r="G397" s="193"/>
      <c r="H397" s="193"/>
    </row>
    <row r="398" spans="1:8" ht="15.6">
      <c r="A398" s="193"/>
      <c r="B398" s="193"/>
      <c r="C398" s="193"/>
      <c r="D398" s="193"/>
      <c r="E398" s="193"/>
      <c r="F398" s="193"/>
      <c r="G398" s="193"/>
      <c r="H398" s="193"/>
    </row>
    <row r="399" spans="1:8" ht="15.6">
      <c r="A399" s="193"/>
      <c r="B399" s="193"/>
      <c r="C399" s="193"/>
      <c r="D399" s="193"/>
      <c r="E399" s="193"/>
      <c r="F399" s="193"/>
      <c r="G399" s="193"/>
      <c r="H399" s="193"/>
    </row>
    <row r="400" spans="1:8" ht="15.6">
      <c r="A400" s="193"/>
      <c r="B400" s="193"/>
      <c r="C400" s="193"/>
      <c r="D400" s="193"/>
      <c r="E400" s="193"/>
      <c r="F400" s="193"/>
      <c r="G400" s="193"/>
      <c r="H400" s="193"/>
    </row>
    <row r="401" spans="1:8" ht="15.6">
      <c r="A401" s="193"/>
      <c r="B401" s="193"/>
      <c r="C401" s="193"/>
      <c r="D401" s="193"/>
      <c r="E401" s="193"/>
      <c r="F401" s="193"/>
      <c r="G401" s="193"/>
      <c r="H401" s="193"/>
    </row>
    <row r="402" spans="1:8" ht="15.6">
      <c r="A402" s="193"/>
      <c r="B402" s="193"/>
      <c r="C402" s="193"/>
      <c r="D402" s="193"/>
      <c r="E402" s="193"/>
      <c r="F402" s="193"/>
      <c r="G402" s="193"/>
      <c r="H402" s="193"/>
    </row>
    <row r="403" spans="1:8" ht="15.6">
      <c r="A403" s="193"/>
      <c r="B403" s="193"/>
      <c r="C403" s="193"/>
      <c r="D403" s="193"/>
      <c r="E403" s="193"/>
      <c r="F403" s="193"/>
      <c r="G403" s="193"/>
      <c r="H403" s="193"/>
    </row>
    <row r="404" spans="1:8" ht="15.6">
      <c r="A404" s="193"/>
      <c r="B404" s="193"/>
      <c r="C404" s="193"/>
      <c r="D404" s="193"/>
      <c r="E404" s="193"/>
      <c r="F404" s="193"/>
      <c r="G404" s="193"/>
      <c r="H404" s="193"/>
    </row>
    <row r="405" spans="1:8" ht="15.6">
      <c r="A405" s="193"/>
      <c r="B405" s="193"/>
      <c r="C405" s="193"/>
      <c r="D405" s="193"/>
      <c r="E405" s="193"/>
      <c r="F405" s="193"/>
      <c r="G405" s="193"/>
      <c r="H405" s="193"/>
    </row>
    <row r="406" spans="1:8" ht="15.6">
      <c r="A406" s="193"/>
      <c r="B406" s="193"/>
      <c r="C406" s="193"/>
      <c r="D406" s="193"/>
      <c r="E406" s="193"/>
      <c r="F406" s="193"/>
      <c r="G406" s="193"/>
      <c r="H406" s="193"/>
    </row>
    <row r="407" spans="1:8" ht="15.6">
      <c r="A407" s="193"/>
      <c r="B407" s="193"/>
      <c r="C407" s="193"/>
      <c r="D407" s="193"/>
      <c r="E407" s="193"/>
      <c r="F407" s="193"/>
      <c r="G407" s="193"/>
      <c r="H407" s="193"/>
    </row>
    <row r="408" spans="1:8" ht="15.6">
      <c r="A408" s="193"/>
      <c r="B408" s="193"/>
      <c r="C408" s="193"/>
      <c r="D408" s="193"/>
      <c r="E408" s="193"/>
      <c r="F408" s="193"/>
      <c r="G408" s="193"/>
      <c r="H408" s="193"/>
    </row>
    <row r="409" spans="1:8" ht="15.6">
      <c r="A409" s="193"/>
      <c r="B409" s="193"/>
      <c r="C409" s="193"/>
      <c r="D409" s="193"/>
      <c r="E409" s="193"/>
      <c r="F409" s="193"/>
      <c r="G409" s="193"/>
      <c r="H409" s="193"/>
    </row>
    <row r="410" spans="1:8" ht="15.6">
      <c r="A410" s="193"/>
      <c r="B410" s="193"/>
      <c r="C410" s="193"/>
      <c r="D410" s="193"/>
      <c r="E410" s="193"/>
      <c r="F410" s="193"/>
      <c r="G410" s="193"/>
      <c r="H410" s="193"/>
    </row>
    <row r="411" spans="1:8" ht="15.6">
      <c r="A411" s="193"/>
      <c r="B411" s="193"/>
      <c r="C411" s="193"/>
      <c r="D411" s="193"/>
      <c r="E411" s="193"/>
      <c r="F411" s="193"/>
      <c r="G411" s="193"/>
      <c r="H411" s="193"/>
    </row>
    <row r="412" spans="1:8" ht="15.6">
      <c r="A412" s="193"/>
      <c r="B412" s="193"/>
      <c r="C412" s="193"/>
      <c r="D412" s="193"/>
      <c r="E412" s="193"/>
      <c r="F412" s="193"/>
      <c r="G412" s="193"/>
      <c r="H412" s="193"/>
    </row>
    <row r="413" spans="1:8" ht="15.6">
      <c r="A413" s="193"/>
      <c r="B413" s="193"/>
      <c r="C413" s="193"/>
      <c r="D413" s="193"/>
      <c r="E413" s="193"/>
      <c r="F413" s="193"/>
      <c r="G413" s="193"/>
      <c r="H413" s="193"/>
    </row>
    <row r="414" spans="1:8" ht="15.6">
      <c r="A414" s="193"/>
      <c r="B414" s="193"/>
      <c r="C414" s="193"/>
      <c r="D414" s="193"/>
      <c r="E414" s="193"/>
      <c r="F414" s="193"/>
      <c r="G414" s="193"/>
      <c r="H414" s="193"/>
    </row>
    <row r="415" spans="1:8" ht="15.6">
      <c r="A415" s="193"/>
      <c r="B415" s="193"/>
      <c r="C415" s="193"/>
      <c r="D415" s="193"/>
      <c r="E415" s="193"/>
      <c r="F415" s="193"/>
      <c r="G415" s="193"/>
      <c r="H415" s="193"/>
    </row>
    <row r="416" spans="1:8" ht="15.6">
      <c r="A416" s="193"/>
      <c r="B416" s="193"/>
      <c r="C416" s="193"/>
      <c r="D416" s="193"/>
      <c r="E416" s="193"/>
      <c r="F416" s="193"/>
      <c r="G416" s="193"/>
      <c r="H416" s="193"/>
    </row>
    <row r="417" spans="1:8" ht="15.6">
      <c r="A417" s="193"/>
      <c r="B417" s="193"/>
      <c r="C417" s="193"/>
      <c r="D417" s="193"/>
      <c r="E417" s="193"/>
      <c r="F417" s="193"/>
      <c r="G417" s="193"/>
      <c r="H417" s="193"/>
    </row>
    <row r="418" spans="1:8" ht="15.6">
      <c r="A418" s="193"/>
      <c r="B418" s="193"/>
      <c r="C418" s="193"/>
      <c r="D418" s="193"/>
      <c r="E418" s="193"/>
      <c r="F418" s="193"/>
      <c r="G418" s="193"/>
      <c r="H418" s="193"/>
    </row>
    <row r="419" spans="1:8" ht="15.6">
      <c r="A419" s="193"/>
      <c r="B419" s="193"/>
      <c r="C419" s="193"/>
      <c r="D419" s="193"/>
      <c r="E419" s="193"/>
      <c r="F419" s="193"/>
      <c r="G419" s="193"/>
      <c r="H419" s="193"/>
    </row>
    <row r="420" spans="1:8" ht="15.6">
      <c r="A420" s="193"/>
      <c r="B420" s="193"/>
      <c r="C420" s="193"/>
      <c r="D420" s="193"/>
      <c r="E420" s="193"/>
      <c r="F420" s="193"/>
      <c r="G420" s="193"/>
      <c r="H420" s="193"/>
    </row>
    <row r="421" spans="1:8" ht="15.6">
      <c r="A421" s="193"/>
      <c r="B421" s="193"/>
      <c r="C421" s="193"/>
      <c r="D421" s="193"/>
      <c r="E421" s="193"/>
      <c r="F421" s="193"/>
      <c r="G421" s="193"/>
      <c r="H421" s="193"/>
    </row>
    <row r="422" spans="1:8" ht="15.6">
      <c r="A422" s="193"/>
      <c r="B422" s="193"/>
      <c r="C422" s="193"/>
      <c r="D422" s="193"/>
      <c r="E422" s="193"/>
      <c r="F422" s="193"/>
      <c r="G422" s="193"/>
      <c r="H422" s="193"/>
    </row>
    <row r="423" spans="1:8" ht="15.6">
      <c r="A423" s="193"/>
      <c r="B423" s="193"/>
      <c r="C423" s="193"/>
      <c r="D423" s="193"/>
      <c r="E423" s="193"/>
      <c r="F423" s="193"/>
      <c r="G423" s="193"/>
      <c r="H423" s="193"/>
    </row>
    <row r="424" spans="1:8" ht="15.6">
      <c r="A424" s="193"/>
      <c r="B424" s="193"/>
      <c r="C424" s="193"/>
      <c r="D424" s="193"/>
      <c r="E424" s="193"/>
      <c r="F424" s="193"/>
      <c r="G424" s="193"/>
      <c r="H424" s="193"/>
    </row>
    <row r="425" spans="1:8" ht="15.6">
      <c r="A425" s="193"/>
      <c r="B425" s="193"/>
      <c r="C425" s="193"/>
      <c r="D425" s="193"/>
      <c r="E425" s="193"/>
      <c r="F425" s="193"/>
      <c r="G425" s="193"/>
      <c r="H425" s="193"/>
    </row>
    <row r="426" spans="1:8" ht="15.6">
      <c r="A426" s="193"/>
      <c r="B426" s="193"/>
      <c r="C426" s="193"/>
      <c r="D426" s="193"/>
      <c r="E426" s="193"/>
      <c r="F426" s="193"/>
      <c r="G426" s="193"/>
      <c r="H426" s="193"/>
    </row>
    <row r="427" spans="1:8" ht="15.6">
      <c r="A427" s="193"/>
      <c r="B427" s="193"/>
      <c r="C427" s="193"/>
      <c r="D427" s="193"/>
      <c r="E427" s="193"/>
      <c r="F427" s="193"/>
      <c r="G427" s="193"/>
      <c r="H427" s="193"/>
    </row>
    <row r="428" spans="1:8" ht="15.6">
      <c r="A428" s="193"/>
      <c r="B428" s="193"/>
      <c r="C428" s="193"/>
      <c r="D428" s="193"/>
      <c r="E428" s="193"/>
      <c r="F428" s="193"/>
      <c r="G428" s="193"/>
      <c r="H428" s="193"/>
    </row>
    <row r="429" spans="1:8" ht="15.6">
      <c r="A429" s="193"/>
      <c r="B429" s="193"/>
      <c r="C429" s="193"/>
      <c r="D429" s="193"/>
      <c r="E429" s="193"/>
      <c r="F429" s="193"/>
      <c r="G429" s="193"/>
      <c r="H429" s="193"/>
    </row>
    <row r="430" spans="1:8" ht="15.6">
      <c r="A430" s="193"/>
      <c r="B430" s="193"/>
      <c r="C430" s="193"/>
      <c r="D430" s="193"/>
      <c r="E430" s="193"/>
      <c r="F430" s="193"/>
      <c r="G430" s="193"/>
      <c r="H430" s="193"/>
    </row>
    <row r="431" spans="1:8" ht="15.6">
      <c r="A431" s="193"/>
      <c r="B431" s="193"/>
      <c r="C431" s="193"/>
      <c r="D431" s="193"/>
      <c r="E431" s="193"/>
      <c r="F431" s="193"/>
      <c r="G431" s="193"/>
      <c r="H431" s="193"/>
    </row>
    <row r="432" spans="1:8" ht="15.6">
      <c r="A432" s="193"/>
      <c r="B432" s="193"/>
      <c r="C432" s="193"/>
      <c r="D432" s="193"/>
      <c r="E432" s="193"/>
      <c r="F432" s="193"/>
      <c r="G432" s="193"/>
      <c r="H432" s="193"/>
    </row>
    <row r="433" spans="1:8" ht="15.6">
      <c r="A433" s="193"/>
      <c r="B433" s="193"/>
      <c r="C433" s="193"/>
      <c r="D433" s="193"/>
      <c r="E433" s="193"/>
      <c r="F433" s="193"/>
      <c r="G433" s="193"/>
      <c r="H433" s="193"/>
    </row>
    <row r="434" spans="1:8" ht="15.6">
      <c r="A434" s="193"/>
      <c r="B434" s="193"/>
      <c r="C434" s="193"/>
      <c r="D434" s="193"/>
      <c r="E434" s="193"/>
      <c r="F434" s="193"/>
      <c r="G434" s="193"/>
      <c r="H434" s="193"/>
    </row>
    <row r="435" spans="1:8" ht="15.6">
      <c r="A435" s="193"/>
      <c r="B435" s="193"/>
      <c r="C435" s="193"/>
      <c r="D435" s="193"/>
      <c r="E435" s="193"/>
      <c r="F435" s="193"/>
      <c r="G435" s="193"/>
      <c r="H435" s="193"/>
    </row>
    <row r="436" spans="1:8" ht="15.6">
      <c r="A436" s="193"/>
      <c r="B436" s="193"/>
      <c r="C436" s="193"/>
      <c r="D436" s="193"/>
      <c r="E436" s="193"/>
      <c r="F436" s="193"/>
      <c r="G436" s="193"/>
      <c r="H436" s="193"/>
    </row>
    <row r="437" spans="1:8" ht="15.6">
      <c r="A437" s="193"/>
      <c r="B437" s="193"/>
      <c r="C437" s="193"/>
      <c r="D437" s="193"/>
      <c r="E437" s="193"/>
      <c r="F437" s="193"/>
      <c r="G437" s="193"/>
      <c r="H437" s="193"/>
    </row>
    <row r="438" spans="1:8" ht="15.6">
      <c r="A438" s="193"/>
      <c r="B438" s="193"/>
      <c r="C438" s="193"/>
      <c r="D438" s="193"/>
      <c r="E438" s="193"/>
      <c r="F438" s="193"/>
      <c r="G438" s="193"/>
      <c r="H438" s="193"/>
    </row>
    <row r="439" spans="1:8" ht="15.6">
      <c r="A439" s="193"/>
      <c r="B439" s="193"/>
      <c r="C439" s="193"/>
      <c r="D439" s="193"/>
      <c r="E439" s="193"/>
      <c r="F439" s="193"/>
      <c r="G439" s="193"/>
      <c r="H439" s="193"/>
    </row>
    <row r="440" spans="1:8" ht="15.6">
      <c r="A440" s="193"/>
      <c r="B440" s="193"/>
      <c r="C440" s="193"/>
      <c r="D440" s="193"/>
      <c r="E440" s="193"/>
      <c r="F440" s="193"/>
      <c r="G440" s="193"/>
      <c r="H440" s="193"/>
    </row>
    <row r="441" spans="1:8" ht="15.6">
      <c r="A441" s="193"/>
      <c r="B441" s="193"/>
      <c r="C441" s="193"/>
      <c r="D441" s="193"/>
      <c r="E441" s="193"/>
      <c r="F441" s="193"/>
      <c r="G441" s="193"/>
      <c r="H441" s="193"/>
    </row>
    <row r="442" spans="1:8" ht="15.6">
      <c r="A442" s="193"/>
      <c r="B442" s="193"/>
      <c r="C442" s="193"/>
      <c r="D442" s="193"/>
      <c r="E442" s="193"/>
      <c r="F442" s="193"/>
      <c r="G442" s="193"/>
      <c r="H442" s="193"/>
    </row>
    <row r="443" spans="1:8" ht="15.6">
      <c r="A443" s="193"/>
      <c r="B443" s="193"/>
      <c r="C443" s="193"/>
      <c r="D443" s="193"/>
      <c r="E443" s="193"/>
      <c r="F443" s="193"/>
      <c r="G443" s="193"/>
      <c r="H443" s="193"/>
    </row>
    <row r="444" spans="1:8" ht="15.6">
      <c r="A444" s="193"/>
      <c r="B444" s="193"/>
      <c r="C444" s="193"/>
      <c r="D444" s="193"/>
      <c r="E444" s="193"/>
      <c r="F444" s="193"/>
      <c r="G444" s="193"/>
      <c r="H444" s="193"/>
    </row>
    <row r="445" spans="1:8" ht="15.6">
      <c r="A445" s="193"/>
      <c r="B445" s="193"/>
      <c r="C445" s="193"/>
      <c r="D445" s="193"/>
      <c r="E445" s="193"/>
      <c r="F445" s="193"/>
      <c r="G445" s="193"/>
      <c r="H445" s="193"/>
    </row>
    <row r="446" spans="1:8" ht="15.6">
      <c r="A446" s="193"/>
      <c r="B446" s="193"/>
      <c r="C446" s="193"/>
      <c r="D446" s="193"/>
      <c r="E446" s="193"/>
      <c r="F446" s="193"/>
      <c r="G446" s="193"/>
      <c r="H446" s="193"/>
    </row>
    <row r="447" spans="1:8" ht="15.6">
      <c r="A447" s="193"/>
      <c r="B447" s="193"/>
      <c r="C447" s="193"/>
      <c r="D447" s="193"/>
      <c r="E447" s="193"/>
      <c r="F447" s="193"/>
      <c r="G447" s="193"/>
      <c r="H447" s="193"/>
    </row>
    <row r="448" spans="1:8" ht="15.6">
      <c r="A448" s="193"/>
      <c r="B448" s="193"/>
      <c r="C448" s="193"/>
      <c r="D448" s="193"/>
      <c r="E448" s="193"/>
      <c r="F448" s="193"/>
      <c r="G448" s="193"/>
      <c r="H448" s="193"/>
    </row>
    <row r="449" spans="1:8" ht="15.6">
      <c r="A449" s="193"/>
      <c r="B449" s="193"/>
      <c r="C449" s="193"/>
      <c r="D449" s="193"/>
      <c r="E449" s="193"/>
      <c r="F449" s="193"/>
      <c r="G449" s="193"/>
      <c r="H449" s="193"/>
    </row>
    <row r="450" spans="1:8" ht="15.6">
      <c r="A450" s="193"/>
      <c r="B450" s="193"/>
      <c r="C450" s="193"/>
      <c r="D450" s="193"/>
      <c r="E450" s="193"/>
      <c r="F450" s="193"/>
      <c r="G450" s="193"/>
      <c r="H450" s="193"/>
    </row>
    <row r="451" spans="1:8" ht="15.6">
      <c r="A451" s="193"/>
      <c r="B451" s="193"/>
      <c r="C451" s="193"/>
      <c r="D451" s="193"/>
      <c r="E451" s="193"/>
      <c r="F451" s="193"/>
      <c r="G451" s="193"/>
      <c r="H451" s="193"/>
    </row>
    <row r="452" spans="1:8" ht="15.6">
      <c r="A452" s="193"/>
      <c r="B452" s="193"/>
      <c r="C452" s="193"/>
      <c r="D452" s="193"/>
      <c r="E452" s="193"/>
      <c r="F452" s="193"/>
      <c r="G452" s="193"/>
      <c r="H452" s="193"/>
    </row>
    <row r="453" spans="1:8" ht="15.6">
      <c r="A453" s="193"/>
      <c r="B453" s="193"/>
      <c r="C453" s="193"/>
      <c r="D453" s="193"/>
      <c r="E453" s="193"/>
      <c r="F453" s="193"/>
      <c r="G453" s="193"/>
      <c r="H453" s="193"/>
    </row>
    <row r="454" spans="1:8" ht="15.6">
      <c r="A454" s="193"/>
      <c r="B454" s="193"/>
      <c r="C454" s="193"/>
      <c r="D454" s="193"/>
      <c r="E454" s="193"/>
      <c r="F454" s="193"/>
      <c r="G454" s="193"/>
      <c r="H454" s="193"/>
    </row>
    <row r="455" spans="1:8" ht="15.6">
      <c r="A455" s="193"/>
      <c r="B455" s="193"/>
      <c r="C455" s="193"/>
      <c r="D455" s="193"/>
      <c r="E455" s="193"/>
      <c r="F455" s="193"/>
      <c r="G455" s="193"/>
      <c r="H455" s="193"/>
    </row>
    <row r="456" spans="1:8" ht="15.6">
      <c r="A456" s="193"/>
      <c r="B456" s="193"/>
      <c r="C456" s="193"/>
      <c r="D456" s="193"/>
      <c r="E456" s="193"/>
      <c r="F456" s="193"/>
      <c r="G456" s="193"/>
      <c r="H456" s="193"/>
    </row>
    <row r="457" spans="1:8" ht="15.6">
      <c r="A457" s="193"/>
      <c r="B457" s="193"/>
      <c r="C457" s="193"/>
      <c r="D457" s="193"/>
      <c r="E457" s="193"/>
      <c r="F457" s="193"/>
      <c r="G457" s="193"/>
      <c r="H457" s="193"/>
    </row>
    <row r="458" spans="1:8" ht="15.6">
      <c r="A458" s="193"/>
      <c r="B458" s="193"/>
      <c r="C458" s="193"/>
      <c r="D458" s="193"/>
      <c r="E458" s="193"/>
      <c r="F458" s="193"/>
      <c r="G458" s="193"/>
      <c r="H458" s="193"/>
    </row>
    <row r="459" spans="1:8" ht="15.6">
      <c r="A459" s="193"/>
      <c r="B459" s="193"/>
      <c r="C459" s="193"/>
      <c r="D459" s="193"/>
      <c r="E459" s="193"/>
      <c r="F459" s="193"/>
      <c r="G459" s="193"/>
      <c r="H459" s="193"/>
    </row>
    <row r="460" spans="1:8" ht="15.6">
      <c r="A460" s="193"/>
      <c r="B460" s="193"/>
      <c r="C460" s="193"/>
      <c r="D460" s="193"/>
      <c r="E460" s="193"/>
      <c r="F460" s="193"/>
      <c r="G460" s="193"/>
      <c r="H460" s="193"/>
    </row>
    <row r="461" spans="1:8" ht="15.6">
      <c r="A461" s="193"/>
      <c r="B461" s="193"/>
      <c r="C461" s="193"/>
      <c r="D461" s="193"/>
      <c r="E461" s="193"/>
      <c r="F461" s="193"/>
      <c r="G461" s="193"/>
      <c r="H461" s="193"/>
    </row>
    <row r="462" spans="1:8" ht="15.6">
      <c r="A462" s="193"/>
      <c r="B462" s="193"/>
      <c r="C462" s="193"/>
      <c r="D462" s="193"/>
      <c r="E462" s="193"/>
      <c r="F462" s="193"/>
      <c r="G462" s="193"/>
      <c r="H462" s="193"/>
    </row>
    <row r="463" spans="1:8" ht="15.6">
      <c r="A463" s="193"/>
      <c r="B463" s="193"/>
      <c r="C463" s="193"/>
      <c r="D463" s="193"/>
      <c r="E463" s="193"/>
      <c r="F463" s="193"/>
      <c r="G463" s="193"/>
      <c r="H463" s="193"/>
    </row>
    <row r="464" spans="1:8" ht="15.6">
      <c r="A464" s="193"/>
      <c r="B464" s="193"/>
      <c r="C464" s="193"/>
      <c r="D464" s="193"/>
      <c r="E464" s="193"/>
      <c r="F464" s="193"/>
      <c r="G464" s="193"/>
      <c r="H464" s="193"/>
    </row>
    <row r="465" spans="1:8" ht="15.6">
      <c r="A465" s="193"/>
      <c r="B465" s="193"/>
      <c r="C465" s="193"/>
      <c r="D465" s="193"/>
      <c r="E465" s="193"/>
      <c r="F465" s="193"/>
      <c r="G465" s="193"/>
      <c r="H465" s="193"/>
    </row>
    <row r="466" spans="1:8" ht="15.6">
      <c r="A466" s="193"/>
      <c r="B466" s="193"/>
      <c r="C466" s="193"/>
      <c r="D466" s="193"/>
      <c r="E466" s="193"/>
      <c r="F466" s="193"/>
      <c r="G466" s="193"/>
      <c r="H466" s="193"/>
    </row>
    <row r="467" spans="1:8" ht="15.6">
      <c r="A467" s="193"/>
      <c r="B467" s="193"/>
      <c r="C467" s="193"/>
      <c r="D467" s="193"/>
      <c r="E467" s="193"/>
      <c r="F467" s="193"/>
      <c r="G467" s="193"/>
      <c r="H467" s="193"/>
    </row>
    <row r="468" spans="1:8" ht="15.6">
      <c r="A468" s="193"/>
      <c r="B468" s="193"/>
      <c r="C468" s="193"/>
      <c r="D468" s="193"/>
      <c r="E468" s="193"/>
      <c r="F468" s="193"/>
      <c r="G468" s="193"/>
      <c r="H468" s="193"/>
    </row>
    <row r="469" spans="1:8" ht="15.6">
      <c r="A469" s="193"/>
      <c r="B469" s="193"/>
      <c r="C469" s="193"/>
      <c r="D469" s="193"/>
      <c r="E469" s="193"/>
      <c r="F469" s="193"/>
      <c r="G469" s="193"/>
      <c r="H469" s="193"/>
    </row>
    <row r="470" spans="1:8" ht="15.6">
      <c r="A470" s="193"/>
      <c r="B470" s="193"/>
      <c r="C470" s="193"/>
      <c r="D470" s="193"/>
      <c r="E470" s="193"/>
      <c r="F470" s="193"/>
      <c r="G470" s="193"/>
      <c r="H470" s="193"/>
    </row>
    <row r="471" spans="1:8" ht="15.6">
      <c r="A471" s="193"/>
      <c r="B471" s="193"/>
      <c r="C471" s="193"/>
      <c r="D471" s="193"/>
      <c r="E471" s="193"/>
      <c r="F471" s="193"/>
      <c r="G471" s="193"/>
      <c r="H471" s="193"/>
    </row>
    <row r="472" spans="1:8" ht="15.6">
      <c r="A472" s="193"/>
      <c r="B472" s="193"/>
      <c r="C472" s="193"/>
      <c r="D472" s="193"/>
      <c r="E472" s="193"/>
      <c r="F472" s="193"/>
      <c r="G472" s="193"/>
      <c r="H472" s="193"/>
    </row>
    <row r="473" spans="1:8" ht="15.6">
      <c r="A473" s="193"/>
      <c r="B473" s="193"/>
      <c r="C473" s="193"/>
      <c r="D473" s="193"/>
      <c r="E473" s="193"/>
      <c r="F473" s="193"/>
      <c r="G473" s="193"/>
      <c r="H473" s="193"/>
    </row>
    <row r="474" spans="1:8" ht="15.6">
      <c r="A474" s="193"/>
      <c r="B474" s="193"/>
      <c r="C474" s="193"/>
      <c r="D474" s="193"/>
      <c r="E474" s="193"/>
      <c r="F474" s="193"/>
      <c r="G474" s="193"/>
      <c r="H474" s="193"/>
    </row>
    <row r="475" spans="1:8" ht="15.6">
      <c r="A475" s="193"/>
      <c r="B475" s="193"/>
      <c r="C475" s="193"/>
      <c r="D475" s="193"/>
      <c r="E475" s="193"/>
      <c r="F475" s="193"/>
      <c r="G475" s="193"/>
      <c r="H475" s="193"/>
    </row>
    <row r="476" spans="1:8" ht="15.6">
      <c r="A476" s="193"/>
      <c r="B476" s="193"/>
      <c r="C476" s="193"/>
      <c r="D476" s="193"/>
      <c r="E476" s="193"/>
      <c r="F476" s="193"/>
      <c r="G476" s="193"/>
      <c r="H476" s="193"/>
    </row>
    <row r="477" spans="1:8" ht="15.6">
      <c r="A477" s="193"/>
      <c r="B477" s="193"/>
      <c r="C477" s="193"/>
      <c r="D477" s="193"/>
      <c r="E477" s="193"/>
      <c r="F477" s="193"/>
      <c r="G477" s="193"/>
      <c r="H477" s="193"/>
    </row>
    <row r="478" spans="1:8" ht="15.6">
      <c r="A478" s="193"/>
      <c r="B478" s="193"/>
      <c r="C478" s="193"/>
      <c r="D478" s="193"/>
      <c r="E478" s="193"/>
      <c r="F478" s="193"/>
      <c r="G478" s="193"/>
      <c r="H478" s="193"/>
    </row>
    <row r="479" spans="1:8" ht="15.6">
      <c r="A479" s="193"/>
      <c r="B479" s="193"/>
      <c r="C479" s="193"/>
      <c r="D479" s="193"/>
      <c r="E479" s="193"/>
      <c r="F479" s="193"/>
      <c r="G479" s="193"/>
      <c r="H479" s="193"/>
    </row>
    <row r="480" spans="1:8" ht="15.6">
      <c r="A480" s="193"/>
      <c r="B480" s="193"/>
      <c r="C480" s="193"/>
      <c r="D480" s="193"/>
      <c r="E480" s="193"/>
      <c r="F480" s="193"/>
      <c r="G480" s="193"/>
      <c r="H480" s="193"/>
    </row>
    <row r="481" spans="1:8" ht="15.6">
      <c r="A481" s="193"/>
      <c r="B481" s="193"/>
      <c r="C481" s="193"/>
      <c r="D481" s="193"/>
      <c r="E481" s="193"/>
      <c r="F481" s="193"/>
      <c r="G481" s="193"/>
      <c r="H481" s="193"/>
    </row>
    <row r="482" spans="1:8" ht="15.6">
      <c r="A482" s="193"/>
      <c r="B482" s="193"/>
      <c r="C482" s="193"/>
      <c r="D482" s="193"/>
      <c r="E482" s="193"/>
      <c r="F482" s="193"/>
      <c r="G482" s="193"/>
      <c r="H482" s="193"/>
    </row>
    <row r="483" spans="1:8" ht="15.6">
      <c r="A483" s="193"/>
      <c r="B483" s="193"/>
      <c r="C483" s="193"/>
      <c r="D483" s="193"/>
      <c r="E483" s="193"/>
      <c r="F483" s="193"/>
      <c r="G483" s="193"/>
      <c r="H483" s="193"/>
    </row>
    <row r="484" spans="1:8" ht="15.6">
      <c r="A484" s="193"/>
      <c r="B484" s="193"/>
      <c r="C484" s="193"/>
      <c r="D484" s="193"/>
      <c r="E484" s="193"/>
      <c r="F484" s="193"/>
      <c r="G484" s="193"/>
      <c r="H484" s="193"/>
    </row>
    <row r="485" spans="1:8" ht="15.6">
      <c r="A485" s="193"/>
      <c r="B485" s="193"/>
      <c r="C485" s="193"/>
      <c r="D485" s="193"/>
      <c r="E485" s="193"/>
      <c r="F485" s="193"/>
      <c r="G485" s="193"/>
      <c r="H485" s="193"/>
    </row>
    <row r="486" spans="1:8" ht="15.6">
      <c r="A486" s="193"/>
      <c r="B486" s="193"/>
      <c r="C486" s="193"/>
      <c r="D486" s="193"/>
      <c r="E486" s="193"/>
      <c r="F486" s="193"/>
      <c r="G486" s="193"/>
      <c r="H486" s="193"/>
    </row>
    <row r="487" spans="1:8" ht="15.6">
      <c r="A487" s="193"/>
      <c r="B487" s="193"/>
      <c r="C487" s="193"/>
      <c r="D487" s="193"/>
      <c r="E487" s="193"/>
      <c r="F487" s="193"/>
      <c r="G487" s="193"/>
      <c r="H487" s="193"/>
    </row>
    <row r="488" spans="1:8" ht="15.6">
      <c r="A488" s="193"/>
      <c r="B488" s="193"/>
      <c r="C488" s="193"/>
      <c r="D488" s="193"/>
      <c r="E488" s="193"/>
      <c r="F488" s="193"/>
      <c r="G488" s="193"/>
      <c r="H488" s="193"/>
    </row>
    <row r="489" spans="1:8" ht="15.6">
      <c r="A489" s="193"/>
      <c r="B489" s="193"/>
      <c r="C489" s="193"/>
      <c r="D489" s="193"/>
      <c r="E489" s="193"/>
      <c r="F489" s="193"/>
      <c r="G489" s="193"/>
      <c r="H489" s="193"/>
    </row>
    <row r="490" spans="1:8" ht="15.6">
      <c r="A490" s="193"/>
      <c r="B490" s="193"/>
      <c r="C490" s="193"/>
      <c r="D490" s="193"/>
      <c r="E490" s="193"/>
      <c r="F490" s="193"/>
      <c r="G490" s="193"/>
      <c r="H490" s="193"/>
    </row>
    <row r="491" spans="1:8" ht="15.6">
      <c r="A491" s="193"/>
      <c r="B491" s="193"/>
      <c r="C491" s="193"/>
      <c r="D491" s="193"/>
      <c r="E491" s="193"/>
      <c r="F491" s="193"/>
      <c r="G491" s="193"/>
      <c r="H491" s="193"/>
    </row>
    <row r="492" spans="1:8" ht="15.6">
      <c r="A492" s="193"/>
      <c r="B492" s="193"/>
      <c r="C492" s="193"/>
      <c r="D492" s="193"/>
      <c r="E492" s="193"/>
      <c r="F492" s="193"/>
      <c r="G492" s="193"/>
      <c r="H492" s="193"/>
    </row>
    <row r="493" spans="1:8" ht="15.6">
      <c r="A493" s="193"/>
      <c r="B493" s="193"/>
      <c r="C493" s="193"/>
      <c r="D493" s="193"/>
      <c r="E493" s="193"/>
      <c r="F493" s="193"/>
      <c r="G493" s="193"/>
      <c r="H493" s="193"/>
    </row>
    <row r="494" spans="1:8" ht="15.6">
      <c r="A494" s="193"/>
      <c r="B494" s="193"/>
      <c r="C494" s="193"/>
      <c r="D494" s="193"/>
      <c r="E494" s="193"/>
      <c r="F494" s="193"/>
      <c r="G494" s="193"/>
      <c r="H494" s="193"/>
    </row>
    <row r="495" spans="1:8" ht="15.6">
      <c r="A495" s="193"/>
      <c r="B495" s="193"/>
      <c r="C495" s="193"/>
      <c r="D495" s="193"/>
      <c r="E495" s="193"/>
      <c r="F495" s="193"/>
      <c r="G495" s="193"/>
      <c r="H495" s="193"/>
    </row>
    <row r="496" spans="1:8" ht="15.6">
      <c r="A496" s="193"/>
      <c r="B496" s="193"/>
      <c r="C496" s="193"/>
      <c r="D496" s="193"/>
      <c r="E496" s="193"/>
      <c r="F496" s="193"/>
      <c r="G496" s="193"/>
      <c r="H496" s="193"/>
    </row>
    <row r="497" spans="1:8" ht="15.6">
      <c r="A497" s="193"/>
      <c r="B497" s="193"/>
      <c r="C497" s="193"/>
      <c r="D497" s="193"/>
      <c r="E497" s="193"/>
      <c r="F497" s="193"/>
      <c r="G497" s="193"/>
      <c r="H497" s="193"/>
    </row>
    <row r="498" spans="1:8" ht="15.6">
      <c r="A498" s="193"/>
      <c r="B498" s="193"/>
      <c r="C498" s="193"/>
      <c r="D498" s="193"/>
      <c r="E498" s="193"/>
      <c r="F498" s="193"/>
      <c r="G498" s="193"/>
      <c r="H498" s="193"/>
    </row>
    <row r="499" spans="1:8" ht="15.6">
      <c r="A499" s="193"/>
      <c r="B499" s="193"/>
      <c r="C499" s="193"/>
      <c r="D499" s="193"/>
      <c r="E499" s="193"/>
      <c r="F499" s="193"/>
      <c r="G499" s="193"/>
      <c r="H499" s="193"/>
    </row>
    <row r="500" spans="1:8" ht="15.6">
      <c r="A500" s="193"/>
      <c r="B500" s="193"/>
      <c r="C500" s="193"/>
      <c r="D500" s="193"/>
      <c r="E500" s="193"/>
      <c r="F500" s="193"/>
      <c r="G500" s="193"/>
      <c r="H500" s="193"/>
    </row>
    <row r="501" spans="1:8" ht="15.6">
      <c r="A501" s="193"/>
      <c r="B501" s="193"/>
      <c r="C501" s="193"/>
      <c r="D501" s="193"/>
      <c r="E501" s="193"/>
      <c r="F501" s="193"/>
      <c r="G501" s="193"/>
      <c r="H501" s="193"/>
    </row>
    <row r="502" spans="1:8" ht="15.6">
      <c r="A502" s="193"/>
      <c r="B502" s="193"/>
      <c r="C502" s="193"/>
      <c r="D502" s="193"/>
      <c r="E502" s="193"/>
      <c r="F502" s="193"/>
      <c r="G502" s="193"/>
      <c r="H502" s="193"/>
    </row>
    <row r="503" spans="1:8" ht="15.6">
      <c r="A503" s="193"/>
      <c r="B503" s="193"/>
      <c r="C503" s="193"/>
      <c r="D503" s="193"/>
      <c r="E503" s="193"/>
      <c r="F503" s="193"/>
      <c r="G503" s="193"/>
      <c r="H503" s="193"/>
    </row>
    <row r="504" spans="1:8" ht="15.6">
      <c r="A504" s="193"/>
      <c r="B504" s="193"/>
      <c r="C504" s="193"/>
      <c r="D504" s="193"/>
      <c r="E504" s="193"/>
      <c r="F504" s="193"/>
      <c r="G504" s="193"/>
      <c r="H504" s="193"/>
    </row>
    <row r="505" spans="1:8" ht="15.6">
      <c r="A505" s="193"/>
      <c r="B505" s="193"/>
      <c r="C505" s="193"/>
      <c r="D505" s="193"/>
      <c r="E505" s="193"/>
      <c r="F505" s="193"/>
      <c r="G505" s="193"/>
      <c r="H505" s="193"/>
    </row>
    <row r="506" spans="1:8" ht="15.6">
      <c r="A506" s="193"/>
      <c r="B506" s="193"/>
      <c r="C506" s="193"/>
      <c r="D506" s="193"/>
      <c r="E506" s="193"/>
      <c r="F506" s="193"/>
      <c r="G506" s="193"/>
      <c r="H506" s="193"/>
    </row>
    <row r="507" spans="1:8" ht="15.6">
      <c r="A507" s="193"/>
      <c r="B507" s="193"/>
      <c r="C507" s="193"/>
      <c r="D507" s="193"/>
      <c r="E507" s="193"/>
      <c r="F507" s="193"/>
      <c r="G507" s="193"/>
      <c r="H507" s="193"/>
    </row>
    <row r="508" spans="1:8" ht="15.6">
      <c r="A508" s="193"/>
      <c r="B508" s="193"/>
      <c r="C508" s="193"/>
      <c r="D508" s="193"/>
      <c r="E508" s="193"/>
      <c r="F508" s="193"/>
      <c r="G508" s="193"/>
      <c r="H508" s="193"/>
    </row>
    <row r="509" spans="1:8" ht="15.6">
      <c r="A509" s="193"/>
      <c r="B509" s="193"/>
      <c r="C509" s="193"/>
      <c r="D509" s="193"/>
      <c r="E509" s="193"/>
      <c r="F509" s="193"/>
      <c r="G509" s="193"/>
      <c r="H509" s="193"/>
    </row>
    <row r="510" spans="1:8" ht="15.6">
      <c r="A510" s="193"/>
      <c r="B510" s="193"/>
      <c r="C510" s="193"/>
      <c r="D510" s="193"/>
      <c r="E510" s="193"/>
      <c r="F510" s="193"/>
      <c r="G510" s="193"/>
      <c r="H510" s="193"/>
    </row>
    <row r="511" spans="1:8" ht="15.6">
      <c r="A511" s="193"/>
      <c r="B511" s="193"/>
      <c r="C511" s="193"/>
      <c r="D511" s="193"/>
      <c r="E511" s="193"/>
      <c r="F511" s="193"/>
      <c r="G511" s="193"/>
      <c r="H511" s="193"/>
    </row>
    <row r="512" spans="1:8" ht="15.6">
      <c r="A512" s="193"/>
      <c r="B512" s="193"/>
      <c r="C512" s="193"/>
      <c r="D512" s="193"/>
      <c r="E512" s="193"/>
      <c r="F512" s="193"/>
      <c r="G512" s="193"/>
      <c r="H512" s="193"/>
    </row>
    <row r="513" spans="1:8" ht="15.6">
      <c r="A513" s="193"/>
      <c r="B513" s="193"/>
      <c r="C513" s="193"/>
      <c r="D513" s="193"/>
      <c r="E513" s="193"/>
      <c r="F513" s="193"/>
      <c r="G513" s="193"/>
      <c r="H513" s="193"/>
    </row>
    <row r="514" spans="1:8" ht="15.6">
      <c r="A514" s="193"/>
      <c r="B514" s="193"/>
      <c r="C514" s="193"/>
      <c r="D514" s="193"/>
      <c r="E514" s="193"/>
      <c r="F514" s="193"/>
      <c r="G514" s="193"/>
      <c r="H514" s="193"/>
    </row>
    <row r="515" spans="1:8" ht="15.6">
      <c r="A515" s="193"/>
      <c r="B515" s="193"/>
      <c r="C515" s="193"/>
      <c r="D515" s="193"/>
      <c r="E515" s="193"/>
      <c r="F515" s="193"/>
      <c r="G515" s="193"/>
      <c r="H515" s="193"/>
    </row>
    <row r="516" spans="1:8" ht="15.6">
      <c r="A516" s="193"/>
      <c r="B516" s="193"/>
      <c r="C516" s="193"/>
      <c r="D516" s="193"/>
      <c r="E516" s="193"/>
      <c r="F516" s="193"/>
      <c r="G516" s="193"/>
      <c r="H516" s="193"/>
    </row>
    <row r="517" spans="1:8" ht="15.6">
      <c r="A517" s="193"/>
      <c r="B517" s="193"/>
      <c r="C517" s="193"/>
      <c r="D517" s="193"/>
      <c r="E517" s="193"/>
      <c r="F517" s="193"/>
      <c r="G517" s="193"/>
      <c r="H517" s="193"/>
    </row>
    <row r="518" spans="1:8" ht="15.6">
      <c r="A518" s="193"/>
      <c r="B518" s="193"/>
      <c r="C518" s="193"/>
      <c r="D518" s="193"/>
      <c r="E518" s="193"/>
      <c r="F518" s="193"/>
      <c r="G518" s="193"/>
      <c r="H518" s="193"/>
    </row>
    <row r="519" spans="1:8" ht="15.6">
      <c r="A519" s="193"/>
      <c r="B519" s="193"/>
      <c r="C519" s="193"/>
      <c r="D519" s="193"/>
      <c r="E519" s="193"/>
      <c r="F519" s="193"/>
      <c r="G519" s="193"/>
      <c r="H519" s="193"/>
    </row>
    <row r="520" spans="1:8" ht="15.6">
      <c r="A520" s="193"/>
      <c r="B520" s="193"/>
      <c r="C520" s="193"/>
      <c r="D520" s="193"/>
      <c r="E520" s="193"/>
      <c r="F520" s="193"/>
      <c r="G520" s="193"/>
      <c r="H520" s="193"/>
    </row>
    <row r="521" spans="1:8" ht="15.6">
      <c r="A521" s="193"/>
      <c r="B521" s="193"/>
      <c r="C521" s="193"/>
      <c r="D521" s="193"/>
      <c r="E521" s="193"/>
      <c r="F521" s="193"/>
      <c r="G521" s="193"/>
      <c r="H521" s="193"/>
    </row>
    <row r="522" spans="1:8" ht="15.6">
      <c r="A522" s="193"/>
      <c r="B522" s="193"/>
      <c r="C522" s="193"/>
      <c r="D522" s="193"/>
      <c r="E522" s="193"/>
      <c r="F522" s="193"/>
      <c r="G522" s="193"/>
      <c r="H522" s="193"/>
    </row>
    <row r="523" spans="1:8" ht="15.6">
      <c r="A523" s="193"/>
      <c r="B523" s="193"/>
      <c r="C523" s="193"/>
      <c r="D523" s="193"/>
      <c r="E523" s="193"/>
      <c r="F523" s="193"/>
      <c r="G523" s="193"/>
      <c r="H523" s="193"/>
    </row>
    <row r="524" spans="1:8" ht="15.6">
      <c r="A524" s="193"/>
      <c r="B524" s="193"/>
      <c r="C524" s="193"/>
      <c r="D524" s="193"/>
      <c r="E524" s="193"/>
      <c r="F524" s="193"/>
      <c r="G524" s="193"/>
      <c r="H524" s="193"/>
    </row>
    <row r="525" spans="1:8" ht="15.6">
      <c r="A525" s="193"/>
      <c r="B525" s="193"/>
      <c r="C525" s="193"/>
      <c r="D525" s="193"/>
      <c r="E525" s="193"/>
      <c r="F525" s="193"/>
      <c r="G525" s="193"/>
      <c r="H525" s="193"/>
    </row>
    <row r="526" spans="1:8" ht="15.6">
      <c r="A526" s="193"/>
      <c r="B526" s="193"/>
      <c r="C526" s="193"/>
      <c r="D526" s="193"/>
      <c r="E526" s="193"/>
      <c r="F526" s="193"/>
      <c r="G526" s="193"/>
      <c r="H526" s="193"/>
    </row>
    <row r="527" spans="1:8" ht="15.6">
      <c r="A527" s="193"/>
      <c r="B527" s="193"/>
      <c r="C527" s="193"/>
      <c r="D527" s="193"/>
      <c r="E527" s="193"/>
      <c r="F527" s="193"/>
      <c r="G527" s="193"/>
      <c r="H527" s="193"/>
    </row>
    <row r="528" spans="1:8" ht="15.6">
      <c r="A528" s="193"/>
      <c r="B528" s="193"/>
      <c r="C528" s="193"/>
      <c r="D528" s="193"/>
      <c r="E528" s="193"/>
      <c r="F528" s="193"/>
      <c r="G528" s="193"/>
      <c r="H528" s="193"/>
    </row>
    <row r="529" spans="1:8" ht="15.6">
      <c r="A529" s="193"/>
      <c r="B529" s="193"/>
      <c r="C529" s="193"/>
      <c r="D529" s="193"/>
      <c r="E529" s="193"/>
      <c r="F529" s="193"/>
      <c r="G529" s="193"/>
      <c r="H529" s="193"/>
    </row>
    <row r="530" spans="1:8" ht="15.6">
      <c r="A530" s="193"/>
      <c r="B530" s="193"/>
      <c r="C530" s="193"/>
      <c r="D530" s="193"/>
      <c r="E530" s="193"/>
      <c r="F530" s="193"/>
      <c r="G530" s="193"/>
      <c r="H530" s="193"/>
    </row>
    <row r="531" spans="1:8" ht="15.6">
      <c r="A531" s="193"/>
      <c r="B531" s="193"/>
      <c r="C531" s="193"/>
      <c r="D531" s="193"/>
      <c r="E531" s="193"/>
      <c r="F531" s="193"/>
      <c r="G531" s="193"/>
      <c r="H531" s="193"/>
    </row>
    <row r="532" spans="1:8" ht="15.6">
      <c r="A532" s="193"/>
      <c r="B532" s="193"/>
      <c r="C532" s="193"/>
      <c r="D532" s="193"/>
      <c r="E532" s="193"/>
      <c r="F532" s="193"/>
      <c r="G532" s="193"/>
      <c r="H532" s="193"/>
    </row>
    <row r="533" spans="1:8" ht="15.6">
      <c r="A533" s="193"/>
      <c r="B533" s="193"/>
      <c r="C533" s="193"/>
      <c r="D533" s="193"/>
      <c r="E533" s="193"/>
      <c r="F533" s="193"/>
      <c r="G533" s="193"/>
      <c r="H533" s="193"/>
    </row>
    <row r="534" spans="1:8" ht="15.6">
      <c r="A534" s="193"/>
      <c r="B534" s="193"/>
      <c r="C534" s="193"/>
      <c r="D534" s="193"/>
      <c r="E534" s="193"/>
      <c r="F534" s="193"/>
      <c r="G534" s="193"/>
      <c r="H534" s="193"/>
    </row>
    <row r="535" spans="1:8" ht="15.6">
      <c r="A535" s="193"/>
      <c r="B535" s="193"/>
      <c r="C535" s="193"/>
      <c r="D535" s="193"/>
      <c r="E535" s="193"/>
      <c r="F535" s="193"/>
      <c r="G535" s="193"/>
      <c r="H535" s="193"/>
    </row>
    <row r="536" spans="1:8" ht="15.6">
      <c r="A536" s="193"/>
      <c r="B536" s="193"/>
      <c r="C536" s="193"/>
      <c r="D536" s="193"/>
      <c r="E536" s="193"/>
      <c r="F536" s="193"/>
      <c r="G536" s="193"/>
      <c r="H536" s="193"/>
    </row>
    <row r="537" spans="1:8" ht="15.6">
      <c r="A537" s="193"/>
      <c r="B537" s="193"/>
      <c r="C537" s="193"/>
      <c r="D537" s="193"/>
      <c r="E537" s="193"/>
      <c r="F537" s="193"/>
      <c r="G537" s="193"/>
      <c r="H537" s="193"/>
    </row>
    <row r="538" spans="1:8" ht="15.6">
      <c r="A538" s="193"/>
      <c r="B538" s="193"/>
      <c r="C538" s="193"/>
      <c r="D538" s="193"/>
      <c r="E538" s="193"/>
      <c r="F538" s="193"/>
      <c r="G538" s="193"/>
      <c r="H538" s="193"/>
    </row>
    <row r="539" spans="1:8" ht="15.6">
      <c r="A539" s="193"/>
      <c r="B539" s="193"/>
      <c r="C539" s="193"/>
      <c r="D539" s="193"/>
      <c r="E539" s="193"/>
      <c r="F539" s="193"/>
      <c r="G539" s="193"/>
      <c r="H539" s="193"/>
    </row>
    <row r="540" spans="1:8" ht="15.6">
      <c r="A540" s="193"/>
      <c r="B540" s="193"/>
      <c r="C540" s="193"/>
      <c r="D540" s="193"/>
      <c r="E540" s="193"/>
      <c r="F540" s="193"/>
      <c r="G540" s="193"/>
      <c r="H540" s="193"/>
    </row>
    <row r="541" spans="1:8" ht="15.6">
      <c r="A541" s="193"/>
      <c r="B541" s="193"/>
      <c r="C541" s="193"/>
      <c r="D541" s="193"/>
      <c r="E541" s="193"/>
      <c r="F541" s="193"/>
      <c r="G541" s="193"/>
      <c r="H541" s="193"/>
    </row>
    <row r="542" spans="1:8" ht="15.6">
      <c r="A542" s="193"/>
      <c r="B542" s="193"/>
      <c r="C542" s="193"/>
      <c r="D542" s="193"/>
      <c r="E542" s="193"/>
      <c r="F542" s="193"/>
      <c r="G542" s="193"/>
      <c r="H542" s="193"/>
    </row>
    <row r="543" spans="1:8" ht="15.6">
      <c r="A543" s="193"/>
      <c r="B543" s="193"/>
      <c r="C543" s="193"/>
      <c r="D543" s="193"/>
      <c r="E543" s="193"/>
      <c r="F543" s="193"/>
      <c r="G543" s="193"/>
      <c r="H543" s="193"/>
    </row>
    <row r="544" spans="1:8" ht="15.6">
      <c r="A544" s="193"/>
      <c r="B544" s="193"/>
      <c r="C544" s="193"/>
      <c r="D544" s="193"/>
      <c r="E544" s="193"/>
      <c r="F544" s="193"/>
      <c r="G544" s="193"/>
      <c r="H544" s="193"/>
    </row>
    <row r="545" spans="1:8" ht="15.6">
      <c r="A545" s="193"/>
      <c r="B545" s="193"/>
      <c r="C545" s="193"/>
      <c r="D545" s="193"/>
      <c r="E545" s="193"/>
      <c r="F545" s="193"/>
      <c r="G545" s="193"/>
      <c r="H545" s="193"/>
    </row>
    <row r="546" spans="1:8" ht="15.6">
      <c r="A546" s="193"/>
      <c r="B546" s="193"/>
      <c r="C546" s="193"/>
      <c r="D546" s="193"/>
      <c r="E546" s="193"/>
      <c r="F546" s="193"/>
      <c r="G546" s="193"/>
      <c r="H546" s="193"/>
    </row>
    <row r="547" spans="1:8" ht="15.6">
      <c r="A547" s="193"/>
      <c r="B547" s="193"/>
      <c r="C547" s="193"/>
      <c r="D547" s="193"/>
      <c r="E547" s="193"/>
      <c r="F547" s="193"/>
      <c r="G547" s="193"/>
      <c r="H547" s="193"/>
    </row>
    <row r="548" spans="1:8" ht="15.6">
      <c r="A548" s="193"/>
      <c r="B548" s="193"/>
      <c r="C548" s="193"/>
      <c r="D548" s="193"/>
      <c r="E548" s="193"/>
      <c r="F548" s="193"/>
      <c r="G548" s="193"/>
      <c r="H548" s="193"/>
    </row>
    <row r="549" spans="1:8" ht="15.6">
      <c r="A549" s="193"/>
      <c r="B549" s="193"/>
      <c r="C549" s="193"/>
      <c r="D549" s="193"/>
      <c r="E549" s="193"/>
      <c r="F549" s="193"/>
      <c r="G549" s="193"/>
      <c r="H549" s="193"/>
    </row>
    <row r="550" spans="1:8" ht="15.6">
      <c r="A550" s="193"/>
      <c r="B550" s="193"/>
      <c r="C550" s="193"/>
      <c r="D550" s="193"/>
      <c r="E550" s="193"/>
      <c r="F550" s="193"/>
      <c r="G550" s="193"/>
      <c r="H550" s="193"/>
    </row>
    <row r="551" spans="1:8" ht="15.6">
      <c r="A551" s="193"/>
      <c r="B551" s="193"/>
      <c r="C551" s="193"/>
      <c r="D551" s="193"/>
      <c r="E551" s="193"/>
      <c r="F551" s="193"/>
      <c r="G551" s="193"/>
      <c r="H551" s="193"/>
    </row>
    <row r="552" spans="1:8" ht="15.6">
      <c r="A552" s="193"/>
      <c r="B552" s="193"/>
      <c r="C552" s="193"/>
      <c r="D552" s="193"/>
      <c r="E552" s="193"/>
      <c r="F552" s="193"/>
      <c r="G552" s="193"/>
      <c r="H552" s="193"/>
    </row>
    <row r="553" spans="1:8" ht="15.6">
      <c r="A553" s="193"/>
      <c r="B553" s="193"/>
      <c r="C553" s="193"/>
      <c r="D553" s="193"/>
      <c r="E553" s="193"/>
      <c r="F553" s="193"/>
      <c r="G553" s="193"/>
      <c r="H553" s="193"/>
    </row>
    <row r="554" spans="1:8" ht="15.6">
      <c r="A554" s="193"/>
      <c r="B554" s="193"/>
      <c r="C554" s="193"/>
      <c r="D554" s="193"/>
      <c r="E554" s="193"/>
      <c r="F554" s="193"/>
      <c r="G554" s="193"/>
      <c r="H554" s="193"/>
    </row>
    <row r="555" spans="1:8" ht="15.6">
      <c r="A555" s="193"/>
      <c r="B555" s="193"/>
      <c r="C555" s="193"/>
      <c r="D555" s="193"/>
      <c r="E555" s="193"/>
      <c r="F555" s="193"/>
      <c r="G555" s="193"/>
      <c r="H555" s="193"/>
    </row>
    <row r="556" spans="1:8" ht="15.6">
      <c r="A556" s="193"/>
      <c r="B556" s="193"/>
      <c r="C556" s="193"/>
      <c r="D556" s="193"/>
      <c r="E556" s="193"/>
      <c r="F556" s="193"/>
      <c r="G556" s="193"/>
      <c r="H556" s="193"/>
    </row>
    <row r="557" spans="1:8" ht="15.6">
      <c r="A557" s="193"/>
      <c r="B557" s="193"/>
      <c r="C557" s="193"/>
      <c r="D557" s="193"/>
      <c r="E557" s="193"/>
      <c r="F557" s="193"/>
      <c r="G557" s="193"/>
      <c r="H557" s="193"/>
    </row>
    <row r="558" spans="1:8" ht="15.6">
      <c r="A558" s="193"/>
      <c r="B558" s="193"/>
      <c r="C558" s="193"/>
      <c r="D558" s="193"/>
      <c r="E558" s="193"/>
      <c r="F558" s="193"/>
      <c r="G558" s="193"/>
      <c r="H558" s="193"/>
    </row>
    <row r="559" spans="1:8" ht="15.6">
      <c r="A559" s="193"/>
      <c r="B559" s="193"/>
      <c r="C559" s="193"/>
      <c r="D559" s="193"/>
      <c r="E559" s="193"/>
      <c r="F559" s="193"/>
      <c r="G559" s="193"/>
      <c r="H559" s="193"/>
    </row>
    <row r="560" spans="1:8" ht="15.6">
      <c r="A560" s="193"/>
      <c r="B560" s="193"/>
      <c r="C560" s="193"/>
      <c r="D560" s="193"/>
      <c r="E560" s="193"/>
      <c r="F560" s="193"/>
      <c r="G560" s="193"/>
      <c r="H560" s="193"/>
    </row>
    <row r="561" spans="1:8" ht="15.6">
      <c r="A561" s="193"/>
      <c r="B561" s="193"/>
      <c r="C561" s="193"/>
      <c r="D561" s="193"/>
      <c r="E561" s="193"/>
      <c r="F561" s="193"/>
      <c r="G561" s="193"/>
      <c r="H561" s="193"/>
    </row>
    <row r="562" spans="1:8" ht="15.6">
      <c r="A562" s="193"/>
      <c r="B562" s="193"/>
      <c r="C562" s="193"/>
      <c r="D562" s="193"/>
      <c r="E562" s="193"/>
      <c r="F562" s="193"/>
      <c r="G562" s="193"/>
      <c r="H562" s="193"/>
    </row>
    <row r="563" spans="1:8" ht="15.6">
      <c r="A563" s="193"/>
      <c r="B563" s="193"/>
      <c r="C563" s="193"/>
      <c r="D563" s="193"/>
      <c r="E563" s="193"/>
      <c r="F563" s="193"/>
      <c r="G563" s="193"/>
      <c r="H563" s="193"/>
    </row>
    <row r="564" spans="1:8" ht="15.6">
      <c r="A564" s="193"/>
      <c r="B564" s="193"/>
      <c r="C564" s="193"/>
      <c r="D564" s="193"/>
      <c r="E564" s="193"/>
      <c r="F564" s="193"/>
      <c r="G564" s="193"/>
      <c r="H564" s="193"/>
    </row>
    <row r="565" spans="1:8" ht="15.6">
      <c r="A565" s="193"/>
      <c r="B565" s="193"/>
      <c r="C565" s="193"/>
      <c r="D565" s="193"/>
      <c r="E565" s="193"/>
      <c r="F565" s="193"/>
      <c r="G565" s="193"/>
      <c r="H565" s="193"/>
    </row>
    <row r="566" spans="1:8" ht="15.6">
      <c r="A566" s="193"/>
      <c r="B566" s="193"/>
      <c r="C566" s="193"/>
      <c r="D566" s="193"/>
      <c r="E566" s="193"/>
      <c r="F566" s="193"/>
      <c r="G566" s="193"/>
      <c r="H566" s="193"/>
    </row>
    <row r="567" spans="1:8" ht="15.6">
      <c r="A567" s="193"/>
      <c r="B567" s="193"/>
      <c r="C567" s="193"/>
      <c r="D567" s="193"/>
      <c r="E567" s="193"/>
      <c r="F567" s="193"/>
      <c r="G567" s="193"/>
      <c r="H567" s="193"/>
    </row>
    <row r="568" spans="1:8" ht="15.6">
      <c r="A568" s="193"/>
      <c r="B568" s="193"/>
      <c r="C568" s="193"/>
      <c r="D568" s="193"/>
      <c r="E568" s="193"/>
      <c r="F568" s="193"/>
      <c r="G568" s="193"/>
      <c r="H568" s="193"/>
    </row>
    <row r="569" spans="1:8" ht="15.6">
      <c r="A569" s="193"/>
      <c r="B569" s="193"/>
      <c r="C569" s="193"/>
      <c r="D569" s="193"/>
      <c r="E569" s="193"/>
      <c r="F569" s="193"/>
      <c r="G569" s="193"/>
      <c r="H569" s="193"/>
    </row>
    <row r="570" spans="1:8" ht="15.6">
      <c r="A570" s="193"/>
      <c r="B570" s="193"/>
      <c r="C570" s="193"/>
      <c r="D570" s="193"/>
      <c r="E570" s="193"/>
      <c r="F570" s="193"/>
      <c r="G570" s="193"/>
      <c r="H570" s="193"/>
    </row>
    <row r="571" spans="1:8" ht="15.6">
      <c r="A571" s="193"/>
      <c r="B571" s="193"/>
      <c r="C571" s="193"/>
      <c r="D571" s="193"/>
      <c r="E571" s="193"/>
      <c r="F571" s="193"/>
      <c r="G571" s="193"/>
      <c r="H571" s="193"/>
    </row>
    <row r="572" spans="1:8" ht="15.6">
      <c r="A572" s="193"/>
      <c r="B572" s="193"/>
      <c r="C572" s="193"/>
      <c r="D572" s="193"/>
      <c r="E572" s="193"/>
      <c r="F572" s="193"/>
      <c r="G572" s="193"/>
      <c r="H572" s="193"/>
    </row>
    <row r="573" spans="1:8" ht="15.6">
      <c r="A573" s="193"/>
      <c r="B573" s="193"/>
      <c r="C573" s="193"/>
      <c r="D573" s="193"/>
      <c r="E573" s="193"/>
      <c r="F573" s="193"/>
      <c r="G573" s="193"/>
      <c r="H573" s="193"/>
    </row>
    <row r="574" spans="1:8" ht="15.6">
      <c r="A574" s="193"/>
      <c r="B574" s="193"/>
      <c r="C574" s="193"/>
      <c r="D574" s="193"/>
      <c r="E574" s="193"/>
      <c r="F574" s="193"/>
      <c r="G574" s="193"/>
      <c r="H574" s="193"/>
    </row>
    <row r="575" spans="1:8" ht="15.6">
      <c r="A575" s="193"/>
      <c r="B575" s="193"/>
      <c r="C575" s="193"/>
      <c r="D575" s="193"/>
      <c r="E575" s="193"/>
      <c r="F575" s="193"/>
      <c r="G575" s="193"/>
      <c r="H575" s="193"/>
    </row>
    <row r="576" spans="1:8" ht="15.6">
      <c r="A576" s="193"/>
      <c r="B576" s="193"/>
      <c r="C576" s="193"/>
      <c r="D576" s="193"/>
      <c r="E576" s="193"/>
      <c r="F576" s="193"/>
      <c r="G576" s="193"/>
      <c r="H576" s="193"/>
    </row>
    <row r="577" spans="1:8" ht="15.6">
      <c r="A577" s="193"/>
      <c r="B577" s="193"/>
      <c r="C577" s="193"/>
      <c r="D577" s="193"/>
      <c r="E577" s="193"/>
      <c r="F577" s="193"/>
      <c r="G577" s="193"/>
      <c r="H577" s="193"/>
    </row>
    <row r="578" spans="1:8" ht="15.6">
      <c r="A578" s="193"/>
      <c r="B578" s="193"/>
      <c r="C578" s="193"/>
      <c r="D578" s="193"/>
      <c r="E578" s="193"/>
      <c r="F578" s="193"/>
      <c r="G578" s="193"/>
      <c r="H578" s="193"/>
    </row>
    <row r="579" spans="1:8" ht="15.6">
      <c r="A579" s="193"/>
      <c r="B579" s="193"/>
      <c r="C579" s="193"/>
      <c r="D579" s="193"/>
      <c r="E579" s="193"/>
      <c r="F579" s="193"/>
      <c r="G579" s="193"/>
      <c r="H579" s="193"/>
    </row>
    <row r="580" spans="1:8" ht="15.6">
      <c r="A580" s="193"/>
      <c r="B580" s="193"/>
      <c r="C580" s="193"/>
      <c r="D580" s="193"/>
      <c r="E580" s="193"/>
      <c r="F580" s="193"/>
      <c r="G580" s="193"/>
      <c r="H580" s="193"/>
    </row>
    <row r="581" spans="1:8" ht="15.6">
      <c r="A581" s="193"/>
      <c r="B581" s="193"/>
      <c r="C581" s="193"/>
      <c r="D581" s="193"/>
      <c r="E581" s="193"/>
      <c r="F581" s="193"/>
      <c r="G581" s="193"/>
      <c r="H581" s="193"/>
    </row>
    <row r="582" spans="1:8" ht="15.6">
      <c r="A582" s="193"/>
      <c r="B582" s="193"/>
      <c r="C582" s="193"/>
      <c r="D582" s="193"/>
      <c r="E582" s="193"/>
      <c r="F582" s="193"/>
      <c r="G582" s="193"/>
      <c r="H582" s="193"/>
    </row>
    <row r="583" spans="1:8" ht="15.6">
      <c r="A583" s="193"/>
      <c r="B583" s="193"/>
      <c r="C583" s="193"/>
      <c r="D583" s="193"/>
      <c r="E583" s="193"/>
      <c r="F583" s="193"/>
      <c r="G583" s="193"/>
      <c r="H583" s="193"/>
    </row>
    <row r="584" spans="1:8" ht="15.6">
      <c r="A584" s="193"/>
      <c r="B584" s="193"/>
      <c r="C584" s="193"/>
      <c r="D584" s="193"/>
      <c r="E584" s="193"/>
      <c r="F584" s="193"/>
      <c r="G584" s="193"/>
      <c r="H584" s="193"/>
    </row>
    <row r="585" spans="1:8" ht="15.6">
      <c r="A585" s="193"/>
      <c r="B585" s="193"/>
      <c r="C585" s="193"/>
      <c r="D585" s="193"/>
      <c r="E585" s="193"/>
      <c r="F585" s="193"/>
      <c r="G585" s="193"/>
      <c r="H585" s="193"/>
    </row>
    <row r="586" spans="1:8" ht="15.6">
      <c r="A586" s="193"/>
      <c r="B586" s="193"/>
      <c r="C586" s="193"/>
      <c r="D586" s="193"/>
      <c r="E586" s="193"/>
      <c r="F586" s="193"/>
      <c r="G586" s="193"/>
      <c r="H586" s="193"/>
    </row>
    <row r="587" spans="1:8" ht="15.6">
      <c r="A587" s="193"/>
      <c r="B587" s="193"/>
      <c r="C587" s="193"/>
      <c r="D587" s="193"/>
      <c r="E587" s="193"/>
      <c r="F587" s="193"/>
      <c r="G587" s="193"/>
      <c r="H587" s="193"/>
    </row>
    <row r="588" spans="1:8" ht="15.6">
      <c r="A588" s="193"/>
      <c r="B588" s="193"/>
      <c r="C588" s="193"/>
      <c r="D588" s="193"/>
      <c r="E588" s="193"/>
      <c r="F588" s="193"/>
      <c r="G588" s="193"/>
      <c r="H588" s="193"/>
    </row>
    <row r="589" spans="1:8" ht="15.6">
      <c r="A589" s="193"/>
      <c r="B589" s="193"/>
      <c r="C589" s="193"/>
      <c r="D589" s="193"/>
      <c r="E589" s="193"/>
      <c r="F589" s="193"/>
      <c r="G589" s="193"/>
      <c r="H589" s="193"/>
    </row>
    <row r="590" spans="1:8" ht="15.6">
      <c r="A590" s="193"/>
      <c r="B590" s="193"/>
      <c r="C590" s="193"/>
      <c r="D590" s="193"/>
      <c r="E590" s="193"/>
      <c r="F590" s="193"/>
      <c r="G590" s="193"/>
      <c r="H590" s="193"/>
    </row>
    <row r="591" spans="1:8" ht="15.6">
      <c r="A591" s="193"/>
      <c r="B591" s="193"/>
      <c r="C591" s="193"/>
      <c r="D591" s="193"/>
      <c r="E591" s="193"/>
      <c r="F591" s="193"/>
      <c r="G591" s="193"/>
      <c r="H591" s="193"/>
    </row>
    <row r="592" spans="1:8" ht="15.6">
      <c r="A592" s="193"/>
      <c r="B592" s="193"/>
      <c r="C592" s="193"/>
      <c r="D592" s="193"/>
      <c r="E592" s="193"/>
      <c r="F592" s="193"/>
      <c r="G592" s="193"/>
      <c r="H592" s="193"/>
    </row>
    <row r="593" spans="1:8" ht="15.6">
      <c r="A593" s="193"/>
      <c r="B593" s="193"/>
      <c r="C593" s="193"/>
      <c r="D593" s="193"/>
      <c r="E593" s="193"/>
      <c r="F593" s="193"/>
      <c r="G593" s="193"/>
      <c r="H593" s="193"/>
    </row>
    <row r="594" spans="1:8" ht="15.6">
      <c r="A594" s="193"/>
      <c r="B594" s="193"/>
      <c r="C594" s="193"/>
      <c r="D594" s="193"/>
      <c r="E594" s="193"/>
      <c r="F594" s="193"/>
      <c r="G594" s="193"/>
      <c r="H594" s="193"/>
    </row>
    <row r="595" spans="1:8" ht="15.6">
      <c r="A595" s="193"/>
      <c r="B595" s="193"/>
      <c r="C595" s="193"/>
      <c r="D595" s="193"/>
      <c r="E595" s="193"/>
      <c r="F595" s="193"/>
      <c r="G595" s="193"/>
      <c r="H595" s="193"/>
    </row>
    <row r="596" spans="1:8" ht="15.6">
      <c r="A596" s="193"/>
      <c r="B596" s="193"/>
      <c r="C596" s="193"/>
      <c r="D596" s="193"/>
      <c r="E596" s="193"/>
      <c r="F596" s="193"/>
      <c r="G596" s="193"/>
      <c r="H596" s="193"/>
    </row>
    <row r="597" spans="1:8" ht="15.6">
      <c r="A597" s="193"/>
      <c r="B597" s="193"/>
      <c r="C597" s="193"/>
      <c r="D597" s="193"/>
      <c r="E597" s="193"/>
      <c r="F597" s="193"/>
      <c r="G597" s="193"/>
      <c r="H597" s="193"/>
    </row>
    <row r="598" spans="1:8" ht="15.6">
      <c r="A598" s="193"/>
      <c r="B598" s="193"/>
      <c r="C598" s="193"/>
      <c r="D598" s="193"/>
      <c r="E598" s="193"/>
      <c r="F598" s="193"/>
      <c r="G598" s="193"/>
      <c r="H598" s="193"/>
    </row>
    <row r="599" spans="1:8" ht="15.6">
      <c r="A599" s="193"/>
      <c r="B599" s="193"/>
      <c r="C599" s="193"/>
      <c r="D599" s="193"/>
      <c r="E599" s="193"/>
      <c r="F599" s="193"/>
      <c r="G599" s="193"/>
      <c r="H599" s="193"/>
    </row>
    <row r="600" spans="1:8" ht="15.6">
      <c r="A600" s="193"/>
      <c r="B600" s="193"/>
      <c r="C600" s="193"/>
      <c r="D600" s="193"/>
      <c r="E600" s="193"/>
      <c r="F600" s="193"/>
      <c r="G600" s="193"/>
      <c r="H600" s="193"/>
    </row>
    <row r="601" spans="1:8" ht="15.6">
      <c r="A601" s="193"/>
      <c r="B601" s="193"/>
      <c r="C601" s="193"/>
      <c r="D601" s="193"/>
      <c r="E601" s="193"/>
      <c r="F601" s="193"/>
      <c r="G601" s="193"/>
      <c r="H601" s="193"/>
    </row>
    <row r="602" spans="1:8" ht="15.6">
      <c r="A602" s="193"/>
      <c r="B602" s="193"/>
      <c r="C602" s="193"/>
      <c r="D602" s="193"/>
      <c r="E602" s="193"/>
      <c r="F602" s="193"/>
      <c r="G602" s="193"/>
      <c r="H602" s="193"/>
    </row>
    <row r="603" spans="1:8" ht="15.6">
      <c r="A603" s="193"/>
      <c r="B603" s="193"/>
      <c r="C603" s="193"/>
      <c r="D603" s="193"/>
      <c r="E603" s="193"/>
      <c r="F603" s="193"/>
      <c r="G603" s="193"/>
      <c r="H603" s="193"/>
    </row>
    <row r="604" spans="1:8" ht="15.6">
      <c r="A604" s="193"/>
      <c r="B604" s="193"/>
      <c r="C604" s="193"/>
      <c r="D604" s="193"/>
      <c r="E604" s="193"/>
      <c r="F604" s="193"/>
      <c r="G604" s="193"/>
      <c r="H604" s="193"/>
    </row>
    <row r="605" spans="1:8" ht="15.6">
      <c r="A605" s="193"/>
      <c r="B605" s="193"/>
      <c r="C605" s="193"/>
      <c r="D605" s="193"/>
      <c r="E605" s="193"/>
      <c r="F605" s="193"/>
      <c r="G605" s="193"/>
      <c r="H605" s="193"/>
    </row>
    <row r="606" spans="1:8" ht="15.6">
      <c r="A606" s="193"/>
      <c r="B606" s="193"/>
      <c r="C606" s="193"/>
      <c r="D606" s="193"/>
      <c r="E606" s="193"/>
      <c r="F606" s="193"/>
      <c r="G606" s="193"/>
      <c r="H606" s="193"/>
    </row>
    <row r="607" spans="1:8" ht="15.6">
      <c r="A607" s="193"/>
      <c r="B607" s="193"/>
      <c r="C607" s="193"/>
      <c r="D607" s="193"/>
      <c r="E607" s="193"/>
      <c r="F607" s="193"/>
      <c r="G607" s="193"/>
      <c r="H607" s="193"/>
    </row>
    <row r="608" spans="1:8" ht="15.6">
      <c r="A608" s="193"/>
      <c r="B608" s="193"/>
      <c r="C608" s="193"/>
      <c r="D608" s="193"/>
      <c r="E608" s="193"/>
      <c r="F608" s="193"/>
      <c r="G608" s="193"/>
      <c r="H608" s="193"/>
    </row>
    <row r="609" spans="1:8" ht="15.6">
      <c r="A609" s="193"/>
      <c r="B609" s="193"/>
      <c r="C609" s="193"/>
      <c r="D609" s="193"/>
      <c r="E609" s="193"/>
      <c r="F609" s="193"/>
      <c r="G609" s="193"/>
      <c r="H609" s="193"/>
    </row>
    <row r="610" spans="1:8" ht="15.6">
      <c r="A610" s="193"/>
      <c r="B610" s="193"/>
      <c r="C610" s="193"/>
      <c r="D610" s="193"/>
      <c r="E610" s="193"/>
      <c r="F610" s="193"/>
      <c r="G610" s="193"/>
      <c r="H610" s="193"/>
    </row>
    <row r="611" spans="1:8" ht="15.6">
      <c r="A611" s="193"/>
      <c r="B611" s="193"/>
      <c r="C611" s="193"/>
      <c r="D611" s="193"/>
      <c r="E611" s="193"/>
      <c r="F611" s="193"/>
      <c r="G611" s="193"/>
      <c r="H611" s="193"/>
    </row>
    <row r="612" spans="1:8" ht="15.6">
      <c r="A612" s="193"/>
      <c r="B612" s="193"/>
      <c r="C612" s="193"/>
      <c r="D612" s="193"/>
      <c r="E612" s="193"/>
      <c r="F612" s="193"/>
      <c r="G612" s="193"/>
      <c r="H612" s="193"/>
    </row>
    <row r="613" spans="1:8" ht="15.6">
      <c r="A613" s="193"/>
      <c r="B613" s="193"/>
      <c r="C613" s="193"/>
      <c r="D613" s="193"/>
      <c r="E613" s="193"/>
      <c r="F613" s="193"/>
      <c r="G613" s="193"/>
      <c r="H613" s="193"/>
    </row>
    <row r="614" spans="1:8" ht="15.6">
      <c r="A614" s="193"/>
      <c r="B614" s="193"/>
      <c r="C614" s="193"/>
      <c r="D614" s="193"/>
      <c r="E614" s="193"/>
      <c r="F614" s="193"/>
      <c r="G614" s="193"/>
      <c r="H614" s="193"/>
    </row>
    <row r="615" spans="1:8" ht="15.6">
      <c r="A615" s="193"/>
      <c r="B615" s="193"/>
      <c r="C615" s="193"/>
      <c r="D615" s="193"/>
      <c r="E615" s="193"/>
      <c r="F615" s="193"/>
      <c r="G615" s="193"/>
      <c r="H615" s="193"/>
    </row>
    <row r="616" spans="1:8" ht="15.6">
      <c r="A616" s="193"/>
      <c r="B616" s="193"/>
      <c r="C616" s="193"/>
      <c r="D616" s="193"/>
      <c r="E616" s="193"/>
      <c r="F616" s="193"/>
      <c r="G616" s="193"/>
      <c r="H616" s="193"/>
    </row>
    <row r="617" spans="1:8" ht="15.6">
      <c r="A617" s="193"/>
      <c r="B617" s="193"/>
      <c r="C617" s="193"/>
      <c r="D617" s="193"/>
      <c r="E617" s="193"/>
      <c r="F617" s="193"/>
      <c r="G617" s="193"/>
      <c r="H617" s="193"/>
    </row>
    <row r="618" spans="1:8" ht="15.6">
      <c r="A618" s="193"/>
      <c r="B618" s="193"/>
      <c r="C618" s="193"/>
      <c r="D618" s="193"/>
      <c r="E618" s="193"/>
      <c r="F618" s="193"/>
      <c r="G618" s="193"/>
      <c r="H618" s="193"/>
    </row>
    <row r="619" spans="1:8" ht="15.6">
      <c r="A619" s="193"/>
      <c r="B619" s="193"/>
      <c r="C619" s="193"/>
      <c r="D619" s="193"/>
      <c r="E619" s="193"/>
      <c r="F619" s="193"/>
      <c r="G619" s="193"/>
      <c r="H619" s="193"/>
    </row>
    <row r="620" spans="1:8" ht="15.6">
      <c r="A620" s="193"/>
      <c r="B620" s="193"/>
      <c r="C620" s="193"/>
      <c r="D620" s="193"/>
      <c r="E620" s="193"/>
      <c r="F620" s="193"/>
      <c r="G620" s="193"/>
      <c r="H620" s="193"/>
    </row>
    <row r="621" spans="1:8" ht="15.6">
      <c r="A621" s="193"/>
      <c r="B621" s="193"/>
      <c r="C621" s="193"/>
      <c r="D621" s="193"/>
      <c r="E621" s="193"/>
      <c r="F621" s="193"/>
      <c r="G621" s="193"/>
      <c r="H621" s="193"/>
    </row>
    <row r="622" spans="1:8" ht="15.6">
      <c r="A622" s="193"/>
      <c r="B622" s="193"/>
      <c r="C622" s="193"/>
      <c r="D622" s="193"/>
      <c r="E622" s="193"/>
      <c r="F622" s="193"/>
      <c r="G622" s="193"/>
      <c r="H622" s="193"/>
    </row>
    <row r="623" spans="1:8" ht="15.6">
      <c r="A623" s="193"/>
      <c r="B623" s="193"/>
      <c r="C623" s="193"/>
      <c r="D623" s="193"/>
      <c r="E623" s="193"/>
      <c r="F623" s="193"/>
      <c r="G623" s="193"/>
      <c r="H623" s="193"/>
    </row>
    <row r="624" spans="1:8" ht="15.6">
      <c r="A624" s="193"/>
      <c r="B624" s="193"/>
      <c r="C624" s="193"/>
      <c r="D624" s="193"/>
      <c r="E624" s="193"/>
      <c r="F624" s="193"/>
      <c r="G624" s="193"/>
      <c r="H624" s="193"/>
    </row>
    <row r="625" spans="1:8" ht="15.6">
      <c r="A625" s="193"/>
      <c r="B625" s="193"/>
      <c r="C625" s="193"/>
      <c r="D625" s="193"/>
      <c r="E625" s="193"/>
      <c r="F625" s="193"/>
      <c r="G625" s="193"/>
      <c r="H625" s="193"/>
    </row>
    <row r="626" spans="1:8" ht="15.6">
      <c r="A626" s="193"/>
      <c r="B626" s="193"/>
      <c r="C626" s="193"/>
      <c r="D626" s="193"/>
      <c r="E626" s="193"/>
      <c r="F626" s="193"/>
      <c r="G626" s="193"/>
      <c r="H626" s="193"/>
    </row>
    <row r="627" spans="1:8" ht="15.6">
      <c r="A627" s="193"/>
      <c r="B627" s="193"/>
      <c r="C627" s="193"/>
      <c r="D627" s="193"/>
      <c r="E627" s="193"/>
      <c r="F627" s="193"/>
      <c r="G627" s="193"/>
      <c r="H627" s="193"/>
    </row>
    <row r="628" spans="1:8" ht="15.6">
      <c r="A628" s="193"/>
      <c r="B628" s="193"/>
      <c r="C628" s="193"/>
      <c r="D628" s="193"/>
      <c r="E628" s="193"/>
      <c r="F628" s="193"/>
      <c r="G628" s="193"/>
      <c r="H628" s="193"/>
    </row>
    <row r="629" spans="1:8" ht="15.6">
      <c r="A629" s="193"/>
      <c r="B629" s="193"/>
      <c r="C629" s="193"/>
      <c r="D629" s="193"/>
      <c r="E629" s="193"/>
      <c r="F629" s="193"/>
      <c r="G629" s="193"/>
      <c r="H629" s="193"/>
    </row>
    <row r="630" spans="1:8" ht="15.6">
      <c r="A630" s="193"/>
      <c r="B630" s="193"/>
      <c r="C630" s="193"/>
      <c r="D630" s="193"/>
      <c r="E630" s="193"/>
      <c r="F630" s="193"/>
      <c r="G630" s="193"/>
      <c r="H630" s="193"/>
    </row>
    <row r="631" spans="1:8" ht="15.6">
      <c r="A631" s="193"/>
      <c r="B631" s="193"/>
      <c r="C631" s="193"/>
      <c r="D631" s="193"/>
      <c r="E631" s="193"/>
      <c r="F631" s="193"/>
      <c r="G631" s="193"/>
      <c r="H631" s="193"/>
    </row>
    <row r="632" spans="1:8" ht="15.6">
      <c r="A632" s="193"/>
      <c r="B632" s="193"/>
      <c r="C632" s="193"/>
      <c r="D632" s="193"/>
      <c r="E632" s="193"/>
      <c r="F632" s="193"/>
      <c r="G632" s="193"/>
      <c r="H632" s="193"/>
    </row>
    <row r="633" spans="1:8" ht="15.6">
      <c r="A633" s="193"/>
      <c r="B633" s="193"/>
      <c r="C633" s="193"/>
      <c r="D633" s="193"/>
      <c r="E633" s="193"/>
      <c r="F633" s="193"/>
      <c r="G633" s="193"/>
      <c r="H633" s="193"/>
    </row>
    <row r="634" spans="1:8" ht="15.6">
      <c r="A634" s="193"/>
      <c r="B634" s="193"/>
      <c r="C634" s="193"/>
      <c r="D634" s="193"/>
      <c r="E634" s="193"/>
      <c r="F634" s="193"/>
      <c r="G634" s="193"/>
      <c r="H634" s="193"/>
    </row>
    <row r="635" spans="1:8" ht="15.6">
      <c r="A635" s="193"/>
      <c r="B635" s="193"/>
      <c r="C635" s="193"/>
      <c r="D635" s="193"/>
      <c r="E635" s="193"/>
      <c r="F635" s="193"/>
      <c r="G635" s="193"/>
      <c r="H635" s="193"/>
    </row>
    <row r="636" spans="1:8" ht="15.6">
      <c r="A636" s="193"/>
      <c r="B636" s="193"/>
      <c r="C636" s="193"/>
      <c r="D636" s="193"/>
      <c r="E636" s="193"/>
      <c r="F636" s="193"/>
      <c r="G636" s="193"/>
      <c r="H636" s="193"/>
    </row>
    <row r="637" spans="1:8" ht="15.6">
      <c r="A637" s="193"/>
      <c r="B637" s="193"/>
      <c r="C637" s="193"/>
      <c r="D637" s="193"/>
      <c r="E637" s="193"/>
      <c r="F637" s="193"/>
      <c r="G637" s="193"/>
      <c r="H637" s="193"/>
    </row>
    <row r="638" spans="1:8" ht="15.6">
      <c r="A638" s="193"/>
      <c r="B638" s="193"/>
      <c r="C638" s="193"/>
      <c r="D638" s="193"/>
      <c r="E638" s="193"/>
      <c r="F638" s="193"/>
      <c r="G638" s="193"/>
      <c r="H638" s="193"/>
    </row>
    <row r="639" spans="1:8" ht="15.6">
      <c r="A639" s="193"/>
      <c r="B639" s="193"/>
      <c r="C639" s="193"/>
      <c r="D639" s="193"/>
      <c r="E639" s="193"/>
      <c r="F639" s="193"/>
      <c r="G639" s="193"/>
      <c r="H639" s="193"/>
    </row>
    <row r="640" spans="1:8" ht="15.6">
      <c r="A640" s="193"/>
      <c r="B640" s="193"/>
      <c r="C640" s="193"/>
      <c r="D640" s="193"/>
      <c r="E640" s="193"/>
      <c r="F640" s="193"/>
      <c r="G640" s="193"/>
      <c r="H640" s="193"/>
    </row>
    <row r="641" spans="1:8" ht="15.6">
      <c r="A641" s="193"/>
      <c r="B641" s="193"/>
      <c r="C641" s="193"/>
      <c r="D641" s="193"/>
      <c r="E641" s="193"/>
      <c r="F641" s="193"/>
      <c r="G641" s="193"/>
      <c r="H641" s="193"/>
    </row>
    <row r="642" spans="1:8" ht="15.6">
      <c r="A642" s="193"/>
      <c r="B642" s="193"/>
      <c r="C642" s="193"/>
      <c r="D642" s="193"/>
      <c r="E642" s="193"/>
      <c r="F642" s="193"/>
      <c r="G642" s="193"/>
      <c r="H642" s="193"/>
    </row>
    <row r="643" spans="1:8" ht="15.6">
      <c r="A643" s="193"/>
      <c r="B643" s="193"/>
      <c r="C643" s="193"/>
      <c r="D643" s="193"/>
      <c r="E643" s="193"/>
      <c r="F643" s="193"/>
      <c r="G643" s="193"/>
      <c r="H643" s="193"/>
    </row>
    <row r="644" spans="1:8" ht="15.6">
      <c r="A644" s="193"/>
      <c r="B644" s="193"/>
      <c r="C644" s="193"/>
      <c r="D644" s="193"/>
      <c r="E644" s="193"/>
      <c r="F644" s="193"/>
      <c r="G644" s="193"/>
      <c r="H644" s="193"/>
    </row>
    <row r="645" spans="1:8" ht="15.6">
      <c r="A645" s="193"/>
      <c r="B645" s="193"/>
      <c r="C645" s="193"/>
      <c r="D645" s="193"/>
      <c r="E645" s="193"/>
      <c r="F645" s="193"/>
      <c r="G645" s="193"/>
      <c r="H645" s="193"/>
    </row>
    <row r="646" spans="1:8" ht="15.6">
      <c r="A646" s="193"/>
      <c r="B646" s="193"/>
      <c r="C646" s="193"/>
      <c r="D646" s="193"/>
      <c r="E646" s="193"/>
      <c r="F646" s="193"/>
      <c r="G646" s="193"/>
      <c r="H646" s="193"/>
    </row>
    <row r="647" spans="1:8" ht="15.6">
      <c r="A647" s="193"/>
      <c r="B647" s="193"/>
      <c r="C647" s="193"/>
      <c r="D647" s="193"/>
      <c r="E647" s="193"/>
      <c r="F647" s="193"/>
      <c r="G647" s="193"/>
      <c r="H647" s="193"/>
    </row>
    <row r="648" spans="1:8" ht="15.6">
      <c r="A648" s="193"/>
      <c r="B648" s="193"/>
      <c r="C648" s="193"/>
      <c r="D648" s="193"/>
      <c r="E648" s="193"/>
      <c r="F648" s="193"/>
      <c r="G648" s="193"/>
      <c r="H648" s="193"/>
    </row>
    <row r="649" spans="1:8" ht="15.6">
      <c r="A649" s="193"/>
      <c r="B649" s="193"/>
      <c r="C649" s="193"/>
      <c r="D649" s="193"/>
      <c r="E649" s="193"/>
      <c r="F649" s="193"/>
      <c r="G649" s="193"/>
      <c r="H649" s="193"/>
    </row>
    <row r="650" spans="1:8" ht="15.6">
      <c r="A650" s="193"/>
      <c r="B650" s="193"/>
      <c r="C650" s="193"/>
      <c r="D650" s="193"/>
      <c r="E650" s="193"/>
      <c r="F650" s="193"/>
      <c r="G650" s="193"/>
      <c r="H650" s="193"/>
    </row>
    <row r="651" spans="1:8" ht="15.6">
      <c r="A651" s="193"/>
      <c r="B651" s="193"/>
      <c r="C651" s="193"/>
      <c r="D651" s="193"/>
      <c r="E651" s="193"/>
      <c r="F651" s="193"/>
      <c r="G651" s="193"/>
      <c r="H651" s="193"/>
    </row>
    <row r="652" spans="1:8" ht="15.6">
      <c r="A652" s="193"/>
      <c r="B652" s="193"/>
      <c r="C652" s="193"/>
      <c r="D652" s="193"/>
      <c r="E652" s="193"/>
      <c r="F652" s="193"/>
      <c r="G652" s="193"/>
      <c r="H652" s="193"/>
    </row>
    <row r="653" spans="1:8" ht="15.6">
      <c r="A653" s="193"/>
      <c r="B653" s="193"/>
      <c r="C653" s="193"/>
      <c r="D653" s="193"/>
      <c r="E653" s="193"/>
      <c r="F653" s="193"/>
      <c r="G653" s="193"/>
      <c r="H653" s="193"/>
    </row>
    <row r="654" spans="1:8" ht="15.6">
      <c r="A654" s="193"/>
      <c r="B654" s="193"/>
      <c r="C654" s="193"/>
      <c r="D654" s="193"/>
      <c r="E654" s="193"/>
      <c r="F654" s="193"/>
      <c r="G654" s="193"/>
      <c r="H654" s="193"/>
    </row>
    <row r="655" spans="1:8" ht="15.6">
      <c r="A655" s="193"/>
      <c r="B655" s="193"/>
      <c r="C655" s="193"/>
      <c r="D655" s="193"/>
      <c r="E655" s="193"/>
      <c r="F655" s="193"/>
      <c r="G655" s="193"/>
      <c r="H655" s="193"/>
    </row>
    <row r="656" spans="1:8" ht="15.6">
      <c r="A656" s="193"/>
      <c r="B656" s="193"/>
      <c r="C656" s="193"/>
      <c r="D656" s="193"/>
      <c r="E656" s="193"/>
      <c r="F656" s="193"/>
      <c r="G656" s="193"/>
      <c r="H656" s="193"/>
    </row>
    <row r="657" spans="1:8" ht="15.6">
      <c r="A657" s="193"/>
      <c r="B657" s="193"/>
      <c r="C657" s="193"/>
      <c r="D657" s="193"/>
      <c r="E657" s="193"/>
      <c r="F657" s="193"/>
      <c r="G657" s="193"/>
      <c r="H657" s="193"/>
    </row>
    <row r="658" spans="1:8" ht="15.6">
      <c r="A658" s="193"/>
      <c r="B658" s="193"/>
      <c r="C658" s="193"/>
      <c r="D658" s="193"/>
      <c r="E658" s="193"/>
      <c r="F658" s="193"/>
      <c r="G658" s="193"/>
      <c r="H658" s="193"/>
    </row>
    <row r="659" spans="1:8" ht="15.6">
      <c r="A659" s="193"/>
      <c r="B659" s="193"/>
      <c r="C659" s="193"/>
      <c r="D659" s="193"/>
      <c r="E659" s="193"/>
      <c r="F659" s="193"/>
      <c r="G659" s="193"/>
      <c r="H659" s="193"/>
    </row>
    <row r="660" spans="1:8" ht="15.6">
      <c r="A660" s="193"/>
      <c r="B660" s="193"/>
      <c r="C660" s="193"/>
      <c r="D660" s="193"/>
      <c r="E660" s="193"/>
      <c r="F660" s="193"/>
      <c r="G660" s="193"/>
      <c r="H660" s="193"/>
    </row>
    <row r="661" spans="1:8" ht="15.6">
      <c r="A661" s="193"/>
      <c r="B661" s="193"/>
      <c r="C661" s="193"/>
      <c r="D661" s="193"/>
      <c r="E661" s="193"/>
      <c r="F661" s="193"/>
      <c r="G661" s="193"/>
      <c r="H661" s="193"/>
    </row>
    <row r="662" spans="1:8" ht="15.6">
      <c r="A662" s="193"/>
      <c r="B662" s="193"/>
      <c r="C662" s="193"/>
      <c r="D662" s="193"/>
      <c r="E662" s="193"/>
      <c r="F662" s="193"/>
      <c r="G662" s="193"/>
      <c r="H662" s="193"/>
    </row>
    <row r="663" spans="1:8" ht="15.6">
      <c r="A663" s="193"/>
      <c r="B663" s="193"/>
      <c r="C663" s="193"/>
      <c r="D663" s="193"/>
      <c r="E663" s="193"/>
      <c r="F663" s="193"/>
      <c r="G663" s="193"/>
      <c r="H663" s="193"/>
    </row>
    <row r="664" spans="1:8" ht="15.6">
      <c r="A664" s="193"/>
      <c r="B664" s="193"/>
      <c r="C664" s="193"/>
      <c r="D664" s="193"/>
      <c r="E664" s="193"/>
      <c r="F664" s="193"/>
      <c r="G664" s="193"/>
      <c r="H664" s="193"/>
    </row>
    <row r="665" spans="1:8" ht="15.6">
      <c r="A665" s="193"/>
      <c r="B665" s="193"/>
      <c r="C665" s="193"/>
      <c r="D665" s="193"/>
      <c r="E665" s="193"/>
      <c r="F665" s="193"/>
      <c r="G665" s="193"/>
      <c r="H665" s="193"/>
    </row>
    <row r="666" spans="1:8" ht="15.6">
      <c r="A666" s="193"/>
      <c r="B666" s="193"/>
      <c r="C666" s="193"/>
      <c r="D666" s="193"/>
      <c r="E666" s="193"/>
      <c r="F666" s="193"/>
      <c r="G666" s="193"/>
      <c r="H666" s="193"/>
    </row>
    <row r="667" spans="1:8" ht="15.6">
      <c r="A667" s="193"/>
      <c r="B667" s="193"/>
      <c r="C667" s="193"/>
      <c r="D667" s="193"/>
      <c r="E667" s="193"/>
      <c r="F667" s="193"/>
      <c r="G667" s="193"/>
      <c r="H667" s="193"/>
    </row>
    <row r="668" spans="1:8" ht="15.6">
      <c r="A668" s="193"/>
      <c r="B668" s="193"/>
      <c r="C668" s="193"/>
      <c r="D668" s="193"/>
      <c r="E668" s="193"/>
      <c r="F668" s="193"/>
      <c r="G668" s="193"/>
      <c r="H668" s="193"/>
    </row>
    <row r="669" spans="1:8" ht="15.6">
      <c r="A669" s="193"/>
      <c r="B669" s="193"/>
      <c r="C669" s="193"/>
      <c r="D669" s="193"/>
      <c r="E669" s="193"/>
      <c r="F669" s="193"/>
      <c r="G669" s="193"/>
      <c r="H669" s="193"/>
    </row>
    <row r="670" spans="1:8" ht="15.6">
      <c r="A670" s="193"/>
      <c r="B670" s="193"/>
      <c r="C670" s="193"/>
      <c r="D670" s="193"/>
      <c r="E670" s="193"/>
      <c r="F670" s="193"/>
      <c r="G670" s="193"/>
      <c r="H670" s="193"/>
    </row>
    <row r="671" spans="1:8" ht="15.6">
      <c r="A671" s="193"/>
      <c r="B671" s="193"/>
      <c r="C671" s="193"/>
      <c r="D671" s="193"/>
      <c r="E671" s="193"/>
      <c r="F671" s="193"/>
      <c r="G671" s="193"/>
      <c r="H671" s="193"/>
    </row>
    <row r="672" spans="1:8" ht="15.6">
      <c r="A672" s="193"/>
      <c r="B672" s="193"/>
      <c r="C672" s="193"/>
      <c r="D672" s="193"/>
      <c r="E672" s="193"/>
      <c r="F672" s="193"/>
      <c r="G672" s="193"/>
      <c r="H672" s="193"/>
    </row>
    <row r="673" spans="1:8" ht="15.6">
      <c r="A673" s="193"/>
      <c r="B673" s="193"/>
      <c r="C673" s="193"/>
      <c r="D673" s="193"/>
      <c r="E673" s="193"/>
      <c r="F673" s="193"/>
      <c r="G673" s="193"/>
      <c r="H673" s="193"/>
    </row>
    <row r="674" spans="1:8" ht="15.6">
      <c r="A674" s="193"/>
      <c r="B674" s="193"/>
      <c r="C674" s="193"/>
      <c r="D674" s="193"/>
      <c r="E674" s="193"/>
      <c r="F674" s="193"/>
      <c r="G674" s="193"/>
      <c r="H674" s="193"/>
    </row>
    <row r="675" spans="1:8" ht="15.6">
      <c r="A675" s="193"/>
      <c r="B675" s="193"/>
      <c r="C675" s="193"/>
      <c r="D675" s="193"/>
      <c r="E675" s="193"/>
      <c r="F675" s="193"/>
      <c r="G675" s="193"/>
      <c r="H675" s="193"/>
    </row>
    <row r="676" spans="1:8" ht="15.6">
      <c r="A676" s="193"/>
      <c r="B676" s="193"/>
      <c r="C676" s="193"/>
      <c r="D676" s="193"/>
      <c r="E676" s="193"/>
      <c r="F676" s="193"/>
      <c r="G676" s="193"/>
      <c r="H676" s="193"/>
    </row>
    <row r="677" spans="1:8" ht="15.6">
      <c r="A677" s="193"/>
      <c r="B677" s="193"/>
      <c r="C677" s="193"/>
      <c r="D677" s="193"/>
      <c r="E677" s="193"/>
      <c r="F677" s="193"/>
      <c r="G677" s="193"/>
      <c r="H677" s="193"/>
    </row>
    <row r="678" spans="1:8" ht="15.6">
      <c r="A678" s="193"/>
      <c r="B678" s="193"/>
      <c r="C678" s="193"/>
      <c r="D678" s="193"/>
      <c r="E678" s="193"/>
      <c r="F678" s="193"/>
      <c r="G678" s="193"/>
      <c r="H678" s="193"/>
    </row>
    <row r="679" spans="1:8" ht="15.6">
      <c r="A679" s="193"/>
      <c r="B679" s="193"/>
      <c r="C679" s="193"/>
      <c r="D679" s="193"/>
      <c r="E679" s="193"/>
      <c r="F679" s="193"/>
      <c r="G679" s="193"/>
      <c r="H679" s="193"/>
    </row>
    <row r="680" spans="1:8" ht="15.6">
      <c r="A680" s="193"/>
      <c r="B680" s="193"/>
      <c r="C680" s="193"/>
      <c r="D680" s="193"/>
      <c r="E680" s="193"/>
      <c r="F680" s="193"/>
      <c r="G680" s="193"/>
      <c r="H680" s="193"/>
    </row>
    <row r="681" spans="1:8" ht="15.6">
      <c r="A681" s="193"/>
      <c r="B681" s="193"/>
      <c r="C681" s="193"/>
      <c r="D681" s="193"/>
      <c r="E681" s="193"/>
      <c r="F681" s="193"/>
      <c r="G681" s="193"/>
      <c r="H681" s="193"/>
    </row>
    <row r="682" spans="1:8" ht="15.6">
      <c r="A682" s="193"/>
      <c r="B682" s="193"/>
      <c r="C682" s="193"/>
      <c r="D682" s="193"/>
      <c r="E682" s="193"/>
      <c r="F682" s="193"/>
      <c r="G682" s="193"/>
      <c r="H682" s="193"/>
    </row>
    <row r="683" spans="1:8" ht="15.6">
      <c r="A683" s="193"/>
      <c r="B683" s="193"/>
      <c r="C683" s="193"/>
      <c r="D683" s="193"/>
      <c r="E683" s="193"/>
      <c r="F683" s="193"/>
      <c r="G683" s="193"/>
      <c r="H683" s="193"/>
    </row>
    <row r="684" spans="1:8" ht="15.6">
      <c r="A684" s="193"/>
      <c r="B684" s="193"/>
      <c r="C684" s="193"/>
      <c r="D684" s="193"/>
      <c r="E684" s="193"/>
      <c r="F684" s="193"/>
      <c r="G684" s="193"/>
      <c r="H684" s="193"/>
    </row>
    <row r="685" spans="1:8" ht="15.6">
      <c r="A685" s="193"/>
      <c r="B685" s="193"/>
      <c r="C685" s="193"/>
      <c r="D685" s="193"/>
      <c r="E685" s="193"/>
      <c r="F685" s="193"/>
      <c r="G685" s="193"/>
      <c r="H685" s="193"/>
    </row>
    <row r="686" spans="1:8" ht="15.6">
      <c r="A686" s="193"/>
      <c r="B686" s="193"/>
      <c r="C686" s="193"/>
      <c r="D686" s="193"/>
      <c r="E686" s="193"/>
      <c r="F686" s="193"/>
      <c r="G686" s="193"/>
      <c r="H686" s="193"/>
    </row>
    <row r="687" spans="1:8" ht="15.6">
      <c r="A687" s="193"/>
      <c r="B687" s="193"/>
      <c r="C687" s="193"/>
      <c r="D687" s="193"/>
      <c r="E687" s="193"/>
      <c r="F687" s="193"/>
      <c r="G687" s="193"/>
      <c r="H687" s="193"/>
    </row>
    <row r="688" spans="1:8" ht="15.6">
      <c r="A688" s="193"/>
      <c r="B688" s="193"/>
      <c r="C688" s="193"/>
      <c r="D688" s="193"/>
      <c r="E688" s="193"/>
      <c r="F688" s="193"/>
      <c r="G688" s="193"/>
      <c r="H688" s="193"/>
    </row>
    <row r="689" spans="1:8" ht="15.6">
      <c r="A689" s="193"/>
      <c r="B689" s="193"/>
      <c r="C689" s="193"/>
      <c r="D689" s="193"/>
      <c r="E689" s="193"/>
      <c r="F689" s="193"/>
      <c r="G689" s="193"/>
      <c r="H689" s="193"/>
    </row>
    <row r="690" spans="1:8" ht="15.6">
      <c r="A690" s="193"/>
      <c r="B690" s="193"/>
      <c r="C690" s="193"/>
      <c r="D690" s="193"/>
      <c r="E690" s="193"/>
      <c r="F690" s="193"/>
      <c r="G690" s="193"/>
      <c r="H690" s="193"/>
    </row>
    <row r="691" spans="1:8" ht="15.6">
      <c r="A691" s="193"/>
      <c r="B691" s="193"/>
      <c r="C691" s="193"/>
      <c r="D691" s="193"/>
      <c r="E691" s="193"/>
      <c r="F691" s="193"/>
      <c r="G691" s="193"/>
      <c r="H691" s="193"/>
    </row>
    <row r="692" spans="1:8" ht="15.6">
      <c r="A692" s="193"/>
      <c r="B692" s="193"/>
      <c r="C692" s="193"/>
      <c r="D692" s="193"/>
      <c r="E692" s="193"/>
      <c r="F692" s="193"/>
      <c r="G692" s="193"/>
      <c r="H692" s="193"/>
    </row>
    <row r="693" spans="1:8" ht="15.6">
      <c r="A693" s="193"/>
      <c r="B693" s="193"/>
      <c r="C693" s="193"/>
      <c r="D693" s="193"/>
      <c r="E693" s="193"/>
      <c r="F693" s="193"/>
      <c r="G693" s="193"/>
      <c r="H693" s="193"/>
    </row>
    <row r="694" spans="1:8" ht="15.6">
      <c r="A694" s="193"/>
      <c r="B694" s="193"/>
      <c r="C694" s="193"/>
      <c r="D694" s="193"/>
      <c r="E694" s="193"/>
      <c r="F694" s="193"/>
      <c r="G694" s="193"/>
      <c r="H694" s="193"/>
    </row>
    <row r="695" spans="1:8" ht="15.6">
      <c r="A695" s="193"/>
      <c r="B695" s="193"/>
      <c r="C695" s="193"/>
      <c r="D695" s="193"/>
      <c r="E695" s="193"/>
      <c r="F695" s="193"/>
      <c r="G695" s="193"/>
      <c r="H695" s="193"/>
    </row>
    <row r="696" spans="1:8" ht="15.6">
      <c r="A696" s="193"/>
      <c r="B696" s="193"/>
      <c r="C696" s="193"/>
      <c r="D696" s="193"/>
      <c r="E696" s="193"/>
      <c r="F696" s="193"/>
      <c r="G696" s="193"/>
      <c r="H696" s="193"/>
    </row>
    <row r="697" spans="1:8" ht="15.6">
      <c r="A697" s="193"/>
      <c r="B697" s="193"/>
      <c r="C697" s="193"/>
      <c r="D697" s="193"/>
      <c r="E697" s="193"/>
      <c r="F697" s="193"/>
      <c r="G697" s="193"/>
      <c r="H697" s="193"/>
    </row>
    <row r="698" spans="1:8" ht="15.6">
      <c r="A698" s="193"/>
      <c r="B698" s="193"/>
      <c r="C698" s="193"/>
      <c r="D698" s="193"/>
      <c r="E698" s="193"/>
      <c r="F698" s="193"/>
      <c r="G698" s="193"/>
      <c r="H698" s="193"/>
    </row>
    <row r="699" spans="1:8" ht="15.6">
      <c r="A699" s="193"/>
      <c r="B699" s="193"/>
      <c r="C699" s="193"/>
      <c r="D699" s="193"/>
      <c r="E699" s="193"/>
      <c r="F699" s="193"/>
      <c r="G699" s="193"/>
      <c r="H699" s="193"/>
    </row>
    <row r="700" spans="1:8" ht="15.6">
      <c r="A700" s="193"/>
      <c r="B700" s="193"/>
      <c r="C700" s="193"/>
      <c r="D700" s="193"/>
      <c r="E700" s="193"/>
      <c r="F700" s="193"/>
      <c r="G700" s="193"/>
      <c r="H700" s="193"/>
    </row>
    <row r="701" spans="1:8" ht="15.6">
      <c r="A701" s="193"/>
      <c r="B701" s="193"/>
      <c r="C701" s="193"/>
      <c r="D701" s="193"/>
      <c r="E701" s="193"/>
      <c r="F701" s="193"/>
      <c r="G701" s="193"/>
      <c r="H701" s="193"/>
    </row>
    <row r="702" spans="1:8" ht="15.6">
      <c r="A702" s="193"/>
      <c r="B702" s="193"/>
      <c r="C702" s="193"/>
      <c r="D702" s="193"/>
      <c r="E702" s="193"/>
      <c r="F702" s="193"/>
      <c r="G702" s="193"/>
      <c r="H702" s="193"/>
    </row>
    <row r="703" spans="1:8" ht="15.6">
      <c r="A703" s="193"/>
      <c r="B703" s="193"/>
      <c r="C703" s="193"/>
      <c r="D703" s="193"/>
      <c r="E703" s="193"/>
      <c r="F703" s="193"/>
      <c r="G703" s="193"/>
      <c r="H703" s="193"/>
    </row>
    <row r="704" spans="1:8" ht="15.6">
      <c r="A704" s="193"/>
      <c r="B704" s="193"/>
      <c r="C704" s="193"/>
      <c r="D704" s="193"/>
      <c r="E704" s="193"/>
      <c r="F704" s="193"/>
      <c r="G704" s="193"/>
      <c r="H704" s="193"/>
    </row>
    <row r="705" spans="1:8" ht="15.6">
      <c r="A705" s="193"/>
      <c r="B705" s="193"/>
      <c r="C705" s="193"/>
      <c r="D705" s="193"/>
      <c r="E705" s="193"/>
      <c r="F705" s="193"/>
      <c r="G705" s="193"/>
      <c r="H705" s="193"/>
    </row>
    <row r="706" spans="1:8" ht="15.6">
      <c r="A706" s="193"/>
      <c r="B706" s="193"/>
      <c r="C706" s="193"/>
      <c r="D706" s="193"/>
      <c r="E706" s="193"/>
      <c r="F706" s="193"/>
      <c r="G706" s="193"/>
      <c r="H706" s="193"/>
    </row>
    <row r="707" spans="1:8" ht="15.6">
      <c r="A707" s="193"/>
      <c r="B707" s="193"/>
      <c r="C707" s="193"/>
      <c r="D707" s="193"/>
      <c r="E707" s="193"/>
      <c r="F707" s="193"/>
      <c r="G707" s="193"/>
      <c r="H707" s="193"/>
    </row>
    <row r="708" spans="1:8" ht="15.6">
      <c r="A708" s="193"/>
      <c r="B708" s="193"/>
      <c r="C708" s="193"/>
      <c r="D708" s="193"/>
      <c r="E708" s="193"/>
      <c r="F708" s="193"/>
      <c r="G708" s="193"/>
      <c r="H708" s="193"/>
    </row>
    <row r="709" spans="1:8" ht="15.6">
      <c r="A709" s="193"/>
      <c r="B709" s="193"/>
      <c r="C709" s="193"/>
      <c r="D709" s="193"/>
      <c r="E709" s="193"/>
      <c r="F709" s="193"/>
      <c r="G709" s="193"/>
      <c r="H709" s="193"/>
    </row>
    <row r="710" spans="1:8" ht="15.6">
      <c r="A710" s="193"/>
      <c r="B710" s="193"/>
      <c r="C710" s="193"/>
      <c r="D710" s="193"/>
      <c r="E710" s="193"/>
      <c r="F710" s="193"/>
      <c r="G710" s="193"/>
      <c r="H710" s="193"/>
    </row>
    <row r="711" spans="1:8" ht="15.6">
      <c r="A711" s="193"/>
      <c r="B711" s="193"/>
      <c r="C711" s="193"/>
      <c r="D711" s="193"/>
      <c r="E711" s="193"/>
      <c r="F711" s="193"/>
      <c r="G711" s="193"/>
      <c r="H711" s="193"/>
    </row>
    <row r="712" spans="1:8" ht="15.6">
      <c r="A712" s="193"/>
      <c r="B712" s="193"/>
      <c r="C712" s="193"/>
      <c r="D712" s="193"/>
      <c r="E712" s="193"/>
      <c r="F712" s="193"/>
      <c r="G712" s="193"/>
      <c r="H712" s="193"/>
    </row>
    <row r="713" spans="1:8" ht="15.6">
      <c r="A713" s="193"/>
      <c r="B713" s="193"/>
      <c r="C713" s="193"/>
      <c r="D713" s="193"/>
      <c r="E713" s="193"/>
      <c r="F713" s="193"/>
      <c r="G713" s="193"/>
      <c r="H713" s="193"/>
    </row>
    <row r="714" spans="1:8" ht="15.6">
      <c r="A714" s="193"/>
      <c r="B714" s="193"/>
      <c r="C714" s="193"/>
      <c r="D714" s="193"/>
      <c r="E714" s="193"/>
      <c r="F714" s="193"/>
      <c r="G714" s="193"/>
      <c r="H714" s="193"/>
    </row>
    <row r="715" spans="1:8" ht="15.6">
      <c r="A715" s="193"/>
      <c r="B715" s="193"/>
      <c r="C715" s="193"/>
      <c r="D715" s="193"/>
      <c r="E715" s="193"/>
      <c r="F715" s="193"/>
      <c r="G715" s="193"/>
      <c r="H715" s="193"/>
    </row>
    <row r="716" spans="1:8" ht="15.6">
      <c r="A716" s="193"/>
      <c r="B716" s="193"/>
      <c r="C716" s="193"/>
      <c r="D716" s="193"/>
      <c r="E716" s="193"/>
      <c r="F716" s="193"/>
      <c r="G716" s="193"/>
      <c r="H716" s="193"/>
    </row>
    <row r="717" spans="1:8" ht="15.6">
      <c r="A717" s="193"/>
      <c r="B717" s="193"/>
      <c r="C717" s="193"/>
      <c r="D717" s="193"/>
      <c r="E717" s="193"/>
      <c r="F717" s="193"/>
      <c r="G717" s="193"/>
      <c r="H717" s="193"/>
    </row>
    <row r="718" spans="1:8" ht="15.6">
      <c r="A718" s="193"/>
      <c r="B718" s="193"/>
      <c r="C718" s="193"/>
      <c r="D718" s="193"/>
      <c r="E718" s="193"/>
      <c r="F718" s="193"/>
      <c r="G718" s="193"/>
      <c r="H718" s="193"/>
    </row>
    <row r="719" spans="1:8" ht="15.6">
      <c r="A719" s="193"/>
      <c r="B719" s="193"/>
      <c r="C719" s="193"/>
      <c r="D719" s="193"/>
      <c r="E719" s="193"/>
      <c r="F719" s="193"/>
      <c r="G719" s="193"/>
      <c r="H719" s="193"/>
    </row>
    <row r="720" spans="1:8" ht="15.6">
      <c r="A720" s="193"/>
      <c r="B720" s="193"/>
      <c r="C720" s="193"/>
      <c r="D720" s="193"/>
      <c r="E720" s="193"/>
      <c r="F720" s="193"/>
      <c r="G720" s="193"/>
      <c r="H720" s="193"/>
    </row>
    <row r="721" spans="1:8" ht="15.6">
      <c r="A721" s="193"/>
      <c r="B721" s="193"/>
      <c r="C721" s="193"/>
      <c r="D721" s="193"/>
      <c r="E721" s="193"/>
      <c r="F721" s="193"/>
      <c r="G721" s="193"/>
      <c r="H721" s="193"/>
    </row>
    <row r="722" spans="1:8" ht="15.6">
      <c r="A722" s="193"/>
      <c r="B722" s="193"/>
      <c r="C722" s="193"/>
      <c r="D722" s="193"/>
      <c r="E722" s="193"/>
      <c r="F722" s="193"/>
      <c r="G722" s="193"/>
      <c r="H722" s="193"/>
    </row>
    <row r="723" spans="1:8" ht="15.6">
      <c r="A723" s="193"/>
      <c r="B723" s="193"/>
      <c r="C723" s="193"/>
      <c r="D723" s="193"/>
      <c r="E723" s="193"/>
      <c r="F723" s="193"/>
      <c r="G723" s="193"/>
      <c r="H723" s="193"/>
    </row>
    <row r="724" spans="1:8" ht="15.6">
      <c r="A724" s="193"/>
      <c r="B724" s="193"/>
      <c r="C724" s="193"/>
      <c r="D724" s="193"/>
      <c r="E724" s="193"/>
      <c r="F724" s="193"/>
      <c r="G724" s="193"/>
      <c r="H724" s="193"/>
    </row>
    <row r="725" spans="1:8" ht="15.6">
      <c r="A725" s="193"/>
      <c r="B725" s="193"/>
      <c r="C725" s="193"/>
      <c r="D725" s="193"/>
      <c r="E725" s="193"/>
      <c r="F725" s="193"/>
      <c r="G725" s="193"/>
      <c r="H725" s="193"/>
    </row>
    <row r="726" spans="1:8" ht="15.6">
      <c r="A726" s="193"/>
      <c r="B726" s="193"/>
      <c r="C726" s="193"/>
      <c r="D726" s="193"/>
      <c r="E726" s="193"/>
      <c r="F726" s="193"/>
      <c r="G726" s="193"/>
      <c r="H726" s="193"/>
    </row>
    <row r="727" spans="1:8" ht="15.6">
      <c r="A727" s="193"/>
      <c r="B727" s="193"/>
      <c r="C727" s="193"/>
      <c r="D727" s="193"/>
      <c r="E727" s="193"/>
      <c r="F727" s="193"/>
      <c r="G727" s="193"/>
      <c r="H727" s="193"/>
    </row>
    <row r="728" spans="1:8" ht="15.6">
      <c r="A728" s="193"/>
      <c r="B728" s="193"/>
      <c r="C728" s="193"/>
      <c r="D728" s="193"/>
      <c r="E728" s="193"/>
      <c r="F728" s="193"/>
      <c r="G728" s="193"/>
      <c r="H728" s="193"/>
    </row>
    <row r="729" spans="1:8" ht="15.6">
      <c r="A729" s="193"/>
      <c r="B729" s="193"/>
      <c r="C729" s="193"/>
      <c r="D729" s="193"/>
      <c r="E729" s="193"/>
      <c r="F729" s="193"/>
      <c r="G729" s="193"/>
      <c r="H729" s="193"/>
    </row>
    <row r="730" spans="1:8" ht="15.6">
      <c r="A730" s="193"/>
      <c r="B730" s="193"/>
      <c r="C730" s="193"/>
      <c r="D730" s="193"/>
      <c r="E730" s="193"/>
      <c r="F730" s="193"/>
      <c r="G730" s="193"/>
      <c r="H730" s="193"/>
    </row>
    <row r="731" spans="1:8" ht="15.6">
      <c r="A731" s="193"/>
      <c r="B731" s="193"/>
      <c r="C731" s="193"/>
      <c r="D731" s="193"/>
      <c r="E731" s="193"/>
      <c r="F731" s="193"/>
      <c r="G731" s="193"/>
      <c r="H731" s="193"/>
    </row>
    <row r="732" spans="1:8" ht="15.6">
      <c r="A732" s="193"/>
      <c r="B732" s="193"/>
      <c r="C732" s="193"/>
      <c r="D732" s="193"/>
      <c r="E732" s="193"/>
      <c r="F732" s="193"/>
      <c r="G732" s="193"/>
      <c r="H732" s="193"/>
    </row>
    <row r="733" spans="1:8" ht="15.6">
      <c r="A733" s="193"/>
      <c r="B733" s="193"/>
      <c r="C733" s="193"/>
      <c r="D733" s="193"/>
      <c r="E733" s="193"/>
      <c r="F733" s="193"/>
      <c r="G733" s="193"/>
      <c r="H733" s="193"/>
    </row>
    <row r="734" spans="1:8" ht="15.6">
      <c r="A734" s="193"/>
      <c r="B734" s="193"/>
      <c r="C734" s="193"/>
      <c r="D734" s="193"/>
      <c r="E734" s="193"/>
      <c r="F734" s="193"/>
      <c r="G734" s="193"/>
      <c r="H734" s="193"/>
    </row>
    <row r="735" spans="1:8" ht="15.6">
      <c r="A735" s="193"/>
      <c r="B735" s="193"/>
      <c r="C735" s="193"/>
      <c r="D735" s="193"/>
      <c r="E735" s="193"/>
      <c r="F735" s="193"/>
      <c r="G735" s="193"/>
      <c r="H735" s="193"/>
    </row>
    <row r="736" spans="1:8" ht="15.6">
      <c r="A736" s="193"/>
      <c r="B736" s="193"/>
      <c r="C736" s="193"/>
      <c r="D736" s="193"/>
      <c r="E736" s="193"/>
      <c r="F736" s="193"/>
      <c r="G736" s="193"/>
      <c r="H736" s="193"/>
    </row>
    <row r="737" spans="1:8" ht="15.6">
      <c r="A737" s="193"/>
      <c r="B737" s="193"/>
      <c r="C737" s="193"/>
      <c r="D737" s="193"/>
      <c r="E737" s="193"/>
      <c r="F737" s="193"/>
      <c r="G737" s="193"/>
      <c r="H737" s="193"/>
    </row>
    <row r="738" spans="1:8" ht="15.6">
      <c r="A738" s="193"/>
      <c r="B738" s="193"/>
      <c r="C738" s="193"/>
      <c r="D738" s="193"/>
      <c r="E738" s="193"/>
      <c r="F738" s="193"/>
      <c r="G738" s="193"/>
      <c r="H738" s="193"/>
    </row>
    <row r="739" spans="1:8" ht="15.6">
      <c r="A739" s="193"/>
      <c r="B739" s="193"/>
      <c r="C739" s="193"/>
      <c r="D739" s="193"/>
      <c r="E739" s="193"/>
      <c r="F739" s="193"/>
      <c r="G739" s="193"/>
      <c r="H739" s="193"/>
    </row>
    <row r="740" spans="1:8" ht="15.6">
      <c r="A740" s="193"/>
      <c r="B740" s="193"/>
      <c r="C740" s="193"/>
      <c r="D740" s="193"/>
      <c r="E740" s="193"/>
      <c r="F740" s="193"/>
      <c r="G740" s="193"/>
      <c r="H740" s="193"/>
    </row>
    <row r="741" spans="1:8" ht="15.6">
      <c r="A741" s="193"/>
      <c r="B741" s="193"/>
      <c r="C741" s="193"/>
      <c r="D741" s="193"/>
      <c r="E741" s="193"/>
      <c r="F741" s="193"/>
      <c r="G741" s="193"/>
      <c r="H741" s="193"/>
    </row>
    <row r="742" spans="1:8" ht="15.6">
      <c r="A742" s="193"/>
      <c r="B742" s="193"/>
      <c r="C742" s="193"/>
      <c r="D742" s="193"/>
      <c r="E742" s="193"/>
      <c r="F742" s="193"/>
      <c r="G742" s="193"/>
      <c r="H742" s="193"/>
    </row>
    <row r="743" spans="1:8" ht="15.6">
      <c r="A743" s="193"/>
      <c r="B743" s="193"/>
      <c r="C743" s="193"/>
      <c r="D743" s="193"/>
      <c r="E743" s="193"/>
      <c r="F743" s="193"/>
      <c r="G743" s="193"/>
      <c r="H743" s="193"/>
    </row>
    <row r="744" spans="1:8" ht="15.6">
      <c r="A744" s="193"/>
      <c r="B744" s="193"/>
      <c r="C744" s="193"/>
      <c r="D744" s="193"/>
      <c r="E744" s="193"/>
      <c r="F744" s="193"/>
      <c r="G744" s="193"/>
      <c r="H744" s="193"/>
    </row>
    <row r="745" spans="1:8" ht="15.6">
      <c r="A745" s="193"/>
      <c r="B745" s="193"/>
      <c r="C745" s="193"/>
      <c r="D745" s="193"/>
      <c r="E745" s="193"/>
      <c r="F745" s="193"/>
      <c r="G745" s="193"/>
      <c r="H745" s="193"/>
    </row>
    <row r="746" spans="1:8" ht="15.6">
      <c r="A746" s="193"/>
      <c r="B746" s="193"/>
      <c r="C746" s="193"/>
      <c r="D746" s="193"/>
      <c r="E746" s="193"/>
      <c r="F746" s="193"/>
      <c r="G746" s="193"/>
      <c r="H746" s="193"/>
    </row>
    <row r="747" spans="1:8" ht="15.6">
      <c r="A747" s="193"/>
      <c r="B747" s="193"/>
      <c r="C747" s="193"/>
      <c r="D747" s="193"/>
      <c r="E747" s="193"/>
      <c r="F747" s="193"/>
      <c r="G747" s="193"/>
      <c r="H747" s="193"/>
    </row>
    <row r="748" spans="1:8" ht="15.6">
      <c r="A748" s="193"/>
      <c r="B748" s="193"/>
      <c r="C748" s="193"/>
      <c r="D748" s="193"/>
      <c r="E748" s="193"/>
      <c r="F748" s="193"/>
      <c r="G748" s="193"/>
      <c r="H748" s="193"/>
    </row>
    <row r="749" spans="1:8" ht="15.6">
      <c r="A749" s="193"/>
      <c r="B749" s="193"/>
      <c r="C749" s="193"/>
      <c r="D749" s="193"/>
      <c r="E749" s="193"/>
      <c r="F749" s="193"/>
      <c r="G749" s="193"/>
      <c r="H749" s="193"/>
    </row>
    <row r="750" spans="1:8" ht="15.6">
      <c r="A750" s="193"/>
      <c r="B750" s="193"/>
      <c r="C750" s="193"/>
      <c r="D750" s="193"/>
      <c r="E750" s="193"/>
      <c r="F750" s="193"/>
      <c r="G750" s="193"/>
      <c r="H750" s="193"/>
    </row>
    <row r="751" spans="1:8" ht="15.6">
      <c r="A751" s="193"/>
      <c r="B751" s="193"/>
      <c r="C751" s="193"/>
      <c r="D751" s="193"/>
      <c r="E751" s="193"/>
      <c r="F751" s="193"/>
      <c r="G751" s="193"/>
      <c r="H751" s="193"/>
    </row>
    <row r="752" spans="1:8" ht="15.6">
      <c r="A752" s="193"/>
      <c r="B752" s="193"/>
      <c r="C752" s="193"/>
      <c r="D752" s="193"/>
      <c r="E752" s="193"/>
      <c r="F752" s="193"/>
      <c r="G752" s="193"/>
      <c r="H752" s="193"/>
    </row>
    <row r="753" spans="1:8" ht="15.6">
      <c r="A753" s="193"/>
      <c r="B753" s="193"/>
      <c r="C753" s="193"/>
      <c r="D753" s="193"/>
      <c r="E753" s="193"/>
      <c r="F753" s="193"/>
      <c r="G753" s="193"/>
      <c r="H753" s="193"/>
    </row>
    <row r="754" spans="1:8" ht="15.6">
      <c r="A754" s="193"/>
      <c r="B754" s="193"/>
      <c r="C754" s="193"/>
      <c r="D754" s="193"/>
      <c r="E754" s="193"/>
      <c r="F754" s="193"/>
      <c r="G754" s="193"/>
      <c r="H754" s="193"/>
    </row>
    <row r="755" spans="1:8" ht="15.6">
      <c r="A755" s="193"/>
      <c r="B755" s="193"/>
      <c r="C755" s="193"/>
      <c r="D755" s="193"/>
      <c r="E755" s="193"/>
      <c r="F755" s="193"/>
      <c r="G755" s="193"/>
      <c r="H755" s="193"/>
    </row>
    <row r="756" spans="1:8" ht="15.6">
      <c r="A756" s="193"/>
      <c r="B756" s="193"/>
      <c r="C756" s="193"/>
      <c r="D756" s="193"/>
      <c r="E756" s="193"/>
      <c r="F756" s="193"/>
      <c r="G756" s="193"/>
      <c r="H756" s="193"/>
    </row>
    <row r="757" spans="1:8" ht="15.6">
      <c r="A757" s="193"/>
      <c r="B757" s="193"/>
      <c r="C757" s="193"/>
      <c r="D757" s="193"/>
      <c r="E757" s="193"/>
      <c r="F757" s="193"/>
      <c r="G757" s="193"/>
      <c r="H757" s="193"/>
    </row>
    <row r="758" spans="1:8" ht="15.6">
      <c r="A758" s="193"/>
      <c r="B758" s="193"/>
      <c r="C758" s="193"/>
      <c r="D758" s="193"/>
      <c r="E758" s="193"/>
      <c r="F758" s="193"/>
      <c r="G758" s="193"/>
      <c r="H758" s="193"/>
    </row>
    <row r="759" spans="1:8" ht="15.6">
      <c r="A759" s="193"/>
      <c r="B759" s="193"/>
      <c r="C759" s="193"/>
      <c r="D759" s="193"/>
      <c r="E759" s="193"/>
      <c r="F759" s="193"/>
      <c r="G759" s="193"/>
      <c r="H759" s="193"/>
    </row>
    <row r="760" spans="1:8" ht="15.6">
      <c r="A760" s="193"/>
      <c r="B760" s="193"/>
      <c r="C760" s="193"/>
      <c r="D760" s="193"/>
      <c r="E760" s="193"/>
      <c r="F760" s="193"/>
      <c r="G760" s="193"/>
      <c r="H760" s="193"/>
    </row>
    <row r="761" spans="1:8" ht="15.6">
      <c r="A761" s="193"/>
      <c r="B761" s="193"/>
      <c r="C761" s="193"/>
      <c r="D761" s="193"/>
      <c r="E761" s="193"/>
      <c r="F761" s="193"/>
      <c r="G761" s="193"/>
      <c r="H761" s="193"/>
    </row>
    <row r="762" spans="1:8" ht="15.6">
      <c r="A762" s="193"/>
      <c r="B762" s="193"/>
      <c r="C762" s="193"/>
      <c r="D762" s="193"/>
      <c r="E762" s="193"/>
      <c r="F762" s="193"/>
      <c r="G762" s="193"/>
      <c r="H762" s="193"/>
    </row>
    <row r="763" spans="1:8" ht="15.6">
      <c r="A763" s="193"/>
      <c r="B763" s="193"/>
      <c r="C763" s="193"/>
      <c r="D763" s="193"/>
      <c r="E763" s="193"/>
      <c r="F763" s="193"/>
      <c r="G763" s="193"/>
      <c r="H763" s="193"/>
    </row>
    <row r="764" spans="1:8" ht="15.6">
      <c r="A764" s="193"/>
      <c r="B764" s="193"/>
      <c r="C764" s="193"/>
      <c r="D764" s="193"/>
      <c r="E764" s="193"/>
      <c r="F764" s="193"/>
      <c r="G764" s="193"/>
      <c r="H764" s="193"/>
    </row>
    <row r="765" spans="1:8" ht="15.6">
      <c r="A765" s="193"/>
      <c r="B765" s="193"/>
      <c r="C765" s="193"/>
      <c r="D765" s="193"/>
      <c r="E765" s="193"/>
      <c r="F765" s="193"/>
      <c r="G765" s="193"/>
      <c r="H765" s="193"/>
    </row>
    <row r="766" spans="1:8" ht="15.6">
      <c r="A766" s="193"/>
      <c r="B766" s="193"/>
      <c r="C766" s="193"/>
      <c r="D766" s="193"/>
      <c r="E766" s="193"/>
      <c r="F766" s="193"/>
      <c r="G766" s="193"/>
      <c r="H766" s="193"/>
    </row>
    <row r="767" spans="1:8" ht="15.6">
      <c r="A767" s="193"/>
      <c r="B767" s="193"/>
      <c r="C767" s="193"/>
      <c r="D767" s="193"/>
      <c r="E767" s="193"/>
      <c r="F767" s="193"/>
      <c r="G767" s="193"/>
      <c r="H767" s="193"/>
    </row>
    <row r="768" spans="1:8" ht="15.6">
      <c r="A768" s="193"/>
      <c r="B768" s="193"/>
      <c r="C768" s="193"/>
      <c r="D768" s="193"/>
      <c r="E768" s="193"/>
      <c r="F768" s="193"/>
      <c r="G768" s="193"/>
      <c r="H768" s="193"/>
    </row>
    <row r="769" spans="1:8" ht="15.6">
      <c r="A769" s="193"/>
      <c r="B769" s="193"/>
      <c r="C769" s="193"/>
      <c r="D769" s="193"/>
      <c r="E769" s="193"/>
      <c r="F769" s="193"/>
      <c r="G769" s="193"/>
      <c r="H769" s="193"/>
    </row>
    <row r="770" spans="1:8" ht="15.6">
      <c r="A770" s="193"/>
      <c r="B770" s="193"/>
      <c r="C770" s="193"/>
      <c r="D770" s="193"/>
      <c r="E770" s="193"/>
      <c r="F770" s="193"/>
      <c r="G770" s="193"/>
      <c r="H770" s="193"/>
    </row>
    <row r="771" spans="1:8" ht="15.6">
      <c r="A771" s="193"/>
      <c r="B771" s="193"/>
      <c r="C771" s="193"/>
      <c r="D771" s="193"/>
      <c r="E771" s="193"/>
      <c r="F771" s="193"/>
      <c r="G771" s="193"/>
      <c r="H771" s="193"/>
    </row>
    <row r="772" spans="1:8" ht="15.6">
      <c r="A772" s="193"/>
      <c r="B772" s="193"/>
      <c r="C772" s="193"/>
      <c r="D772" s="193"/>
      <c r="E772" s="193"/>
      <c r="F772" s="193"/>
      <c r="G772" s="193"/>
      <c r="H772" s="193"/>
    </row>
    <row r="773" spans="1:8" ht="15.6">
      <c r="A773" s="193"/>
      <c r="B773" s="193"/>
      <c r="C773" s="193"/>
      <c r="D773" s="193"/>
      <c r="E773" s="193"/>
      <c r="F773" s="193"/>
      <c r="G773" s="193"/>
      <c r="H773" s="193"/>
    </row>
    <row r="774" spans="1:8" ht="15.6">
      <c r="A774" s="193"/>
      <c r="B774" s="193"/>
      <c r="C774" s="193"/>
      <c r="D774" s="193"/>
      <c r="E774" s="193"/>
      <c r="F774" s="193"/>
      <c r="G774" s="193"/>
      <c r="H774" s="193"/>
    </row>
    <row r="775" spans="1:8" ht="15.6">
      <c r="A775" s="193"/>
      <c r="B775" s="193"/>
      <c r="C775" s="193"/>
      <c r="D775" s="193"/>
      <c r="E775" s="193"/>
      <c r="F775" s="193"/>
      <c r="G775" s="193"/>
      <c r="H775" s="193"/>
    </row>
    <row r="776" spans="1:8" ht="15.6">
      <c r="A776" s="193"/>
      <c r="B776" s="193"/>
      <c r="C776" s="193"/>
      <c r="D776" s="193"/>
      <c r="E776" s="193"/>
      <c r="F776" s="193"/>
      <c r="G776" s="193"/>
      <c r="H776" s="193"/>
    </row>
    <row r="777" spans="1:8" ht="15.6">
      <c r="A777" s="193"/>
      <c r="B777" s="193"/>
      <c r="C777" s="193"/>
      <c r="D777" s="193"/>
      <c r="E777" s="193"/>
      <c r="F777" s="193"/>
      <c r="G777" s="193"/>
      <c r="H777" s="193"/>
    </row>
    <row r="778" spans="1:8" ht="15.6">
      <c r="A778" s="193"/>
      <c r="B778" s="193"/>
      <c r="C778" s="193"/>
      <c r="D778" s="193"/>
      <c r="E778" s="193"/>
      <c r="F778" s="193"/>
      <c r="G778" s="193"/>
      <c r="H778" s="193"/>
    </row>
    <row r="779" spans="1:8" ht="15.6">
      <c r="A779" s="193"/>
      <c r="B779" s="193"/>
      <c r="C779" s="193"/>
      <c r="D779" s="193"/>
      <c r="E779" s="193"/>
      <c r="F779" s="193"/>
      <c r="G779" s="193"/>
      <c r="H779" s="193"/>
    </row>
    <row r="780" spans="1:8" ht="15.6">
      <c r="A780" s="193"/>
      <c r="B780" s="193"/>
      <c r="C780" s="193"/>
      <c r="D780" s="193"/>
      <c r="E780" s="193"/>
      <c r="F780" s="193"/>
      <c r="G780" s="193"/>
      <c r="H780" s="193"/>
    </row>
    <row r="781" spans="1:8" ht="15.6">
      <c r="A781" s="193"/>
      <c r="B781" s="193"/>
      <c r="C781" s="193"/>
      <c r="D781" s="193"/>
      <c r="E781" s="193"/>
      <c r="F781" s="193"/>
      <c r="G781" s="193"/>
      <c r="H781" s="193"/>
    </row>
    <row r="782" spans="1:8" ht="15.6">
      <c r="A782" s="193"/>
      <c r="B782" s="193"/>
      <c r="C782" s="193"/>
      <c r="D782" s="193"/>
      <c r="E782" s="193"/>
      <c r="F782" s="193"/>
      <c r="G782" s="193"/>
      <c r="H782" s="193"/>
    </row>
    <row r="783" spans="1:8" ht="15.6">
      <c r="A783" s="193"/>
      <c r="B783" s="193"/>
      <c r="C783" s="193"/>
      <c r="D783" s="193"/>
      <c r="E783" s="193"/>
      <c r="F783" s="193"/>
      <c r="G783" s="193"/>
      <c r="H783" s="193"/>
    </row>
    <row r="784" spans="1:8" ht="15.6">
      <c r="A784" s="193"/>
      <c r="B784" s="193"/>
      <c r="C784" s="193"/>
      <c r="D784" s="193"/>
      <c r="E784" s="193"/>
      <c r="F784" s="193"/>
      <c r="G784" s="193"/>
      <c r="H784" s="193"/>
    </row>
    <row r="785" spans="1:8" ht="15.6">
      <c r="A785" s="193"/>
      <c r="B785" s="193"/>
      <c r="C785" s="193"/>
      <c r="D785" s="193"/>
      <c r="E785" s="193"/>
      <c r="F785" s="193"/>
      <c r="G785" s="193"/>
      <c r="H785" s="193"/>
    </row>
    <row r="786" spans="1:8" ht="15.6">
      <c r="A786" s="193"/>
      <c r="B786" s="193"/>
      <c r="C786" s="193"/>
      <c r="D786" s="193"/>
      <c r="E786" s="193"/>
      <c r="F786" s="193"/>
      <c r="G786" s="193"/>
      <c r="H786" s="193"/>
    </row>
    <row r="787" spans="1:8" ht="15.6">
      <c r="A787" s="193"/>
      <c r="B787" s="193"/>
      <c r="C787" s="193"/>
      <c r="D787" s="193"/>
      <c r="E787" s="193"/>
      <c r="F787" s="193"/>
      <c r="G787" s="193"/>
      <c r="H787" s="193"/>
    </row>
    <row r="788" spans="1:8" ht="15.6">
      <c r="A788" s="193"/>
      <c r="B788" s="193"/>
      <c r="C788" s="193"/>
      <c r="D788" s="193"/>
      <c r="E788" s="193"/>
      <c r="F788" s="193"/>
      <c r="G788" s="193"/>
      <c r="H788" s="193"/>
    </row>
    <row r="789" spans="1:8" ht="15.6">
      <c r="A789" s="193"/>
      <c r="B789" s="193"/>
      <c r="C789" s="193"/>
      <c r="D789" s="193"/>
      <c r="E789" s="193"/>
      <c r="F789" s="193"/>
      <c r="G789" s="193"/>
      <c r="H789" s="193"/>
    </row>
    <row r="790" spans="1:8" ht="15.6">
      <c r="A790" s="193"/>
      <c r="B790" s="193"/>
      <c r="C790" s="193"/>
      <c r="D790" s="193"/>
      <c r="E790" s="193"/>
      <c r="F790" s="193"/>
      <c r="G790" s="193"/>
      <c r="H790" s="193"/>
    </row>
    <row r="791" spans="1:8" ht="15.6">
      <c r="A791" s="193"/>
      <c r="B791" s="193"/>
      <c r="C791" s="193"/>
      <c r="D791" s="193"/>
      <c r="E791" s="193"/>
      <c r="F791" s="193"/>
      <c r="G791" s="193"/>
      <c r="H791" s="193"/>
    </row>
    <row r="792" spans="1:8" ht="15.6">
      <c r="A792" s="193"/>
      <c r="B792" s="193"/>
      <c r="C792" s="193"/>
      <c r="D792" s="193"/>
      <c r="E792" s="193"/>
      <c r="F792" s="193"/>
      <c r="G792" s="193"/>
      <c r="H792" s="193"/>
    </row>
    <row r="793" spans="1:8" ht="15.6">
      <c r="A793" s="193"/>
      <c r="B793" s="193"/>
      <c r="C793" s="193"/>
      <c r="D793" s="193"/>
      <c r="E793" s="193"/>
      <c r="F793" s="193"/>
      <c r="G793" s="193"/>
      <c r="H793" s="193"/>
    </row>
    <row r="794" spans="1:8" ht="15.6">
      <c r="A794" s="193"/>
      <c r="B794" s="193"/>
      <c r="C794" s="193"/>
      <c r="D794" s="193"/>
      <c r="E794" s="193"/>
      <c r="F794" s="193"/>
      <c r="G794" s="193"/>
      <c r="H794" s="193"/>
    </row>
    <row r="795" spans="1:8" ht="15.6">
      <c r="A795" s="193"/>
      <c r="B795" s="193"/>
      <c r="C795" s="193"/>
      <c r="D795" s="193"/>
      <c r="E795" s="193"/>
      <c r="F795" s="193"/>
      <c r="G795" s="193"/>
      <c r="H795" s="193"/>
    </row>
    <row r="796" spans="1:8" ht="15.6">
      <c r="A796" s="193"/>
      <c r="B796" s="193"/>
      <c r="C796" s="193"/>
      <c r="D796" s="193"/>
      <c r="E796" s="193"/>
      <c r="F796" s="193"/>
      <c r="G796" s="193"/>
      <c r="H796" s="193"/>
    </row>
    <row r="797" spans="1:8" ht="15.6">
      <c r="A797" s="193"/>
      <c r="B797" s="193"/>
      <c r="C797" s="193"/>
      <c r="D797" s="193"/>
      <c r="E797" s="193"/>
      <c r="F797" s="193"/>
      <c r="G797" s="193"/>
      <c r="H797" s="193"/>
    </row>
    <row r="798" spans="1:8" ht="15.6">
      <c r="A798" s="193"/>
      <c r="B798" s="193"/>
      <c r="C798" s="193"/>
      <c r="D798" s="193"/>
      <c r="E798" s="193"/>
      <c r="F798" s="193"/>
      <c r="G798" s="193"/>
      <c r="H798" s="193"/>
    </row>
    <row r="799" spans="1:8" ht="15.6">
      <c r="A799" s="193"/>
      <c r="B799" s="193"/>
      <c r="C799" s="193"/>
      <c r="D799" s="193"/>
      <c r="E799" s="193"/>
      <c r="F799" s="193"/>
      <c r="G799" s="193"/>
      <c r="H799" s="193"/>
    </row>
    <row r="800" spans="1:8" ht="15.6">
      <c r="A800" s="193"/>
      <c r="B800" s="193"/>
      <c r="C800" s="193"/>
      <c r="D800" s="193"/>
      <c r="E800" s="193"/>
      <c r="F800" s="193"/>
      <c r="G800" s="193"/>
      <c r="H800" s="193"/>
    </row>
    <row r="801" spans="1:8" ht="15.6">
      <c r="A801" s="193"/>
      <c r="B801" s="193"/>
      <c r="C801" s="193"/>
      <c r="D801" s="193"/>
      <c r="E801" s="193"/>
      <c r="F801" s="193"/>
      <c r="G801" s="193"/>
      <c r="H801" s="193"/>
    </row>
    <row r="802" spans="1:8" ht="15.6">
      <c r="A802" s="193"/>
      <c r="B802" s="193"/>
      <c r="C802" s="193"/>
      <c r="D802" s="193"/>
      <c r="E802" s="193"/>
      <c r="F802" s="193"/>
      <c r="G802" s="193"/>
      <c r="H802" s="193"/>
    </row>
    <row r="803" spans="1:8" ht="15.6">
      <c r="A803" s="193"/>
      <c r="B803" s="193"/>
      <c r="C803" s="193"/>
      <c r="D803" s="193"/>
      <c r="E803" s="193"/>
      <c r="F803" s="193"/>
      <c r="G803" s="193"/>
      <c r="H803" s="193"/>
    </row>
    <row r="804" spans="1:8" ht="15.6">
      <c r="A804" s="193"/>
      <c r="B804" s="193"/>
      <c r="C804" s="193"/>
      <c r="D804" s="193"/>
      <c r="E804" s="193"/>
      <c r="F804" s="193"/>
      <c r="G804" s="193"/>
      <c r="H804" s="193"/>
    </row>
    <row r="805" spans="1:8" ht="15.6">
      <c r="A805" s="193"/>
      <c r="B805" s="193"/>
      <c r="C805" s="193"/>
      <c r="D805" s="193"/>
      <c r="E805" s="193"/>
      <c r="F805" s="193"/>
      <c r="G805" s="193"/>
      <c r="H805" s="193"/>
    </row>
    <row r="806" spans="1:8" ht="15.6">
      <c r="A806" s="193"/>
      <c r="B806" s="193"/>
      <c r="C806" s="193"/>
      <c r="D806" s="193"/>
      <c r="E806" s="193"/>
      <c r="F806" s="193"/>
      <c r="G806" s="193"/>
      <c r="H806" s="193"/>
    </row>
    <row r="807" spans="1:8" ht="15.6">
      <c r="A807" s="193"/>
      <c r="B807" s="193"/>
      <c r="C807" s="193"/>
      <c r="D807" s="193"/>
      <c r="E807" s="193"/>
      <c r="F807" s="193"/>
      <c r="G807" s="193"/>
      <c r="H807" s="193"/>
    </row>
    <row r="808" spans="1:8" ht="15.6">
      <c r="A808" s="193"/>
      <c r="B808" s="193"/>
      <c r="C808" s="193"/>
      <c r="D808" s="193"/>
      <c r="E808" s="193"/>
      <c r="F808" s="193"/>
      <c r="G808" s="193"/>
      <c r="H808" s="193"/>
    </row>
    <row r="809" spans="1:8" ht="15.6">
      <c r="A809" s="193"/>
      <c r="B809" s="193"/>
      <c r="C809" s="193"/>
      <c r="D809" s="193"/>
      <c r="E809" s="193"/>
      <c r="F809" s="193"/>
      <c r="G809" s="193"/>
      <c r="H809" s="193"/>
    </row>
    <row r="810" spans="1:8" ht="15.6">
      <c r="A810" s="193"/>
      <c r="B810" s="193"/>
      <c r="C810" s="193"/>
      <c r="D810" s="193"/>
      <c r="E810" s="193"/>
      <c r="F810" s="193"/>
      <c r="G810" s="193"/>
      <c r="H810" s="193"/>
    </row>
    <row r="811" spans="1:8" ht="15.6">
      <c r="A811" s="193"/>
      <c r="B811" s="193"/>
      <c r="C811" s="193"/>
      <c r="D811" s="193"/>
      <c r="E811" s="193"/>
      <c r="F811" s="193"/>
      <c r="G811" s="193"/>
      <c r="H811" s="193"/>
    </row>
    <row r="812" spans="1:8" ht="15.6">
      <c r="A812" s="193"/>
      <c r="B812" s="193"/>
      <c r="C812" s="193"/>
      <c r="D812" s="193"/>
      <c r="E812" s="193"/>
      <c r="F812" s="193"/>
      <c r="G812" s="193"/>
      <c r="H812" s="193"/>
    </row>
    <row r="813" spans="1:8" ht="15.6">
      <c r="A813" s="193"/>
      <c r="B813" s="193"/>
      <c r="C813" s="193"/>
      <c r="D813" s="193"/>
      <c r="E813" s="193"/>
      <c r="F813" s="193"/>
      <c r="G813" s="193"/>
      <c r="H813" s="193"/>
    </row>
    <row r="814" spans="1:8" ht="15.6">
      <c r="A814" s="193"/>
      <c r="B814" s="193"/>
      <c r="C814" s="193"/>
      <c r="D814" s="193"/>
      <c r="E814" s="193"/>
      <c r="F814" s="193"/>
      <c r="G814" s="193"/>
      <c r="H814" s="193"/>
    </row>
    <row r="815" spans="1:8" ht="15.6">
      <c r="A815" s="193"/>
      <c r="B815" s="193"/>
      <c r="C815" s="193"/>
      <c r="D815" s="193"/>
      <c r="E815" s="193"/>
      <c r="F815" s="193"/>
      <c r="G815" s="193"/>
      <c r="H815" s="193"/>
    </row>
    <row r="816" spans="1:8" ht="15.6">
      <c r="A816" s="193"/>
      <c r="B816" s="193"/>
      <c r="C816" s="193"/>
      <c r="D816" s="193"/>
      <c r="E816" s="193"/>
      <c r="F816" s="193"/>
      <c r="G816" s="193"/>
      <c r="H816" s="193"/>
    </row>
    <row r="817" spans="1:8" ht="15.6">
      <c r="A817" s="193"/>
      <c r="B817" s="193"/>
      <c r="C817" s="193"/>
      <c r="D817" s="193"/>
      <c r="E817" s="193"/>
      <c r="F817" s="193"/>
      <c r="G817" s="193"/>
      <c r="H817" s="193"/>
    </row>
    <row r="818" spans="1:8" ht="15.6">
      <c r="A818" s="193"/>
      <c r="B818" s="193"/>
      <c r="C818" s="193"/>
      <c r="D818" s="193"/>
      <c r="E818" s="193"/>
      <c r="F818" s="193"/>
      <c r="G818" s="193"/>
      <c r="H818" s="193"/>
    </row>
    <row r="819" spans="1:8" ht="15.6">
      <c r="A819" s="193"/>
      <c r="B819" s="193"/>
      <c r="C819" s="193"/>
      <c r="D819" s="193"/>
      <c r="E819" s="193"/>
      <c r="F819" s="193"/>
      <c r="G819" s="193"/>
      <c r="H819" s="193"/>
    </row>
    <row r="820" spans="1:8" ht="15.6">
      <c r="A820" s="193"/>
      <c r="B820" s="193"/>
      <c r="C820" s="193"/>
      <c r="D820" s="193"/>
      <c r="E820" s="193"/>
      <c r="F820" s="193"/>
      <c r="G820" s="193"/>
      <c r="H820" s="193"/>
    </row>
    <row r="821" spans="1:8" ht="15.6">
      <c r="A821" s="193"/>
      <c r="B821" s="193"/>
      <c r="C821" s="193"/>
      <c r="D821" s="193"/>
      <c r="E821" s="193"/>
      <c r="F821" s="193"/>
      <c r="G821" s="193"/>
      <c r="H821" s="193"/>
    </row>
    <row r="822" spans="1:8" ht="15.6">
      <c r="A822" s="193"/>
      <c r="B822" s="193"/>
      <c r="C822" s="193"/>
      <c r="D822" s="193"/>
      <c r="E822" s="193"/>
      <c r="F822" s="193"/>
      <c r="G822" s="193"/>
      <c r="H822" s="193"/>
    </row>
    <row r="823" spans="1:8" ht="15.6">
      <c r="A823" s="193"/>
      <c r="B823" s="193"/>
      <c r="C823" s="193"/>
      <c r="D823" s="193"/>
      <c r="E823" s="193"/>
      <c r="F823" s="193"/>
      <c r="G823" s="193"/>
      <c r="H823" s="193"/>
    </row>
    <row r="824" spans="1:8" ht="15.6">
      <c r="A824" s="193"/>
      <c r="B824" s="193"/>
      <c r="C824" s="193"/>
      <c r="D824" s="193"/>
      <c r="E824" s="193"/>
      <c r="F824" s="193"/>
      <c r="G824" s="193"/>
      <c r="H824" s="193"/>
    </row>
    <row r="825" spans="1:8" ht="15.6">
      <c r="A825" s="193"/>
      <c r="B825" s="193"/>
      <c r="C825" s="193"/>
      <c r="D825" s="193"/>
      <c r="E825" s="193"/>
      <c r="F825" s="193"/>
      <c r="G825" s="193"/>
      <c r="H825" s="193"/>
    </row>
    <row r="826" spans="1:8" ht="15.6">
      <c r="A826" s="193"/>
      <c r="B826" s="193"/>
      <c r="C826" s="193"/>
      <c r="D826" s="193"/>
      <c r="E826" s="193"/>
      <c r="F826" s="193"/>
      <c r="G826" s="193"/>
      <c r="H826" s="193"/>
    </row>
    <row r="827" spans="1:8" ht="15.6">
      <c r="A827" s="193"/>
      <c r="B827" s="193"/>
      <c r="C827" s="193"/>
      <c r="D827" s="193"/>
      <c r="E827" s="193"/>
      <c r="F827" s="193"/>
      <c r="G827" s="193"/>
      <c r="H827" s="193"/>
    </row>
    <row r="828" spans="1:8" ht="15.6">
      <c r="A828" s="193"/>
      <c r="B828" s="193"/>
      <c r="C828" s="193"/>
      <c r="D828" s="193"/>
      <c r="E828" s="193"/>
      <c r="F828" s="193"/>
      <c r="G828" s="193"/>
      <c r="H828" s="193"/>
    </row>
    <row r="829" spans="1:8" ht="15.6">
      <c r="A829" s="193"/>
      <c r="B829" s="193"/>
      <c r="C829" s="193"/>
      <c r="D829" s="193"/>
      <c r="E829" s="193"/>
      <c r="F829" s="193"/>
      <c r="G829" s="193"/>
      <c r="H829" s="193"/>
    </row>
    <row r="830" spans="1:8" ht="15.6">
      <c r="A830" s="193"/>
      <c r="B830" s="193"/>
      <c r="C830" s="193"/>
      <c r="D830" s="193"/>
      <c r="E830" s="193"/>
      <c r="F830" s="193"/>
      <c r="G830" s="193"/>
      <c r="H830" s="193"/>
    </row>
    <row r="831" spans="1:8" ht="15.6">
      <c r="A831" s="193"/>
      <c r="B831" s="193"/>
      <c r="C831" s="193"/>
      <c r="D831" s="193"/>
      <c r="E831" s="193"/>
      <c r="F831" s="193"/>
      <c r="G831" s="193"/>
      <c r="H831" s="193"/>
    </row>
    <row r="832" spans="1:8" ht="15.6">
      <c r="A832" s="193"/>
      <c r="B832" s="193"/>
      <c r="C832" s="193"/>
      <c r="D832" s="193"/>
      <c r="E832" s="193"/>
      <c r="F832" s="193"/>
      <c r="G832" s="193"/>
      <c r="H832" s="193"/>
    </row>
    <row r="833" spans="1:8" ht="15.6">
      <c r="A833" s="193"/>
      <c r="B833" s="193"/>
      <c r="C833" s="193"/>
      <c r="D833" s="193"/>
      <c r="E833" s="193"/>
      <c r="F833" s="193"/>
      <c r="G833" s="193"/>
      <c r="H833" s="193"/>
    </row>
    <row r="834" spans="1:8" ht="15.6">
      <c r="A834" s="193"/>
      <c r="B834" s="193"/>
      <c r="C834" s="193"/>
      <c r="D834" s="193"/>
      <c r="E834" s="193"/>
      <c r="F834" s="193"/>
      <c r="G834" s="193"/>
      <c r="H834" s="193"/>
    </row>
    <row r="835" spans="1:8" ht="15.6">
      <c r="A835" s="193"/>
      <c r="B835" s="193"/>
      <c r="C835" s="193"/>
      <c r="D835" s="193"/>
      <c r="E835" s="193"/>
      <c r="F835" s="193"/>
      <c r="G835" s="193"/>
      <c r="H835" s="193"/>
    </row>
    <row r="836" spans="1:8" ht="15.6">
      <c r="A836" s="193"/>
      <c r="B836" s="193"/>
      <c r="C836" s="193"/>
      <c r="D836" s="193"/>
      <c r="E836" s="193"/>
      <c r="F836" s="193"/>
      <c r="G836" s="193"/>
      <c r="H836" s="193"/>
    </row>
    <row r="837" spans="1:8" ht="15.6">
      <c r="A837" s="193"/>
      <c r="B837" s="193"/>
      <c r="C837" s="193"/>
      <c r="D837" s="193"/>
      <c r="E837" s="193"/>
      <c r="F837" s="193"/>
      <c r="G837" s="193"/>
      <c r="H837" s="193"/>
    </row>
    <row r="838" spans="1:8" ht="15.6">
      <c r="A838" s="193"/>
      <c r="B838" s="193"/>
      <c r="C838" s="193"/>
      <c r="D838" s="193"/>
      <c r="E838" s="193"/>
      <c r="F838" s="193"/>
      <c r="G838" s="193"/>
      <c r="H838" s="193"/>
    </row>
    <row r="839" spans="1:8" ht="15.6">
      <c r="A839" s="193"/>
      <c r="B839" s="193"/>
      <c r="C839" s="193"/>
      <c r="D839" s="193"/>
      <c r="E839" s="193"/>
      <c r="F839" s="193"/>
      <c r="G839" s="193"/>
      <c r="H839" s="193"/>
    </row>
    <row r="840" spans="1:8" ht="15.6">
      <c r="A840" s="193"/>
      <c r="B840" s="193"/>
      <c r="C840" s="193"/>
      <c r="D840" s="193"/>
      <c r="E840" s="193"/>
      <c r="F840" s="193"/>
      <c r="G840" s="193"/>
      <c r="H840" s="193"/>
    </row>
    <row r="841" spans="1:8" ht="15.6">
      <c r="A841" s="193"/>
      <c r="B841" s="193"/>
      <c r="C841" s="193"/>
      <c r="D841" s="193"/>
      <c r="E841" s="193"/>
      <c r="F841" s="193"/>
      <c r="G841" s="193"/>
      <c r="H841" s="193"/>
    </row>
    <row r="842" spans="1:8" ht="15.6">
      <c r="A842" s="193"/>
      <c r="B842" s="193"/>
      <c r="C842" s="193"/>
      <c r="D842" s="193"/>
      <c r="E842" s="193"/>
      <c r="F842" s="193"/>
      <c r="G842" s="193"/>
      <c r="H842" s="193"/>
    </row>
    <row r="843" spans="1:8" ht="15.6">
      <c r="A843" s="193"/>
      <c r="B843" s="193"/>
      <c r="C843" s="193"/>
      <c r="D843" s="193"/>
      <c r="E843" s="193"/>
      <c r="F843" s="193"/>
      <c r="G843" s="193"/>
      <c r="H843" s="193"/>
    </row>
    <row r="844" spans="1:8" ht="15.6">
      <c r="A844" s="193"/>
      <c r="B844" s="193"/>
      <c r="C844" s="193"/>
      <c r="D844" s="193"/>
      <c r="E844" s="193"/>
      <c r="F844" s="193"/>
      <c r="G844" s="193"/>
      <c r="H844" s="193"/>
    </row>
    <row r="845" spans="1:8" ht="15.6">
      <c r="A845" s="193"/>
      <c r="B845" s="193"/>
      <c r="C845" s="193"/>
      <c r="D845" s="193"/>
      <c r="E845" s="193"/>
      <c r="F845" s="193"/>
      <c r="G845" s="193"/>
      <c r="H845" s="193"/>
    </row>
    <row r="846" spans="1:8" ht="15.6">
      <c r="A846" s="193"/>
      <c r="B846" s="193"/>
      <c r="C846" s="193"/>
      <c r="D846" s="193"/>
      <c r="E846" s="193"/>
      <c r="F846" s="193"/>
      <c r="G846" s="193"/>
      <c r="H846" s="193"/>
    </row>
    <row r="847" spans="1:8" ht="15.6">
      <c r="A847" s="193"/>
      <c r="B847" s="193"/>
      <c r="C847" s="193"/>
      <c r="D847" s="193"/>
      <c r="E847" s="193"/>
      <c r="F847" s="193"/>
      <c r="G847" s="193"/>
      <c r="H847" s="193"/>
    </row>
    <row r="848" spans="1:8" ht="15.6">
      <c r="A848" s="193"/>
      <c r="B848" s="193"/>
      <c r="C848" s="193"/>
      <c r="D848" s="193"/>
      <c r="E848" s="193"/>
      <c r="F848" s="193"/>
      <c r="G848" s="193"/>
      <c r="H848" s="193"/>
    </row>
    <row r="849" spans="1:8" ht="15.6">
      <c r="A849" s="193"/>
      <c r="B849" s="193"/>
      <c r="C849" s="193"/>
      <c r="D849" s="193"/>
      <c r="E849" s="193"/>
      <c r="F849" s="193"/>
      <c r="G849" s="193"/>
      <c r="H849" s="193"/>
    </row>
    <row r="850" spans="1:8" ht="15.6">
      <c r="A850" s="193"/>
      <c r="B850" s="193"/>
      <c r="C850" s="193"/>
      <c r="D850" s="193"/>
      <c r="E850" s="193"/>
      <c r="F850" s="193"/>
      <c r="G850" s="193"/>
      <c r="H850" s="193"/>
    </row>
    <row r="851" spans="1:8" ht="15.6">
      <c r="A851" s="193"/>
      <c r="B851" s="193"/>
      <c r="C851" s="193"/>
      <c r="D851" s="193"/>
      <c r="E851" s="193"/>
      <c r="F851" s="193"/>
      <c r="G851" s="193"/>
      <c r="H851" s="193"/>
    </row>
    <row r="852" spans="1:8" ht="15.6">
      <c r="A852" s="193"/>
      <c r="B852" s="193"/>
      <c r="C852" s="193"/>
      <c r="D852" s="193"/>
      <c r="E852" s="193"/>
      <c r="F852" s="193"/>
      <c r="G852" s="193"/>
      <c r="H852" s="193"/>
    </row>
    <row r="853" spans="1:8" ht="15.6">
      <c r="A853" s="193"/>
      <c r="B853" s="193"/>
      <c r="C853" s="193"/>
      <c r="D853" s="193"/>
      <c r="E853" s="193"/>
      <c r="F853" s="193"/>
      <c r="G853" s="193"/>
      <c r="H853" s="193"/>
    </row>
    <row r="854" spans="1:8" ht="15.6">
      <c r="A854" s="193"/>
      <c r="B854" s="193"/>
      <c r="C854" s="193"/>
      <c r="D854" s="193"/>
      <c r="E854" s="193"/>
      <c r="F854" s="193"/>
      <c r="G854" s="193"/>
      <c r="H854" s="193"/>
    </row>
    <row r="855" spans="1:8" ht="15.6">
      <c r="A855" s="193"/>
      <c r="B855" s="193"/>
      <c r="C855" s="193"/>
      <c r="D855" s="193"/>
      <c r="E855" s="193"/>
      <c r="F855" s="193"/>
      <c r="G855" s="193"/>
      <c r="H855" s="193"/>
    </row>
    <row r="856" spans="1:8" ht="15.6">
      <c r="A856" s="193"/>
      <c r="B856" s="193"/>
      <c r="C856" s="193"/>
      <c r="D856" s="193"/>
      <c r="E856" s="193"/>
      <c r="F856" s="193"/>
      <c r="G856" s="193"/>
      <c r="H856" s="193"/>
    </row>
    <row r="857" spans="1:8" ht="15.6">
      <c r="A857" s="193"/>
      <c r="B857" s="193"/>
      <c r="C857" s="193"/>
      <c r="D857" s="193"/>
      <c r="E857" s="193"/>
      <c r="F857" s="193"/>
      <c r="G857" s="193"/>
      <c r="H857" s="193"/>
    </row>
    <row r="858" spans="1:8" ht="15.6">
      <c r="A858" s="193"/>
      <c r="B858" s="193"/>
      <c r="C858" s="193"/>
      <c r="D858" s="193"/>
      <c r="E858" s="193"/>
      <c r="F858" s="193"/>
      <c r="G858" s="193"/>
      <c r="H858" s="193"/>
    </row>
    <row r="859" spans="1:8" ht="15.6">
      <c r="A859" s="193"/>
      <c r="B859" s="193"/>
      <c r="C859" s="193"/>
      <c r="D859" s="193"/>
      <c r="E859" s="193"/>
      <c r="F859" s="193"/>
      <c r="G859" s="193"/>
      <c r="H859" s="193"/>
    </row>
    <row r="860" spans="1:8" ht="15.6">
      <c r="A860" s="193"/>
      <c r="B860" s="193"/>
      <c r="C860" s="193"/>
      <c r="D860" s="193"/>
      <c r="E860" s="193"/>
      <c r="F860" s="193"/>
      <c r="G860" s="193"/>
      <c r="H860" s="193"/>
    </row>
    <row r="861" spans="1:8" ht="15.6">
      <c r="A861" s="193"/>
      <c r="B861" s="193"/>
      <c r="C861" s="193"/>
      <c r="D861" s="193"/>
      <c r="E861" s="193"/>
      <c r="F861" s="193"/>
      <c r="G861" s="193"/>
      <c r="H861" s="193"/>
    </row>
    <row r="862" spans="1:8" ht="15.6">
      <c r="A862" s="193"/>
      <c r="B862" s="193"/>
      <c r="C862" s="193"/>
      <c r="D862" s="193"/>
      <c r="E862" s="193"/>
      <c r="F862" s="193"/>
      <c r="G862" s="193"/>
      <c r="H862" s="193"/>
    </row>
    <row r="863" spans="1:8" ht="15.6">
      <c r="A863" s="193"/>
      <c r="B863" s="193"/>
      <c r="C863" s="193"/>
      <c r="D863" s="193"/>
      <c r="E863" s="193"/>
      <c r="F863" s="193"/>
      <c r="G863" s="193"/>
      <c r="H863" s="193"/>
    </row>
    <row r="864" spans="1:8" ht="15.6">
      <c r="A864" s="193"/>
      <c r="B864" s="193"/>
      <c r="C864" s="193"/>
      <c r="D864" s="193"/>
      <c r="E864" s="193"/>
      <c r="F864" s="193"/>
      <c r="G864" s="193"/>
      <c r="H864" s="193"/>
    </row>
    <row r="865" spans="1:8" ht="15.6">
      <c r="A865" s="193"/>
      <c r="B865" s="193"/>
      <c r="C865" s="193"/>
      <c r="D865" s="193"/>
      <c r="E865" s="193"/>
      <c r="F865" s="193"/>
      <c r="G865" s="193"/>
      <c r="H865" s="193"/>
    </row>
    <row r="866" spans="1:8" ht="15.6">
      <c r="A866" s="193"/>
      <c r="B866" s="193"/>
      <c r="C866" s="193"/>
      <c r="D866" s="193"/>
      <c r="E866" s="193"/>
      <c r="F866" s="193"/>
      <c r="G866" s="193"/>
      <c r="H866" s="193"/>
    </row>
    <row r="867" spans="1:8" ht="15.6">
      <c r="A867" s="193"/>
      <c r="B867" s="193"/>
      <c r="C867" s="193"/>
      <c r="D867" s="193"/>
      <c r="E867" s="193"/>
      <c r="F867" s="193"/>
      <c r="G867" s="193"/>
      <c r="H867" s="193"/>
    </row>
    <row r="868" spans="1:8" ht="15.6">
      <c r="A868" s="193"/>
      <c r="B868" s="193"/>
      <c r="C868" s="193"/>
      <c r="D868" s="193"/>
      <c r="E868" s="193"/>
      <c r="F868" s="193"/>
      <c r="G868" s="193"/>
      <c r="H868" s="193"/>
    </row>
    <row r="869" spans="1:8" ht="15.6">
      <c r="A869" s="193"/>
      <c r="B869" s="193"/>
      <c r="C869" s="193"/>
      <c r="D869" s="193"/>
      <c r="E869" s="193"/>
      <c r="F869" s="193"/>
      <c r="G869" s="193"/>
      <c r="H869" s="193"/>
    </row>
    <row r="870" spans="1:8" ht="15.6">
      <c r="A870" s="193"/>
      <c r="B870" s="193"/>
      <c r="C870" s="193"/>
      <c r="D870" s="193"/>
      <c r="E870" s="193"/>
      <c r="F870" s="193"/>
      <c r="G870" s="193"/>
      <c r="H870" s="193"/>
    </row>
    <row r="871" spans="1:8" ht="15.6">
      <c r="A871" s="193"/>
      <c r="B871" s="193"/>
      <c r="C871" s="193"/>
      <c r="D871" s="193"/>
      <c r="E871" s="193"/>
      <c r="F871" s="193"/>
      <c r="G871" s="193"/>
      <c r="H871" s="193"/>
    </row>
    <row r="872" spans="1:8" ht="15.6">
      <c r="A872" s="193"/>
      <c r="B872" s="193"/>
      <c r="C872" s="193"/>
      <c r="D872" s="193"/>
      <c r="E872" s="193"/>
      <c r="F872" s="193"/>
      <c r="G872" s="193"/>
      <c r="H872" s="193"/>
    </row>
    <row r="873" spans="1:8" ht="15.6">
      <c r="A873" s="193"/>
      <c r="B873" s="193"/>
      <c r="C873" s="193"/>
      <c r="D873" s="193"/>
      <c r="E873" s="193"/>
      <c r="F873" s="193"/>
      <c r="G873" s="193"/>
      <c r="H873" s="193"/>
    </row>
    <row r="874" spans="1:8" ht="15.6">
      <c r="A874" s="193"/>
      <c r="B874" s="193"/>
      <c r="C874" s="193"/>
      <c r="D874" s="193"/>
      <c r="E874" s="193"/>
      <c r="F874" s="193"/>
      <c r="G874" s="193"/>
      <c r="H874" s="193"/>
    </row>
    <row r="875" spans="1:8" ht="15.6">
      <c r="A875" s="193"/>
      <c r="B875" s="193"/>
      <c r="C875" s="193"/>
      <c r="D875" s="193"/>
      <c r="E875" s="193"/>
      <c r="F875" s="193"/>
      <c r="G875" s="193"/>
      <c r="H875" s="193"/>
    </row>
    <row r="876" spans="1:8" ht="15.6">
      <c r="A876" s="193"/>
      <c r="B876" s="193"/>
      <c r="C876" s="193"/>
      <c r="D876" s="193"/>
      <c r="E876" s="193"/>
      <c r="F876" s="193"/>
      <c r="G876" s="193"/>
      <c r="H876" s="193"/>
    </row>
    <row r="877" spans="1:8" ht="15.6">
      <c r="A877" s="193"/>
      <c r="B877" s="193"/>
      <c r="C877" s="193"/>
      <c r="D877" s="193"/>
      <c r="E877" s="193"/>
      <c r="F877" s="193"/>
      <c r="G877" s="193"/>
      <c r="H877" s="193"/>
    </row>
    <row r="878" spans="1:8" ht="15.6">
      <c r="A878" s="193"/>
      <c r="B878" s="193"/>
      <c r="C878" s="193"/>
      <c r="D878" s="193"/>
      <c r="E878" s="193"/>
      <c r="F878" s="193"/>
      <c r="G878" s="193"/>
      <c r="H878" s="193"/>
    </row>
    <row r="879" spans="1:8" ht="15.6">
      <c r="A879" s="193"/>
      <c r="B879" s="193"/>
      <c r="C879" s="193"/>
      <c r="D879" s="193"/>
      <c r="E879" s="193"/>
      <c r="F879" s="193"/>
      <c r="G879" s="193"/>
      <c r="H879" s="193"/>
    </row>
    <row r="880" spans="1:8" ht="15.6">
      <c r="A880" s="193"/>
      <c r="B880" s="193"/>
      <c r="C880" s="193"/>
      <c r="D880" s="193"/>
      <c r="E880" s="193"/>
      <c r="F880" s="193"/>
      <c r="G880" s="193"/>
      <c r="H880" s="193"/>
    </row>
    <row r="881" spans="1:8" ht="15.6">
      <c r="A881" s="193"/>
      <c r="B881" s="193"/>
      <c r="C881" s="193"/>
      <c r="D881" s="193"/>
      <c r="E881" s="193"/>
      <c r="F881" s="193"/>
      <c r="G881" s="193"/>
      <c r="H881" s="193"/>
    </row>
    <row r="882" spans="1:8" ht="15.6">
      <c r="A882" s="193"/>
      <c r="B882" s="193"/>
      <c r="C882" s="193"/>
      <c r="D882" s="193"/>
      <c r="E882" s="193"/>
      <c r="F882" s="193"/>
      <c r="G882" s="193"/>
      <c r="H882" s="193"/>
    </row>
    <row r="883" spans="1:8" ht="15.6">
      <c r="A883" s="193"/>
      <c r="B883" s="193"/>
      <c r="C883" s="193"/>
      <c r="D883" s="193"/>
      <c r="E883" s="193"/>
      <c r="F883" s="193"/>
      <c r="G883" s="193"/>
      <c r="H883" s="193"/>
    </row>
    <row r="884" spans="1:8" ht="15.6">
      <c r="A884" s="193"/>
      <c r="B884" s="193"/>
      <c r="C884" s="193"/>
      <c r="D884" s="193"/>
      <c r="E884" s="193"/>
      <c r="F884" s="193"/>
      <c r="G884" s="193"/>
      <c r="H884" s="193"/>
    </row>
    <row r="885" spans="1:8" ht="15.6">
      <c r="A885" s="193"/>
      <c r="B885" s="193"/>
      <c r="C885" s="193"/>
      <c r="D885" s="193"/>
      <c r="E885" s="193"/>
      <c r="F885" s="193"/>
      <c r="G885" s="193"/>
      <c r="H885" s="193"/>
    </row>
    <row r="886" spans="1:8" ht="15.6">
      <c r="A886" s="193"/>
      <c r="B886" s="193"/>
      <c r="C886" s="193"/>
      <c r="D886" s="193"/>
      <c r="E886" s="193"/>
      <c r="F886" s="193"/>
      <c r="G886" s="193"/>
      <c r="H886" s="193"/>
    </row>
    <row r="887" spans="1:8" ht="15.6">
      <c r="A887" s="193"/>
      <c r="B887" s="193"/>
      <c r="C887" s="193"/>
      <c r="D887" s="193"/>
      <c r="E887" s="193"/>
      <c r="F887" s="193"/>
      <c r="G887" s="193"/>
      <c r="H887" s="193"/>
    </row>
    <row r="888" spans="1:8" ht="15.6">
      <c r="A888" s="193"/>
      <c r="B888" s="193"/>
      <c r="C888" s="193"/>
      <c r="D888" s="193"/>
      <c r="E888" s="193"/>
      <c r="F888" s="193"/>
      <c r="G888" s="193"/>
      <c r="H888" s="193"/>
    </row>
    <row r="889" spans="1:8" ht="15.6">
      <c r="A889" s="193"/>
      <c r="B889" s="193"/>
      <c r="C889" s="193"/>
      <c r="D889" s="193"/>
      <c r="E889" s="193"/>
      <c r="F889" s="193"/>
      <c r="G889" s="193"/>
      <c r="H889" s="193"/>
    </row>
    <row r="890" spans="1:8" ht="15.6">
      <c r="A890" s="193"/>
      <c r="B890" s="193"/>
      <c r="C890" s="193"/>
      <c r="D890" s="193"/>
      <c r="E890" s="193"/>
      <c r="F890" s="193"/>
      <c r="G890" s="193"/>
      <c r="H890" s="193"/>
    </row>
    <row r="891" spans="1:8" ht="15.6">
      <c r="A891" s="193"/>
      <c r="B891" s="193"/>
      <c r="C891" s="193"/>
      <c r="D891" s="193"/>
      <c r="E891" s="193"/>
      <c r="F891" s="193"/>
      <c r="G891" s="193"/>
      <c r="H891" s="193"/>
    </row>
    <row r="892" spans="1:8" ht="15.6">
      <c r="A892" s="193"/>
      <c r="B892" s="193"/>
      <c r="C892" s="193"/>
      <c r="D892" s="193"/>
      <c r="E892" s="193"/>
      <c r="F892" s="193"/>
      <c r="G892" s="193"/>
      <c r="H892" s="193"/>
    </row>
    <row r="893" spans="1:8" ht="15.6">
      <c r="A893" s="193"/>
      <c r="B893" s="193"/>
      <c r="C893" s="193"/>
      <c r="D893" s="193"/>
      <c r="E893" s="193"/>
      <c r="F893" s="193"/>
      <c r="G893" s="193"/>
      <c r="H893" s="193"/>
    </row>
    <row r="894" spans="1:8" ht="15.6">
      <c r="A894" s="193"/>
      <c r="B894" s="193"/>
      <c r="C894" s="193"/>
      <c r="D894" s="193"/>
      <c r="E894" s="193"/>
      <c r="F894" s="193"/>
      <c r="G894" s="193"/>
      <c r="H894" s="193"/>
    </row>
    <row r="895" spans="1:8" ht="15.6">
      <c r="A895" s="193"/>
      <c r="B895" s="193"/>
      <c r="C895" s="193"/>
      <c r="D895" s="193"/>
      <c r="E895" s="193"/>
      <c r="F895" s="193"/>
      <c r="G895" s="193"/>
      <c r="H895" s="193"/>
    </row>
    <row r="896" spans="1:8" ht="15.6">
      <c r="A896" s="193"/>
      <c r="B896" s="193"/>
      <c r="C896" s="193"/>
      <c r="D896" s="193"/>
      <c r="E896" s="193"/>
      <c r="F896" s="193"/>
      <c r="G896" s="193"/>
      <c r="H896" s="193"/>
    </row>
    <row r="897" spans="1:8" ht="15.6">
      <c r="A897" s="193"/>
      <c r="B897" s="193"/>
      <c r="C897" s="193"/>
      <c r="D897" s="193"/>
      <c r="E897" s="193"/>
      <c r="F897" s="193"/>
      <c r="G897" s="193"/>
      <c r="H897" s="193"/>
    </row>
    <row r="898" spans="1:8" ht="15.6">
      <c r="A898" s="193"/>
      <c r="B898" s="193"/>
      <c r="C898" s="193"/>
      <c r="D898" s="193"/>
      <c r="E898" s="193"/>
      <c r="F898" s="193"/>
      <c r="G898" s="193"/>
      <c r="H898" s="193"/>
    </row>
    <row r="899" spans="1:8" ht="15.6">
      <c r="A899" s="193"/>
      <c r="B899" s="193"/>
      <c r="C899" s="193"/>
      <c r="D899" s="193"/>
      <c r="E899" s="193"/>
      <c r="F899" s="193"/>
      <c r="G899" s="193"/>
      <c r="H899" s="193"/>
    </row>
    <row r="900" spans="1:8" ht="15.6">
      <c r="A900" s="193"/>
      <c r="B900" s="193"/>
      <c r="C900" s="193"/>
      <c r="D900" s="193"/>
      <c r="E900" s="193"/>
      <c r="F900" s="193"/>
      <c r="G900" s="193"/>
      <c r="H900" s="193"/>
    </row>
    <row r="901" spans="1:8" ht="15.6">
      <c r="A901" s="193"/>
      <c r="B901" s="193"/>
      <c r="C901" s="193"/>
      <c r="D901" s="193"/>
      <c r="E901" s="193"/>
      <c r="F901" s="193"/>
      <c r="G901" s="193"/>
      <c r="H901" s="193"/>
    </row>
    <row r="902" spans="1:8" ht="15.6">
      <c r="A902" s="193"/>
      <c r="B902" s="193"/>
      <c r="C902" s="193"/>
      <c r="D902" s="193"/>
      <c r="E902" s="193"/>
      <c r="F902" s="193"/>
      <c r="G902" s="193"/>
      <c r="H902" s="193"/>
    </row>
    <row r="903" spans="1:8" ht="15.6">
      <c r="A903" s="193"/>
      <c r="B903" s="193"/>
      <c r="C903" s="193"/>
      <c r="D903" s="193"/>
      <c r="E903" s="193"/>
      <c r="F903" s="193"/>
      <c r="G903" s="193"/>
      <c r="H903" s="193"/>
    </row>
    <row r="904" spans="1:8" ht="15.6">
      <c r="A904" s="193"/>
      <c r="B904" s="193"/>
      <c r="C904" s="193"/>
      <c r="D904" s="193"/>
      <c r="E904" s="193"/>
      <c r="F904" s="193"/>
      <c r="G904" s="193"/>
      <c r="H904" s="193"/>
    </row>
    <row r="905" spans="1:8" ht="15.6">
      <c r="A905" s="193"/>
      <c r="B905" s="193"/>
      <c r="C905" s="193"/>
      <c r="D905" s="193"/>
      <c r="E905" s="193"/>
      <c r="F905" s="193"/>
      <c r="G905" s="193"/>
      <c r="H905" s="193"/>
    </row>
    <row r="906" spans="1:8" ht="15.6">
      <c r="A906" s="193"/>
      <c r="B906" s="193"/>
      <c r="C906" s="193"/>
      <c r="D906" s="193"/>
      <c r="E906" s="193"/>
      <c r="F906" s="193"/>
      <c r="G906" s="193"/>
      <c r="H906" s="193"/>
    </row>
    <row r="907" spans="1:8" ht="15.6">
      <c r="A907" s="193"/>
      <c r="B907" s="193"/>
      <c r="C907" s="193"/>
      <c r="D907" s="193"/>
      <c r="E907" s="193"/>
      <c r="F907" s="193"/>
      <c r="G907" s="193"/>
      <c r="H907" s="193"/>
    </row>
    <row r="908" spans="1:8" ht="15.6">
      <c r="A908" s="193"/>
      <c r="B908" s="193"/>
      <c r="C908" s="193"/>
      <c r="D908" s="193"/>
      <c r="E908" s="193"/>
      <c r="F908" s="193"/>
      <c r="G908" s="193"/>
      <c r="H908" s="193"/>
    </row>
    <row r="909" spans="1:8" ht="15.6">
      <c r="A909" s="193"/>
      <c r="B909" s="193"/>
      <c r="C909" s="193"/>
      <c r="D909" s="193"/>
      <c r="E909" s="193"/>
      <c r="F909" s="193"/>
      <c r="G909" s="193"/>
      <c r="H909" s="193"/>
    </row>
    <row r="910" spans="1:8" ht="15.6">
      <c r="A910" s="193"/>
      <c r="B910" s="193"/>
      <c r="C910" s="193"/>
      <c r="D910" s="193"/>
      <c r="E910" s="193"/>
      <c r="F910" s="193"/>
      <c r="G910" s="193"/>
      <c r="H910" s="193"/>
    </row>
    <row r="911" spans="1:8" ht="15.6">
      <c r="A911" s="193"/>
      <c r="B911" s="193"/>
      <c r="C911" s="193"/>
      <c r="D911" s="193"/>
      <c r="E911" s="193"/>
      <c r="F911" s="193"/>
      <c r="G911" s="193"/>
      <c r="H911" s="193"/>
    </row>
    <row r="912" spans="1:8" ht="15.6">
      <c r="A912" s="193"/>
      <c r="B912" s="193"/>
      <c r="C912" s="193"/>
      <c r="D912" s="193"/>
      <c r="E912" s="193"/>
      <c r="F912" s="193"/>
      <c r="G912" s="193"/>
      <c r="H912" s="193"/>
    </row>
    <row r="913" spans="1:8" ht="15.6">
      <c r="A913" s="193"/>
      <c r="B913" s="193"/>
      <c r="C913" s="193"/>
      <c r="D913" s="193"/>
      <c r="E913" s="193"/>
      <c r="F913" s="193"/>
      <c r="G913" s="193"/>
      <c r="H913" s="193"/>
    </row>
    <row r="914" spans="1:8" ht="15.6">
      <c r="A914" s="193"/>
      <c r="B914" s="193"/>
      <c r="C914" s="193"/>
      <c r="D914" s="193"/>
      <c r="E914" s="193"/>
      <c r="F914" s="193"/>
      <c r="G914" s="193"/>
      <c r="H914" s="193"/>
    </row>
    <row r="915" spans="1:8" ht="15.6">
      <c r="A915" s="193"/>
      <c r="B915" s="193"/>
      <c r="C915" s="193"/>
      <c r="D915" s="193"/>
      <c r="E915" s="193"/>
      <c r="F915" s="193"/>
      <c r="G915" s="193"/>
      <c r="H915" s="193"/>
    </row>
    <row r="916" spans="1:8" ht="15.6">
      <c r="A916" s="193"/>
      <c r="B916" s="193"/>
      <c r="C916" s="193"/>
      <c r="D916" s="193"/>
      <c r="E916" s="193"/>
      <c r="F916" s="193"/>
      <c r="G916" s="193"/>
      <c r="H916" s="193"/>
    </row>
    <row r="917" spans="1:8" ht="15.6">
      <c r="A917" s="193"/>
      <c r="B917" s="193"/>
      <c r="C917" s="193"/>
      <c r="D917" s="193"/>
      <c r="E917" s="193"/>
      <c r="F917" s="193"/>
      <c r="G917" s="193"/>
      <c r="H917" s="193"/>
    </row>
    <row r="918" spans="1:8" ht="15.6">
      <c r="A918" s="193"/>
      <c r="B918" s="193"/>
      <c r="C918" s="193"/>
      <c r="D918" s="193"/>
      <c r="E918" s="193"/>
      <c r="F918" s="193"/>
      <c r="G918" s="193"/>
      <c r="H918" s="193"/>
    </row>
    <row r="919" spans="1:8" ht="15.6">
      <c r="A919" s="193"/>
      <c r="B919" s="193"/>
      <c r="C919" s="193"/>
      <c r="D919" s="193"/>
      <c r="E919" s="193"/>
      <c r="F919" s="193"/>
      <c r="G919" s="193"/>
      <c r="H919" s="193"/>
    </row>
    <row r="920" spans="1:8" ht="15.6">
      <c r="A920" s="193"/>
      <c r="B920" s="193"/>
      <c r="C920" s="193"/>
      <c r="D920" s="193"/>
      <c r="E920" s="193"/>
      <c r="F920" s="193"/>
      <c r="G920" s="193"/>
      <c r="H920" s="193"/>
    </row>
    <row r="921" spans="1:8" ht="15.6">
      <c r="A921" s="193"/>
      <c r="B921" s="193"/>
      <c r="C921" s="193"/>
      <c r="D921" s="193"/>
      <c r="E921" s="193"/>
      <c r="F921" s="193"/>
      <c r="G921" s="193"/>
      <c r="H921" s="193"/>
    </row>
    <row r="922" spans="1:8" ht="15.6">
      <c r="A922" s="193"/>
      <c r="B922" s="193"/>
      <c r="C922" s="193"/>
      <c r="D922" s="193"/>
      <c r="E922" s="193"/>
      <c r="F922" s="193"/>
      <c r="G922" s="193"/>
      <c r="H922" s="193"/>
    </row>
    <row r="923" spans="1:8" ht="15.6">
      <c r="A923" s="193"/>
      <c r="B923" s="193"/>
      <c r="C923" s="193"/>
      <c r="D923" s="193"/>
      <c r="E923" s="193"/>
      <c r="F923" s="193"/>
      <c r="G923" s="193"/>
      <c r="H923" s="193"/>
    </row>
    <row r="924" spans="1:8" ht="15.6">
      <c r="A924" s="193"/>
      <c r="B924" s="193"/>
      <c r="C924" s="193"/>
      <c r="D924" s="193"/>
      <c r="E924" s="193"/>
      <c r="F924" s="193"/>
      <c r="G924" s="193"/>
      <c r="H924" s="193"/>
    </row>
    <row r="925" spans="1:8" ht="15.6">
      <c r="A925" s="193"/>
      <c r="B925" s="193"/>
      <c r="C925" s="193"/>
      <c r="D925" s="193"/>
      <c r="E925" s="193"/>
      <c r="F925" s="193"/>
      <c r="G925" s="193"/>
      <c r="H925" s="193"/>
    </row>
    <row r="926" spans="1:8" ht="15.6">
      <c r="A926" s="193"/>
      <c r="B926" s="193"/>
      <c r="C926" s="193"/>
      <c r="D926" s="193"/>
      <c r="E926" s="193"/>
      <c r="F926" s="193"/>
      <c r="G926" s="193"/>
      <c r="H926" s="193"/>
    </row>
    <row r="927" spans="1:8" ht="15.6">
      <c r="A927" s="193"/>
      <c r="B927" s="193"/>
      <c r="C927" s="193"/>
      <c r="D927" s="193"/>
      <c r="E927" s="193"/>
      <c r="F927" s="193"/>
      <c r="G927" s="193"/>
      <c r="H927" s="193"/>
    </row>
    <row r="928" spans="1:8" ht="15.6">
      <c r="A928" s="193"/>
      <c r="B928" s="193"/>
      <c r="C928" s="193"/>
      <c r="D928" s="193"/>
      <c r="E928" s="193"/>
      <c r="F928" s="193"/>
      <c r="G928" s="193"/>
      <c r="H928" s="193"/>
    </row>
    <row r="929" spans="1:8" ht="15.6">
      <c r="A929" s="193"/>
      <c r="B929" s="193"/>
      <c r="C929" s="193"/>
      <c r="D929" s="193"/>
      <c r="E929" s="193"/>
      <c r="F929" s="193"/>
      <c r="G929" s="193"/>
      <c r="H929" s="193"/>
    </row>
    <row r="930" spans="1:8" ht="15.6">
      <c r="A930" s="193"/>
      <c r="B930" s="193"/>
      <c r="C930" s="193"/>
      <c r="D930" s="193"/>
      <c r="E930" s="193"/>
      <c r="F930" s="193"/>
      <c r="G930" s="193"/>
      <c r="H930" s="193"/>
    </row>
    <row r="931" spans="1:8" ht="15.6">
      <c r="A931" s="193"/>
      <c r="B931" s="193"/>
      <c r="C931" s="193"/>
      <c r="D931" s="193"/>
      <c r="E931" s="193"/>
      <c r="F931" s="193"/>
      <c r="G931" s="193"/>
      <c r="H931" s="193"/>
    </row>
    <row r="932" spans="1:8" ht="15.6">
      <c r="A932" s="193"/>
      <c r="B932" s="193"/>
      <c r="C932" s="193"/>
      <c r="D932" s="193"/>
      <c r="E932" s="193"/>
      <c r="F932" s="193"/>
      <c r="G932" s="193"/>
      <c r="H932" s="193"/>
    </row>
    <row r="933" spans="1:8" ht="15.6">
      <c r="A933" s="193"/>
      <c r="B933" s="193"/>
      <c r="C933" s="193"/>
      <c r="D933" s="193"/>
      <c r="E933" s="193"/>
      <c r="F933" s="193"/>
      <c r="G933" s="193"/>
      <c r="H933" s="193"/>
    </row>
    <row r="934" spans="1:8" ht="15.6">
      <c r="A934" s="193"/>
      <c r="B934" s="193"/>
      <c r="C934" s="193"/>
      <c r="D934" s="193"/>
      <c r="E934" s="193"/>
      <c r="F934" s="193"/>
      <c r="G934" s="193"/>
      <c r="H934" s="193"/>
    </row>
    <row r="935" spans="1:8" ht="15.6">
      <c r="A935" s="193"/>
      <c r="B935" s="193"/>
      <c r="C935" s="193"/>
      <c r="D935" s="193"/>
      <c r="E935" s="193"/>
      <c r="F935" s="193"/>
      <c r="G935" s="193"/>
      <c r="H935" s="193"/>
    </row>
    <row r="936" spans="1:8" ht="15.6">
      <c r="A936" s="193"/>
      <c r="B936" s="193"/>
      <c r="C936" s="193"/>
      <c r="D936" s="193"/>
      <c r="E936" s="193"/>
      <c r="F936" s="193"/>
      <c r="G936" s="193"/>
      <c r="H936" s="193"/>
    </row>
    <row r="937" spans="1:8" ht="15.6">
      <c r="A937" s="193"/>
      <c r="B937" s="193"/>
      <c r="C937" s="193"/>
      <c r="D937" s="193"/>
      <c r="E937" s="193"/>
      <c r="F937" s="193"/>
      <c r="G937" s="193"/>
      <c r="H937" s="193"/>
    </row>
    <row r="938" spans="1:8" ht="15.6">
      <c r="A938" s="193"/>
      <c r="B938" s="193"/>
      <c r="C938" s="193"/>
      <c r="D938" s="193"/>
      <c r="E938" s="193"/>
      <c r="F938" s="193"/>
      <c r="G938" s="193"/>
      <c r="H938" s="193"/>
    </row>
    <row r="939" spans="1:8" ht="15.6">
      <c r="A939" s="193"/>
      <c r="B939" s="193"/>
      <c r="C939" s="193"/>
      <c r="D939" s="193"/>
      <c r="E939" s="193"/>
      <c r="F939" s="193"/>
      <c r="G939" s="193"/>
      <c r="H939" s="193"/>
    </row>
    <row r="940" spans="1:8" ht="15.6">
      <c r="A940" s="193"/>
      <c r="B940" s="193"/>
      <c r="C940" s="193"/>
      <c r="D940" s="193"/>
      <c r="E940" s="193"/>
      <c r="F940" s="193"/>
      <c r="G940" s="193"/>
      <c r="H940" s="193"/>
    </row>
    <row r="941" spans="1:8" ht="15.6">
      <c r="A941" s="193"/>
      <c r="B941" s="193"/>
      <c r="C941" s="193"/>
      <c r="D941" s="193"/>
      <c r="E941" s="193"/>
      <c r="F941" s="193"/>
      <c r="G941" s="193"/>
      <c r="H941" s="193"/>
    </row>
    <row r="942" spans="1:8" ht="15.6">
      <c r="A942" s="193"/>
      <c r="B942" s="193"/>
      <c r="C942" s="193"/>
      <c r="D942" s="193"/>
      <c r="E942" s="193"/>
      <c r="F942" s="193"/>
      <c r="G942" s="193"/>
      <c r="H942" s="193"/>
    </row>
    <row r="943" spans="1:8" ht="15.6">
      <c r="A943" s="193"/>
      <c r="B943" s="193"/>
      <c r="C943" s="193"/>
      <c r="D943" s="193"/>
      <c r="E943" s="193"/>
      <c r="F943" s="193"/>
      <c r="G943" s="193"/>
      <c r="H943" s="193"/>
    </row>
    <row r="944" spans="1:8" ht="15.6">
      <c r="A944" s="193"/>
      <c r="B944" s="193"/>
      <c r="C944" s="193"/>
      <c r="D944" s="193"/>
      <c r="E944" s="193"/>
      <c r="F944" s="193"/>
      <c r="G944" s="193"/>
      <c r="H944" s="193"/>
    </row>
    <row r="945" spans="1:8" ht="15.6">
      <c r="A945" s="193"/>
      <c r="B945" s="193"/>
      <c r="C945" s="193"/>
      <c r="D945" s="193"/>
      <c r="E945" s="193"/>
      <c r="F945" s="193"/>
      <c r="G945" s="193"/>
      <c r="H945" s="193"/>
    </row>
    <row r="946" spans="1:8" ht="15.6">
      <c r="A946" s="193"/>
      <c r="B946" s="193"/>
      <c r="C946" s="193"/>
      <c r="D946" s="193"/>
      <c r="E946" s="193"/>
      <c r="F946" s="193"/>
      <c r="G946" s="193"/>
      <c r="H946" s="193"/>
    </row>
    <row r="947" spans="1:8" ht="15.6">
      <c r="A947" s="193"/>
      <c r="B947" s="193"/>
      <c r="C947" s="193"/>
      <c r="D947" s="193"/>
      <c r="E947" s="193"/>
      <c r="F947" s="193"/>
      <c r="G947" s="193"/>
      <c r="H947" s="193"/>
    </row>
    <row r="948" spans="1:8" ht="15.6">
      <c r="A948" s="193"/>
      <c r="B948" s="193"/>
      <c r="C948" s="193"/>
      <c r="D948" s="193"/>
      <c r="E948" s="193"/>
      <c r="F948" s="193"/>
      <c r="G948" s="193"/>
      <c r="H948" s="193"/>
    </row>
    <row r="949" spans="1:8" ht="15.6">
      <c r="A949" s="193"/>
      <c r="B949" s="193"/>
      <c r="C949" s="193"/>
      <c r="D949" s="193"/>
      <c r="E949" s="193"/>
      <c r="F949" s="193"/>
      <c r="G949" s="193"/>
      <c r="H949" s="193"/>
    </row>
    <row r="950" spans="1:8" ht="15.6">
      <c r="A950" s="193"/>
      <c r="B950" s="193"/>
      <c r="C950" s="193"/>
      <c r="D950" s="193"/>
      <c r="E950" s="193"/>
      <c r="F950" s="193"/>
      <c r="G950" s="193"/>
      <c r="H950" s="193"/>
    </row>
    <row r="951" spans="1:8" ht="15.6">
      <c r="A951" s="193"/>
      <c r="B951" s="193"/>
      <c r="C951" s="193"/>
      <c r="D951" s="193"/>
      <c r="E951" s="193"/>
      <c r="F951" s="193"/>
      <c r="G951" s="193"/>
      <c r="H951" s="193"/>
    </row>
    <row r="952" spans="1:8" ht="15.6">
      <c r="A952" s="193"/>
      <c r="B952" s="193"/>
      <c r="C952" s="193"/>
      <c r="D952" s="193"/>
      <c r="E952" s="193"/>
      <c r="F952" s="193"/>
      <c r="G952" s="193"/>
      <c r="H952" s="193"/>
    </row>
    <row r="953" spans="1:8" ht="15.6">
      <c r="A953" s="193"/>
      <c r="B953" s="193"/>
      <c r="C953" s="193"/>
      <c r="D953" s="193"/>
      <c r="E953" s="193"/>
      <c r="F953" s="193"/>
      <c r="G953" s="193"/>
      <c r="H953" s="193"/>
    </row>
    <row r="954" spans="1:8" ht="15.6">
      <c r="A954" s="193"/>
      <c r="B954" s="193"/>
      <c r="C954" s="193"/>
      <c r="D954" s="193"/>
      <c r="E954" s="193"/>
      <c r="F954" s="193"/>
      <c r="G954" s="193"/>
      <c r="H954" s="193"/>
    </row>
    <row r="955" spans="1:8" ht="15.6">
      <c r="A955" s="193"/>
      <c r="B955" s="193"/>
      <c r="C955" s="193"/>
      <c r="D955" s="193"/>
      <c r="E955" s="193"/>
      <c r="F955" s="193"/>
      <c r="G955" s="193"/>
      <c r="H955" s="193"/>
    </row>
    <row r="956" spans="1:8" ht="15.6">
      <c r="A956" s="193"/>
      <c r="B956" s="193"/>
      <c r="C956" s="193"/>
      <c r="D956" s="193"/>
      <c r="E956" s="193"/>
      <c r="F956" s="193"/>
      <c r="G956" s="193"/>
      <c r="H956" s="193"/>
    </row>
    <row r="957" spans="1:8" ht="15.6">
      <c r="A957" s="193"/>
      <c r="B957" s="193"/>
      <c r="C957" s="193"/>
      <c r="D957" s="193"/>
      <c r="E957" s="193"/>
      <c r="F957" s="193"/>
      <c r="G957" s="193"/>
      <c r="H957" s="193"/>
    </row>
    <row r="958" spans="1:8" ht="15.6">
      <c r="A958" s="193"/>
      <c r="B958" s="193"/>
      <c r="C958" s="193"/>
      <c r="D958" s="193"/>
      <c r="E958" s="193"/>
      <c r="F958" s="193"/>
      <c r="G958" s="193"/>
      <c r="H958" s="193"/>
    </row>
    <row r="959" spans="1:8" ht="15.6">
      <c r="A959" s="193"/>
      <c r="B959" s="193"/>
      <c r="C959" s="193"/>
      <c r="D959" s="193"/>
      <c r="E959" s="193"/>
      <c r="F959" s="193"/>
      <c r="G959" s="193"/>
      <c r="H959" s="193"/>
    </row>
    <row r="960" spans="1:8" ht="15.6">
      <c r="A960" s="193"/>
      <c r="B960" s="193"/>
      <c r="C960" s="193"/>
      <c r="D960" s="193"/>
      <c r="E960" s="193"/>
      <c r="F960" s="193"/>
      <c r="G960" s="193"/>
      <c r="H960" s="193"/>
    </row>
    <row r="961" spans="1:8" ht="15.6">
      <c r="A961" s="193"/>
      <c r="B961" s="193"/>
      <c r="C961" s="193"/>
      <c r="D961" s="193"/>
      <c r="E961" s="193"/>
      <c r="F961" s="193"/>
      <c r="G961" s="193"/>
      <c r="H961" s="193"/>
    </row>
    <row r="962" spans="1:8" ht="15.6">
      <c r="A962" s="193"/>
      <c r="B962" s="193"/>
      <c r="C962" s="193"/>
      <c r="D962" s="193"/>
      <c r="E962" s="193"/>
      <c r="F962" s="193"/>
      <c r="G962" s="193"/>
      <c r="H962" s="193"/>
    </row>
    <row r="963" spans="1:8" ht="15.6">
      <c r="A963" s="193"/>
      <c r="B963" s="193"/>
      <c r="C963" s="193"/>
      <c r="D963" s="193"/>
      <c r="E963" s="193"/>
      <c r="F963" s="193"/>
      <c r="G963" s="193"/>
      <c r="H963" s="193"/>
    </row>
    <row r="964" spans="1:8" ht="15.6">
      <c r="A964" s="193"/>
      <c r="B964" s="193"/>
      <c r="C964" s="193"/>
      <c r="D964" s="193"/>
      <c r="E964" s="193"/>
      <c r="F964" s="193"/>
      <c r="G964" s="193"/>
      <c r="H964" s="193"/>
    </row>
    <row r="965" spans="1:8" ht="15.6">
      <c r="A965" s="193"/>
      <c r="B965" s="193"/>
      <c r="C965" s="193"/>
      <c r="D965" s="193"/>
      <c r="E965" s="193"/>
      <c r="F965" s="193"/>
      <c r="G965" s="193"/>
      <c r="H965" s="193"/>
    </row>
    <row r="966" spans="1:8" ht="15.6">
      <c r="A966" s="193"/>
      <c r="B966" s="193"/>
      <c r="C966" s="193"/>
      <c r="D966" s="193"/>
      <c r="E966" s="193"/>
      <c r="F966" s="193"/>
      <c r="G966" s="193"/>
      <c r="H966" s="193"/>
    </row>
    <row r="967" spans="1:8" ht="15.6">
      <c r="A967" s="193"/>
      <c r="B967" s="193"/>
      <c r="C967" s="193"/>
      <c r="D967" s="193"/>
      <c r="E967" s="193"/>
      <c r="F967" s="193"/>
      <c r="G967" s="193"/>
      <c r="H967" s="193"/>
    </row>
    <row r="968" spans="1:8" ht="15.6">
      <c r="A968" s="193"/>
      <c r="B968" s="193"/>
      <c r="C968" s="193"/>
      <c r="D968" s="193"/>
      <c r="E968" s="193"/>
      <c r="F968" s="193"/>
      <c r="G968" s="193"/>
      <c r="H968" s="193"/>
    </row>
    <row r="969" spans="1:8" ht="15.6">
      <c r="A969" s="193"/>
      <c r="B969" s="193"/>
      <c r="C969" s="193"/>
      <c r="D969" s="193"/>
      <c r="E969" s="193"/>
      <c r="F969" s="193"/>
      <c r="G969" s="193"/>
      <c r="H969" s="193"/>
    </row>
    <row r="970" spans="1:8" ht="15.6">
      <c r="A970" s="193"/>
      <c r="B970" s="193"/>
      <c r="C970" s="193"/>
      <c r="D970" s="193"/>
      <c r="E970" s="193"/>
      <c r="F970" s="193"/>
      <c r="G970" s="193"/>
      <c r="H970" s="193"/>
    </row>
    <row r="971" spans="1:8" ht="15.6">
      <c r="A971" s="193"/>
      <c r="B971" s="193"/>
      <c r="C971" s="193"/>
      <c r="D971" s="193"/>
      <c r="E971" s="193"/>
      <c r="F971" s="193"/>
      <c r="G971" s="193"/>
      <c r="H971" s="193"/>
    </row>
    <row r="972" spans="1:8" ht="15.6">
      <c r="A972" s="193"/>
      <c r="B972" s="193"/>
      <c r="C972" s="193"/>
      <c r="D972" s="193"/>
      <c r="E972" s="193"/>
      <c r="F972" s="193"/>
      <c r="G972" s="193"/>
      <c r="H972" s="193"/>
    </row>
    <row r="973" spans="1:8" ht="15.6">
      <c r="A973" s="193"/>
      <c r="B973" s="193"/>
      <c r="C973" s="193"/>
      <c r="D973" s="193"/>
      <c r="E973" s="193"/>
      <c r="F973" s="193"/>
      <c r="G973" s="193"/>
      <c r="H973" s="193"/>
    </row>
    <row r="974" spans="1:8" ht="15.6">
      <c r="A974" s="193"/>
      <c r="B974" s="193"/>
      <c r="C974" s="193"/>
      <c r="D974" s="193"/>
      <c r="E974" s="193"/>
      <c r="F974" s="193"/>
      <c r="G974" s="193"/>
      <c r="H974" s="193"/>
    </row>
    <row r="975" spans="1:8" ht="15.6">
      <c r="A975" s="193"/>
      <c r="B975" s="193"/>
      <c r="C975" s="193"/>
      <c r="D975" s="193"/>
      <c r="E975" s="193"/>
      <c r="F975" s="193"/>
      <c r="G975" s="193"/>
      <c r="H975" s="193"/>
    </row>
    <row r="976" spans="1:8" ht="15.6">
      <c r="A976" s="193"/>
      <c r="B976" s="193"/>
      <c r="C976" s="193"/>
      <c r="D976" s="193"/>
      <c r="E976" s="193"/>
      <c r="F976" s="193"/>
      <c r="G976" s="193"/>
      <c r="H976" s="193"/>
    </row>
    <row r="977" spans="1:8" ht="15.6">
      <c r="A977" s="193"/>
      <c r="B977" s="193"/>
      <c r="C977" s="193"/>
      <c r="D977" s="193"/>
      <c r="E977" s="193"/>
      <c r="F977" s="193"/>
      <c r="G977" s="193"/>
      <c r="H977" s="193"/>
    </row>
    <row r="978" spans="1:8" ht="15.6">
      <c r="A978" s="193"/>
      <c r="B978" s="193"/>
      <c r="C978" s="193"/>
      <c r="D978" s="193"/>
      <c r="E978" s="193"/>
      <c r="F978" s="193"/>
      <c r="G978" s="193"/>
      <c r="H978" s="193"/>
    </row>
    <row r="979" spans="1:8" ht="15.6">
      <c r="A979" s="193"/>
      <c r="B979" s="193"/>
      <c r="C979" s="193"/>
      <c r="D979" s="193"/>
      <c r="E979" s="193"/>
      <c r="F979" s="193"/>
      <c r="G979" s="193"/>
      <c r="H979" s="193"/>
    </row>
    <row r="980" spans="1:8" ht="15.6">
      <c r="A980" s="193"/>
      <c r="B980" s="193"/>
      <c r="C980" s="193"/>
      <c r="D980" s="193"/>
      <c r="E980" s="193"/>
      <c r="F980" s="193"/>
      <c r="G980" s="193"/>
      <c r="H980" s="193"/>
    </row>
    <row r="981" spans="1:8" ht="15.6">
      <c r="A981" s="193"/>
      <c r="B981" s="193"/>
      <c r="C981" s="193"/>
      <c r="D981" s="193"/>
      <c r="E981" s="193"/>
      <c r="F981" s="193"/>
      <c r="G981" s="193"/>
      <c r="H981" s="193"/>
    </row>
    <row r="982" spans="1:8" ht="15.6">
      <c r="A982" s="193"/>
      <c r="B982" s="193"/>
      <c r="C982" s="193"/>
      <c r="D982" s="193"/>
      <c r="E982" s="193"/>
      <c r="F982" s="193"/>
      <c r="G982" s="193"/>
      <c r="H982" s="193"/>
    </row>
    <row r="983" spans="1:8" ht="15.6">
      <c r="A983" s="193"/>
      <c r="B983" s="193"/>
      <c r="C983" s="193"/>
      <c r="D983" s="193"/>
      <c r="E983" s="193"/>
      <c r="F983" s="193"/>
      <c r="G983" s="193"/>
      <c r="H983" s="193"/>
    </row>
    <row r="984" spans="1:8" ht="15.6">
      <c r="A984" s="193"/>
      <c r="B984" s="193"/>
      <c r="C984" s="193"/>
      <c r="D984" s="193"/>
      <c r="E984" s="193"/>
      <c r="F984" s="193"/>
      <c r="G984" s="193"/>
      <c r="H984" s="193"/>
    </row>
    <row r="985" spans="1:8" ht="15.6">
      <c r="A985" s="193"/>
      <c r="B985" s="193"/>
      <c r="C985" s="193"/>
      <c r="D985" s="193"/>
      <c r="E985" s="193"/>
      <c r="F985" s="193"/>
      <c r="G985" s="193"/>
      <c r="H985" s="193"/>
    </row>
    <row r="986" spans="1:8" ht="15.6">
      <c r="A986" s="193"/>
      <c r="B986" s="193"/>
      <c r="C986" s="193"/>
      <c r="D986" s="193"/>
      <c r="E986" s="193"/>
      <c r="F986" s="193"/>
      <c r="G986" s="193"/>
      <c r="H986" s="193"/>
    </row>
    <row r="987" spans="1:8" ht="15.6">
      <c r="A987" s="193"/>
      <c r="B987" s="193"/>
      <c r="C987" s="193"/>
      <c r="D987" s="193"/>
      <c r="E987" s="193"/>
      <c r="F987" s="193"/>
      <c r="G987" s="193"/>
      <c r="H987" s="193"/>
    </row>
    <row r="988" spans="1:8" ht="15.6">
      <c r="A988" s="193"/>
      <c r="B988" s="193"/>
      <c r="C988" s="193"/>
      <c r="D988" s="193"/>
      <c r="E988" s="193"/>
      <c r="F988" s="193"/>
      <c r="G988" s="193"/>
      <c r="H988" s="193"/>
    </row>
    <row r="989" spans="1:8" ht="15.6">
      <c r="A989" s="193"/>
      <c r="B989" s="193"/>
      <c r="C989" s="193"/>
      <c r="D989" s="193"/>
      <c r="E989" s="193"/>
      <c r="F989" s="193"/>
      <c r="G989" s="193"/>
      <c r="H989" s="193"/>
    </row>
    <row r="990" spans="1:8" ht="15.6">
      <c r="A990" s="193"/>
      <c r="B990" s="193"/>
      <c r="C990" s="193"/>
      <c r="D990" s="193"/>
      <c r="E990" s="193"/>
      <c r="F990" s="193"/>
      <c r="G990" s="193"/>
      <c r="H990" s="193"/>
    </row>
    <row r="991" spans="1:8" ht="15.6">
      <c r="A991" s="193"/>
      <c r="B991" s="193"/>
      <c r="C991" s="193"/>
      <c r="D991" s="193"/>
      <c r="E991" s="193"/>
      <c r="F991" s="193"/>
      <c r="G991" s="193"/>
      <c r="H991" s="193"/>
    </row>
    <row r="992" spans="1:8" ht="15.6">
      <c r="A992" s="193"/>
      <c r="B992" s="193"/>
      <c r="C992" s="193"/>
      <c r="D992" s="193"/>
      <c r="E992" s="193"/>
      <c r="F992" s="193"/>
      <c r="G992" s="193"/>
      <c r="H992" s="193"/>
    </row>
    <row r="993" spans="1:8" ht="15.6">
      <c r="A993" s="193"/>
      <c r="B993" s="193"/>
      <c r="C993" s="193"/>
      <c r="D993" s="193"/>
      <c r="E993" s="193"/>
      <c r="F993" s="193"/>
      <c r="G993" s="193"/>
      <c r="H993" s="193"/>
    </row>
    <row r="994" spans="1:8" ht="15.6">
      <c r="A994" s="193"/>
      <c r="B994" s="193"/>
      <c r="C994" s="193"/>
      <c r="D994" s="193"/>
      <c r="E994" s="193"/>
      <c r="F994" s="193"/>
      <c r="G994" s="193"/>
      <c r="H994" s="193"/>
    </row>
    <row r="995" spans="1:8" ht="15.6">
      <c r="A995" s="193"/>
      <c r="B995" s="193"/>
      <c r="C995" s="193"/>
      <c r="D995" s="193"/>
      <c r="E995" s="193"/>
      <c r="F995" s="193"/>
      <c r="G995" s="193"/>
      <c r="H995" s="193"/>
    </row>
    <row r="996" spans="1:8" ht="15.6">
      <c r="A996" s="193"/>
      <c r="B996" s="193"/>
      <c r="C996" s="193"/>
      <c r="D996" s="193"/>
      <c r="E996" s="193"/>
      <c r="F996" s="193"/>
      <c r="G996" s="193"/>
      <c r="H996" s="193"/>
    </row>
    <row r="997" spans="1:8" ht="15.6">
      <c r="A997" s="193"/>
      <c r="B997" s="193"/>
      <c r="C997" s="193"/>
      <c r="D997" s="193"/>
      <c r="E997" s="193"/>
      <c r="F997" s="193"/>
      <c r="G997" s="193"/>
      <c r="H997" s="193"/>
    </row>
    <row r="998" spans="1:8" ht="15.6">
      <c r="A998" s="193"/>
      <c r="B998" s="193"/>
      <c r="C998" s="193"/>
      <c r="D998" s="193"/>
      <c r="E998" s="193"/>
      <c r="F998" s="193"/>
      <c r="G998" s="193"/>
      <c r="H998" s="193"/>
    </row>
    <row r="999" spans="1:8" ht="15.6">
      <c r="A999" s="193"/>
      <c r="B999" s="193"/>
      <c r="C999" s="193"/>
      <c r="D999" s="193"/>
      <c r="E999" s="193"/>
      <c r="F999" s="193"/>
      <c r="G999" s="193"/>
      <c r="H999" s="193"/>
    </row>
    <row r="1000" spans="1:8" ht="15.6">
      <c r="A1000" s="193"/>
      <c r="B1000" s="193"/>
      <c r="C1000" s="193"/>
      <c r="D1000" s="193"/>
      <c r="E1000" s="193"/>
      <c r="F1000" s="193"/>
      <c r="G1000" s="193"/>
      <c r="H1000" s="193"/>
    </row>
  </sheetData>
  <mergeCells count="46">
    <mergeCell ref="C97:H97"/>
    <mergeCell ref="B110:G110"/>
    <mergeCell ref="C118:H118"/>
    <mergeCell ref="C119:H119"/>
    <mergeCell ref="C105:H105"/>
    <mergeCell ref="C106:H106"/>
    <mergeCell ref="C107:H107"/>
    <mergeCell ref="C76:H76"/>
    <mergeCell ref="C85:H85"/>
    <mergeCell ref="C86:H86"/>
    <mergeCell ref="C87:H87"/>
    <mergeCell ref="C96:H96"/>
    <mergeCell ref="B1:G1"/>
    <mergeCell ref="B2:G2"/>
    <mergeCell ref="B4:G4"/>
    <mergeCell ref="C21:H21"/>
    <mergeCell ref="C22:H22"/>
    <mergeCell ref="C23:H23"/>
    <mergeCell ref="C31:H31"/>
    <mergeCell ref="C32:H32"/>
    <mergeCell ref="C33:H33"/>
    <mergeCell ref="C46:H46"/>
    <mergeCell ref="C47:H47"/>
    <mergeCell ref="C75:H75"/>
    <mergeCell ref="C61:H61"/>
    <mergeCell ref="C62:H62"/>
    <mergeCell ref="C63:H63"/>
    <mergeCell ref="B66:G66"/>
    <mergeCell ref="C74:H74"/>
    <mergeCell ref="C48:H48"/>
    <mergeCell ref="C129:H129"/>
    <mergeCell ref="C130:H130"/>
    <mergeCell ref="C131:H131"/>
    <mergeCell ref="C120:H120"/>
    <mergeCell ref="B154:G154"/>
    <mergeCell ref="C174:H174"/>
    <mergeCell ref="C175:H175"/>
    <mergeCell ref="C140:H140"/>
    <mergeCell ref="C141:H141"/>
    <mergeCell ref="C149:H149"/>
    <mergeCell ref="C150:H150"/>
    <mergeCell ref="C151:H151"/>
    <mergeCell ref="C162:H162"/>
    <mergeCell ref="C163:H163"/>
    <mergeCell ref="C164:H164"/>
    <mergeCell ref="C173:H17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308F-72B2-4E98-8689-846542E31844}">
  <sheetPr>
    <tabColor theme="8"/>
    <outlinePr summaryBelow="0" summaryRight="0"/>
  </sheetPr>
  <dimension ref="A1:AB878"/>
  <sheetViews>
    <sheetView topLeftCell="A23" workbookViewId="0">
      <selection activeCell="J20" sqref="B20:J45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5" width="6.5703125" style="79" customWidth="1"/>
    <col min="6" max="6" width="6.140625" style="79" customWidth="1"/>
    <col min="7" max="8" width="6.7109375" style="79" customWidth="1"/>
    <col min="9" max="9" width="14.7109375" style="79" customWidth="1"/>
    <col min="10" max="28" width="12.7109375" style="77"/>
    <col min="29" max="16384" width="12.7109375" style="79"/>
  </cols>
  <sheetData>
    <row r="1" spans="1:9" ht="33" customHeight="1">
      <c r="A1" s="204" t="s">
        <v>299</v>
      </c>
      <c r="B1" s="264" t="s">
        <v>300</v>
      </c>
      <c r="C1" s="264"/>
      <c r="D1" s="264"/>
      <c r="E1" s="264"/>
      <c r="F1" s="264"/>
      <c r="G1" s="264"/>
      <c r="H1" s="264"/>
      <c r="I1" s="102" t="s">
        <v>301</v>
      </c>
    </row>
    <row r="2" spans="1:9" ht="15" customHeight="1">
      <c r="A2" s="94"/>
      <c r="B2" s="95"/>
      <c r="C2" s="95"/>
      <c r="D2" s="96"/>
      <c r="E2" s="96"/>
      <c r="F2" s="96"/>
      <c r="G2" s="96"/>
      <c r="H2" s="96"/>
      <c r="I2" s="97"/>
    </row>
    <row r="3" spans="1:9" ht="15.75" customHeight="1">
      <c r="A3" s="98">
        <v>5</v>
      </c>
      <c r="B3" s="215" t="s">
        <v>414</v>
      </c>
      <c r="C3" s="278"/>
      <c r="D3" s="278"/>
      <c r="E3" s="278"/>
      <c r="F3" s="278"/>
      <c r="G3" s="278"/>
      <c r="H3" s="278"/>
      <c r="I3" s="90">
        <f>AVERAGE(H6:H38)</f>
        <v>4</v>
      </c>
    </row>
    <row r="4" spans="1:9" ht="15.75" customHeight="1">
      <c r="A4" s="82"/>
      <c r="B4" s="124"/>
      <c r="C4" s="193"/>
      <c r="D4" s="193"/>
      <c r="E4" s="218" t="s">
        <v>31</v>
      </c>
      <c r="F4" s="218"/>
      <c r="G4" s="218"/>
      <c r="H4" s="194"/>
      <c r="I4" s="90"/>
    </row>
    <row r="5" spans="1:9" ht="15.75" customHeight="1">
      <c r="A5" s="82"/>
      <c r="B5" s="124"/>
      <c r="C5" s="193"/>
      <c r="D5" s="193"/>
      <c r="E5" s="201" t="s">
        <v>539</v>
      </c>
      <c r="F5" s="201" t="s">
        <v>414</v>
      </c>
      <c r="G5" s="201" t="s">
        <v>540</v>
      </c>
      <c r="H5" s="92" t="s">
        <v>306</v>
      </c>
      <c r="I5" s="91"/>
    </row>
    <row r="6" spans="1:9" ht="15.75" customHeight="1">
      <c r="A6" s="82"/>
      <c r="B6" s="124" t="s">
        <v>483</v>
      </c>
      <c r="C6" s="193"/>
      <c r="D6" s="193" t="s">
        <v>541</v>
      </c>
      <c r="E6" s="92">
        <v>4</v>
      </c>
      <c r="F6" s="92">
        <v>4</v>
      </c>
      <c r="G6" s="92">
        <v>4</v>
      </c>
      <c r="H6" s="143">
        <f t="shared" ref="H6:H23" si="0">AVERAGE(E6:G6)</f>
        <v>4</v>
      </c>
      <c r="I6" s="91"/>
    </row>
    <row r="7" spans="1:9" ht="15.75" customHeight="1">
      <c r="A7" s="82"/>
      <c r="B7" s="124" t="s">
        <v>503</v>
      </c>
      <c r="C7" s="193"/>
      <c r="D7" s="193" t="s">
        <v>542</v>
      </c>
      <c r="E7" s="92">
        <v>4</v>
      </c>
      <c r="F7" s="92">
        <v>4</v>
      </c>
      <c r="G7" s="92">
        <v>4</v>
      </c>
      <c r="H7" s="143">
        <f t="shared" si="0"/>
        <v>4</v>
      </c>
      <c r="I7" s="90"/>
    </row>
    <row r="8" spans="1:9" ht="15.75" customHeight="1">
      <c r="A8" s="82"/>
      <c r="B8" s="124" t="s">
        <v>381</v>
      </c>
      <c r="C8" s="193"/>
      <c r="D8" s="193" t="s">
        <v>543</v>
      </c>
      <c r="E8" s="92">
        <v>4</v>
      </c>
      <c r="F8" s="92">
        <v>4</v>
      </c>
      <c r="G8" s="92">
        <v>4</v>
      </c>
      <c r="H8" s="143">
        <f t="shared" si="0"/>
        <v>4</v>
      </c>
      <c r="I8" s="90"/>
    </row>
    <row r="9" spans="1:9" ht="15.75" customHeight="1">
      <c r="A9" s="82"/>
      <c r="B9" s="124" t="s">
        <v>544</v>
      </c>
      <c r="C9" s="193"/>
      <c r="D9" s="193" t="s">
        <v>545</v>
      </c>
      <c r="E9" s="92">
        <v>4</v>
      </c>
      <c r="F9" s="92">
        <v>4</v>
      </c>
      <c r="G9" s="92">
        <v>4</v>
      </c>
      <c r="H9" s="143">
        <f t="shared" si="0"/>
        <v>4</v>
      </c>
      <c r="I9" s="90"/>
    </row>
    <row r="10" spans="1:9" ht="15.75" customHeight="1">
      <c r="A10" s="82"/>
      <c r="B10" s="124" t="s">
        <v>546</v>
      </c>
      <c r="C10" s="193"/>
      <c r="D10" s="193" t="s">
        <v>547</v>
      </c>
      <c r="E10" s="92">
        <v>4</v>
      </c>
      <c r="F10" s="92">
        <v>4</v>
      </c>
      <c r="G10" s="92">
        <v>4</v>
      </c>
      <c r="H10" s="143">
        <f t="shared" si="0"/>
        <v>4</v>
      </c>
      <c r="I10" s="90"/>
    </row>
    <row r="11" spans="1:9" ht="15.75" customHeight="1">
      <c r="A11" s="82"/>
      <c r="B11" s="124" t="s">
        <v>548</v>
      </c>
      <c r="C11" s="193"/>
      <c r="D11" s="193" t="s">
        <v>549</v>
      </c>
      <c r="E11" s="92">
        <v>4</v>
      </c>
      <c r="F11" s="92">
        <v>4</v>
      </c>
      <c r="G11" s="92">
        <v>4</v>
      </c>
      <c r="H11" s="143">
        <f t="shared" si="0"/>
        <v>4</v>
      </c>
      <c r="I11" s="90"/>
    </row>
    <row r="12" spans="1:9" ht="15.75" customHeight="1">
      <c r="A12" s="82"/>
      <c r="B12" s="124" t="s">
        <v>550</v>
      </c>
      <c r="C12" s="193"/>
      <c r="D12" s="193" t="s">
        <v>551</v>
      </c>
      <c r="E12" s="92">
        <v>4</v>
      </c>
      <c r="F12" s="92">
        <v>4</v>
      </c>
      <c r="G12" s="92">
        <v>4</v>
      </c>
      <c r="H12" s="143">
        <f t="shared" si="0"/>
        <v>4</v>
      </c>
      <c r="I12" s="90"/>
    </row>
    <row r="13" spans="1:9" ht="15.75" customHeight="1">
      <c r="A13" s="82"/>
      <c r="B13" s="124" t="s">
        <v>552</v>
      </c>
      <c r="C13" s="193"/>
      <c r="D13" s="193" t="s">
        <v>553</v>
      </c>
      <c r="E13" s="92">
        <v>4</v>
      </c>
      <c r="F13" s="92">
        <v>4</v>
      </c>
      <c r="G13" s="92">
        <v>4</v>
      </c>
      <c r="H13" s="143">
        <f t="shared" si="0"/>
        <v>4</v>
      </c>
      <c r="I13" s="90"/>
    </row>
    <row r="14" spans="1:9" ht="15.75" customHeight="1">
      <c r="A14" s="82"/>
      <c r="B14" s="124" t="s">
        <v>554</v>
      </c>
      <c r="C14" s="193"/>
      <c r="D14" s="193" t="s">
        <v>555</v>
      </c>
      <c r="E14" s="92">
        <v>4</v>
      </c>
      <c r="F14" s="92">
        <v>4</v>
      </c>
      <c r="G14" s="92">
        <v>4</v>
      </c>
      <c r="H14" s="143">
        <f t="shared" si="0"/>
        <v>4</v>
      </c>
      <c r="I14" s="90"/>
    </row>
    <row r="15" spans="1:9" ht="15.75" customHeight="1">
      <c r="A15" s="82"/>
      <c r="B15" s="124" t="s">
        <v>556</v>
      </c>
      <c r="C15" s="193"/>
      <c r="D15" s="193" t="s">
        <v>557</v>
      </c>
      <c r="E15" s="92">
        <v>4</v>
      </c>
      <c r="F15" s="92">
        <v>4</v>
      </c>
      <c r="G15" s="92">
        <v>4</v>
      </c>
      <c r="H15" s="143">
        <f t="shared" si="0"/>
        <v>4</v>
      </c>
      <c r="I15" s="90"/>
    </row>
    <row r="16" spans="1:9" ht="15.6">
      <c r="A16" s="82"/>
      <c r="B16" s="124" t="s">
        <v>558</v>
      </c>
      <c r="C16" s="193"/>
      <c r="D16" s="193" t="s">
        <v>559</v>
      </c>
      <c r="E16" s="92">
        <v>4</v>
      </c>
      <c r="F16" s="92">
        <v>4</v>
      </c>
      <c r="G16" s="92">
        <v>4</v>
      </c>
      <c r="H16" s="143">
        <f t="shared" si="0"/>
        <v>4</v>
      </c>
      <c r="I16" s="90"/>
    </row>
    <row r="17" spans="1:9" ht="15.75" customHeight="1">
      <c r="A17" s="82"/>
      <c r="B17" s="124" t="s">
        <v>560</v>
      </c>
      <c r="C17" s="193"/>
      <c r="D17" s="193" t="s">
        <v>561</v>
      </c>
      <c r="E17" s="92">
        <v>4</v>
      </c>
      <c r="F17" s="92">
        <v>4</v>
      </c>
      <c r="G17" s="92">
        <v>4</v>
      </c>
      <c r="H17" s="143">
        <f t="shared" si="0"/>
        <v>4</v>
      </c>
      <c r="I17" s="90"/>
    </row>
    <row r="18" spans="1:9" ht="15.75" customHeight="1">
      <c r="A18" s="82"/>
      <c r="B18" s="124" t="s">
        <v>562</v>
      </c>
      <c r="C18" s="193"/>
      <c r="D18" s="193" t="s">
        <v>563</v>
      </c>
      <c r="E18" s="92">
        <v>4</v>
      </c>
      <c r="F18" s="92">
        <v>4</v>
      </c>
      <c r="G18" s="92">
        <v>4</v>
      </c>
      <c r="H18" s="143">
        <f t="shared" si="0"/>
        <v>4</v>
      </c>
      <c r="I18" s="90"/>
    </row>
    <row r="19" spans="1:9" ht="15.75" customHeight="1">
      <c r="A19" s="82"/>
      <c r="B19" s="124" t="s">
        <v>564</v>
      </c>
      <c r="C19" s="193"/>
      <c r="D19" s="193" t="s">
        <v>565</v>
      </c>
      <c r="E19" s="92">
        <v>4</v>
      </c>
      <c r="F19" s="92">
        <v>4</v>
      </c>
      <c r="G19" s="92">
        <v>4</v>
      </c>
      <c r="H19" s="143">
        <f t="shared" si="0"/>
        <v>4</v>
      </c>
      <c r="I19" s="90"/>
    </row>
    <row r="20" spans="1:9" ht="15.75" customHeight="1">
      <c r="A20" s="82"/>
      <c r="B20" s="124" t="s">
        <v>566</v>
      </c>
      <c r="C20" s="193"/>
      <c r="D20" s="193" t="s">
        <v>567</v>
      </c>
      <c r="E20" s="92">
        <v>4</v>
      </c>
      <c r="F20" s="92">
        <v>4</v>
      </c>
      <c r="G20" s="92">
        <v>4</v>
      </c>
      <c r="H20" s="143">
        <f t="shared" si="0"/>
        <v>4</v>
      </c>
      <c r="I20" s="90"/>
    </row>
    <row r="21" spans="1:9" ht="15.75" customHeight="1">
      <c r="A21" s="82"/>
      <c r="B21" s="124" t="s">
        <v>568</v>
      </c>
      <c r="C21" s="208"/>
      <c r="D21" s="193" t="s">
        <v>569</v>
      </c>
      <c r="E21" s="92">
        <v>4</v>
      </c>
      <c r="F21" s="92">
        <v>4</v>
      </c>
      <c r="G21" s="92">
        <v>4</v>
      </c>
      <c r="H21" s="143">
        <f t="shared" si="0"/>
        <v>4</v>
      </c>
      <c r="I21" s="209"/>
    </row>
    <row r="22" spans="1:9" ht="15.75" customHeight="1">
      <c r="A22" s="82"/>
      <c r="B22" s="124" t="s">
        <v>570</v>
      </c>
      <c r="C22" s="193"/>
      <c r="D22" s="193" t="s">
        <v>571</v>
      </c>
      <c r="E22" s="92">
        <v>4</v>
      </c>
      <c r="F22" s="92">
        <v>4</v>
      </c>
      <c r="G22" s="92">
        <v>4</v>
      </c>
      <c r="H22" s="143">
        <f t="shared" si="0"/>
        <v>4</v>
      </c>
      <c r="I22" s="90"/>
    </row>
    <row r="23" spans="1:9" ht="15.75" customHeight="1">
      <c r="A23" s="82"/>
      <c r="B23" s="124" t="s">
        <v>572</v>
      </c>
      <c r="C23" s="193"/>
      <c r="D23" s="193" t="s">
        <v>573</v>
      </c>
      <c r="E23" s="92">
        <v>4</v>
      </c>
      <c r="F23" s="92">
        <v>4</v>
      </c>
      <c r="G23" s="92">
        <v>4</v>
      </c>
      <c r="H23" s="143">
        <f t="shared" si="0"/>
        <v>4</v>
      </c>
      <c r="I23" s="91"/>
    </row>
    <row r="24" spans="1:9" ht="15.6">
      <c r="A24" s="82"/>
      <c r="B24" s="124" t="s">
        <v>574</v>
      </c>
      <c r="C24" s="193"/>
      <c r="D24" s="193" t="s">
        <v>575</v>
      </c>
      <c r="E24" s="92"/>
      <c r="F24" s="92"/>
      <c r="G24" s="92"/>
      <c r="H24" s="143"/>
      <c r="I24" s="91"/>
    </row>
    <row r="25" spans="1:9" ht="15.75" customHeight="1">
      <c r="A25" s="82"/>
      <c r="B25" s="124"/>
      <c r="C25" s="198"/>
      <c r="D25" s="198"/>
      <c r="E25" s="194"/>
      <c r="F25" s="11" t="s">
        <v>31</v>
      </c>
      <c r="G25" s="11" t="s">
        <v>10</v>
      </c>
      <c r="H25" s="133" t="s">
        <v>306</v>
      </c>
      <c r="I25" s="90"/>
    </row>
    <row r="26" spans="1:9" ht="15.75" customHeight="1">
      <c r="A26" s="82"/>
      <c r="B26" s="124"/>
      <c r="C26" s="193" t="s">
        <v>307</v>
      </c>
      <c r="D26" s="193" t="s">
        <v>576</v>
      </c>
      <c r="E26" s="194"/>
      <c r="F26" s="92">
        <v>4</v>
      </c>
      <c r="G26" s="92">
        <v>4</v>
      </c>
      <c r="H26" s="143">
        <f>AVERAGE(E26:G26)</f>
        <v>4</v>
      </c>
      <c r="I26" s="90"/>
    </row>
    <row r="27" spans="1:9" ht="15.75" customHeight="1">
      <c r="A27" s="82"/>
      <c r="B27" s="124"/>
      <c r="C27" s="193" t="s">
        <v>309</v>
      </c>
      <c r="D27" s="193" t="s">
        <v>577</v>
      </c>
      <c r="E27" s="194"/>
      <c r="F27" s="92">
        <v>4</v>
      </c>
      <c r="G27" s="92">
        <v>4</v>
      </c>
      <c r="H27" s="143">
        <f>AVERAGE(E27:G27)</f>
        <v>4</v>
      </c>
      <c r="I27" s="90"/>
    </row>
    <row r="28" spans="1:9" ht="15.75" customHeight="1">
      <c r="A28" s="82"/>
      <c r="B28" s="124"/>
      <c r="C28" s="193" t="s">
        <v>316</v>
      </c>
      <c r="D28" s="193" t="s">
        <v>578</v>
      </c>
      <c r="E28" s="194"/>
      <c r="F28" s="92">
        <v>4</v>
      </c>
      <c r="G28" s="92">
        <v>4</v>
      </c>
      <c r="H28" s="143">
        <f>AVERAGE(E28:G28)</f>
        <v>4</v>
      </c>
      <c r="I28" s="91"/>
    </row>
    <row r="29" spans="1:9" ht="15.75" customHeight="1">
      <c r="A29" s="82"/>
      <c r="B29" s="124"/>
      <c r="C29" s="193" t="s">
        <v>318</v>
      </c>
      <c r="D29" s="193" t="s">
        <v>579</v>
      </c>
      <c r="E29" s="194"/>
      <c r="F29" s="92">
        <v>4</v>
      </c>
      <c r="G29" s="92">
        <v>4</v>
      </c>
      <c r="H29" s="143">
        <f>AVERAGE(E29:G29)</f>
        <v>4</v>
      </c>
      <c r="I29" s="91"/>
    </row>
    <row r="30" spans="1:9" ht="15.75" customHeight="1">
      <c r="A30" s="82"/>
      <c r="B30" s="124" t="s">
        <v>580</v>
      </c>
      <c r="C30" s="193"/>
      <c r="D30" s="193" t="s">
        <v>581</v>
      </c>
      <c r="E30" s="18"/>
      <c r="F30" s="18"/>
      <c r="G30" s="18"/>
      <c r="H30" s="133"/>
      <c r="I30" s="91"/>
    </row>
    <row r="31" spans="1:9" ht="15.75" customHeight="1">
      <c r="A31" s="82"/>
      <c r="B31" s="124"/>
      <c r="C31" s="193"/>
      <c r="D31" s="193"/>
      <c r="E31" s="194"/>
      <c r="F31" s="11" t="s">
        <v>31</v>
      </c>
      <c r="G31" s="11" t="s">
        <v>10</v>
      </c>
      <c r="H31" s="133" t="s">
        <v>306</v>
      </c>
      <c r="I31" s="91"/>
    </row>
    <row r="32" spans="1:9" ht="15.75" customHeight="1">
      <c r="A32" s="82"/>
      <c r="B32" s="124"/>
      <c r="C32" s="193" t="s">
        <v>307</v>
      </c>
      <c r="D32" s="193" t="s">
        <v>582</v>
      </c>
      <c r="E32" s="194"/>
      <c r="F32" s="92">
        <v>4</v>
      </c>
      <c r="G32" s="92">
        <v>4</v>
      </c>
      <c r="H32" s="143">
        <f>AVERAGE(E32:G32)</f>
        <v>4</v>
      </c>
      <c r="I32" s="91"/>
    </row>
    <row r="33" spans="1:9" ht="15.75" customHeight="1">
      <c r="A33" s="82"/>
      <c r="B33" s="124"/>
      <c r="C33" s="193" t="s">
        <v>309</v>
      </c>
      <c r="D33" s="193" t="s">
        <v>583</v>
      </c>
      <c r="E33" s="194"/>
      <c r="F33" s="92">
        <v>4</v>
      </c>
      <c r="G33" s="92">
        <v>4</v>
      </c>
      <c r="H33" s="143">
        <f>AVERAGE(E33:G33)</f>
        <v>4</v>
      </c>
      <c r="I33" s="90"/>
    </row>
    <row r="34" spans="1:9" ht="15.75" customHeight="1">
      <c r="A34" s="82"/>
      <c r="B34" s="124"/>
      <c r="C34" s="193" t="s">
        <v>316</v>
      </c>
      <c r="D34" s="193" t="s">
        <v>433</v>
      </c>
      <c r="E34" s="194"/>
      <c r="F34" s="92">
        <v>4</v>
      </c>
      <c r="G34" s="92">
        <v>4</v>
      </c>
      <c r="H34" s="143">
        <f>AVERAGE(E34:G34)</f>
        <v>4</v>
      </c>
      <c r="I34" s="91"/>
    </row>
    <row r="35" spans="1:9" ht="15.75" customHeight="1">
      <c r="A35" s="82"/>
      <c r="B35" s="124" t="s">
        <v>584</v>
      </c>
      <c r="C35" s="193"/>
      <c r="D35" s="193" t="s">
        <v>585</v>
      </c>
      <c r="E35" s="18"/>
      <c r="F35" s="18"/>
      <c r="G35" s="18"/>
      <c r="H35" s="133"/>
      <c r="I35" s="91"/>
    </row>
    <row r="36" spans="1:9" ht="15.75" customHeight="1">
      <c r="A36" s="82"/>
      <c r="B36" s="193"/>
      <c r="C36" s="193"/>
      <c r="D36" s="193"/>
      <c r="E36" s="194"/>
      <c r="F36" s="11" t="s">
        <v>31</v>
      </c>
      <c r="G36" s="11" t="s">
        <v>10</v>
      </c>
      <c r="H36" s="133" t="s">
        <v>306</v>
      </c>
      <c r="I36" s="90"/>
    </row>
    <row r="37" spans="1:9" ht="15.75" customHeight="1">
      <c r="A37" s="82"/>
      <c r="B37" s="193"/>
      <c r="C37" s="193" t="s">
        <v>307</v>
      </c>
      <c r="D37" s="193" t="s">
        <v>586</v>
      </c>
      <c r="E37" s="194"/>
      <c r="F37" s="92">
        <v>4</v>
      </c>
      <c r="G37" s="92">
        <v>4</v>
      </c>
      <c r="H37" s="143">
        <f>AVERAGE(E37:G37)</f>
        <v>4</v>
      </c>
      <c r="I37" s="91"/>
    </row>
    <row r="38" spans="1:9" ht="15.75" customHeight="1">
      <c r="A38" s="82"/>
      <c r="B38" s="193"/>
      <c r="C38" s="193" t="s">
        <v>309</v>
      </c>
      <c r="D38" s="193" t="s">
        <v>587</v>
      </c>
      <c r="E38" s="194"/>
      <c r="F38" s="92">
        <v>4</v>
      </c>
      <c r="G38" s="92">
        <v>4</v>
      </c>
      <c r="H38" s="143">
        <f>AVERAGE(E38:G38)</f>
        <v>4</v>
      </c>
      <c r="I38" s="91"/>
    </row>
    <row r="39" spans="1:9" ht="15.75" customHeight="1">
      <c r="A39" s="82"/>
      <c r="B39" s="192" t="s">
        <v>311</v>
      </c>
      <c r="C39" s="271"/>
      <c r="D39" s="271"/>
      <c r="E39" s="271"/>
      <c r="F39" s="271"/>
      <c r="G39" s="271"/>
      <c r="H39" s="271"/>
      <c r="I39" s="272"/>
    </row>
    <row r="40" spans="1:9" ht="15.75" customHeight="1">
      <c r="A40" s="99"/>
      <c r="B40" s="87" t="s">
        <v>285</v>
      </c>
      <c r="C40" s="271" t="s">
        <v>312</v>
      </c>
      <c r="D40" s="271"/>
      <c r="E40" s="271"/>
      <c r="F40" s="271"/>
      <c r="G40" s="271"/>
      <c r="H40" s="271"/>
      <c r="I40" s="272"/>
    </row>
    <row r="41" spans="1:9" ht="15.75" customHeight="1">
      <c r="A41" s="82"/>
      <c r="B41" s="87" t="s">
        <v>285</v>
      </c>
      <c r="C41" s="271" t="s">
        <v>312</v>
      </c>
      <c r="D41" s="271"/>
      <c r="E41" s="271"/>
      <c r="F41" s="271"/>
      <c r="G41" s="271"/>
      <c r="H41" s="271"/>
      <c r="I41" s="272"/>
    </row>
    <row r="42" spans="1:9" ht="15.75" customHeight="1">
      <c r="A42" s="94"/>
      <c r="B42" s="95"/>
      <c r="C42" s="95"/>
      <c r="D42" s="96"/>
      <c r="E42" s="96"/>
      <c r="F42" s="96"/>
      <c r="G42" s="96"/>
      <c r="H42" s="96"/>
      <c r="I42" s="97"/>
    </row>
    <row r="43" spans="1:9" ht="15.75" customHeight="1">
      <c r="A43" s="98">
        <v>6</v>
      </c>
      <c r="B43" s="275" t="s">
        <v>417</v>
      </c>
      <c r="C43" s="275"/>
      <c r="D43" s="275"/>
      <c r="E43" s="275"/>
      <c r="F43" s="275"/>
      <c r="G43" s="275"/>
      <c r="H43" s="275"/>
      <c r="I43" s="90">
        <f>AVERAGE(H46:H50)</f>
        <v>4</v>
      </c>
    </row>
    <row r="44" spans="1:9" ht="15.75" customHeight="1">
      <c r="A44" s="82"/>
      <c r="B44" s="194"/>
      <c r="C44" s="194"/>
      <c r="D44" s="194"/>
      <c r="E44" s="218" t="s">
        <v>31</v>
      </c>
      <c r="F44" s="218"/>
      <c r="G44" s="218"/>
      <c r="H44" s="194"/>
      <c r="I44" s="84"/>
    </row>
    <row r="45" spans="1:9" ht="15.75" customHeight="1">
      <c r="A45" s="82"/>
      <c r="B45" s="124"/>
      <c r="C45" s="193"/>
      <c r="D45" s="193"/>
      <c r="E45" s="201" t="s">
        <v>417</v>
      </c>
      <c r="F45" s="92" t="s">
        <v>588</v>
      </c>
      <c r="G45" s="92" t="s">
        <v>589</v>
      </c>
      <c r="H45" s="92" t="s">
        <v>306</v>
      </c>
      <c r="I45" s="84"/>
    </row>
    <row r="46" spans="1:9" ht="15.75" customHeight="1">
      <c r="A46" s="82"/>
      <c r="B46" s="124" t="s">
        <v>439</v>
      </c>
      <c r="C46" s="193"/>
      <c r="D46" s="193" t="s">
        <v>590</v>
      </c>
      <c r="E46" s="92">
        <v>4</v>
      </c>
      <c r="F46" s="92">
        <v>4</v>
      </c>
      <c r="G46" s="92">
        <v>4</v>
      </c>
      <c r="H46" s="143">
        <f>AVERAGE(E46:G46)</f>
        <v>4</v>
      </c>
      <c r="I46" s="84"/>
    </row>
    <row r="47" spans="1:9" ht="15.75" customHeight="1">
      <c r="A47" s="82"/>
      <c r="B47" s="193"/>
      <c r="C47" s="193"/>
      <c r="D47" s="193" t="s">
        <v>591</v>
      </c>
      <c r="E47" s="92">
        <v>4</v>
      </c>
      <c r="F47" s="92">
        <v>4</v>
      </c>
      <c r="G47" s="92">
        <v>4</v>
      </c>
      <c r="H47" s="143">
        <f>AVERAGE(E47:G47)</f>
        <v>4</v>
      </c>
      <c r="I47" s="84"/>
    </row>
    <row r="48" spans="1:9" ht="15.75" customHeight="1">
      <c r="A48" s="82"/>
      <c r="B48" s="193"/>
      <c r="C48" s="193"/>
      <c r="D48" s="193" t="s">
        <v>592</v>
      </c>
      <c r="E48" s="92">
        <v>4</v>
      </c>
      <c r="F48" s="92">
        <v>4</v>
      </c>
      <c r="G48" s="92">
        <v>4</v>
      </c>
      <c r="H48" s="143">
        <f>AVERAGE(E48:G48)</f>
        <v>4</v>
      </c>
      <c r="I48" s="84"/>
    </row>
    <row r="49" spans="1:9" ht="15.75" customHeight="1">
      <c r="A49" s="82"/>
      <c r="B49" s="193"/>
      <c r="C49" s="193"/>
      <c r="D49" s="193" t="s">
        <v>593</v>
      </c>
      <c r="E49" s="92">
        <v>4</v>
      </c>
      <c r="F49" s="92">
        <v>4</v>
      </c>
      <c r="G49" s="92">
        <v>4</v>
      </c>
      <c r="H49" s="143">
        <f>AVERAGE(E49:G49)</f>
        <v>4</v>
      </c>
      <c r="I49" s="84"/>
    </row>
    <row r="50" spans="1:9" ht="15.75" customHeight="1">
      <c r="A50" s="82"/>
      <c r="B50" s="193"/>
      <c r="C50" s="193"/>
      <c r="D50" s="193" t="s">
        <v>594</v>
      </c>
      <c r="E50" s="92">
        <v>4</v>
      </c>
      <c r="F50" s="92">
        <v>4</v>
      </c>
      <c r="G50" s="92">
        <v>4</v>
      </c>
      <c r="H50" s="143">
        <f>AVERAGE(E50:G50)</f>
        <v>4</v>
      </c>
      <c r="I50" s="84"/>
    </row>
    <row r="51" spans="1:9" ht="15.75" customHeight="1">
      <c r="A51" s="82"/>
      <c r="B51" s="192" t="s">
        <v>311</v>
      </c>
      <c r="C51" s="271"/>
      <c r="D51" s="271"/>
      <c r="E51" s="271"/>
      <c r="F51" s="271"/>
      <c r="G51" s="271"/>
      <c r="H51" s="271"/>
      <c r="I51" s="272"/>
    </row>
    <row r="52" spans="1:9" ht="15.75" customHeight="1">
      <c r="A52" s="99"/>
      <c r="B52" s="87" t="s">
        <v>285</v>
      </c>
      <c r="C52" s="271" t="s">
        <v>312</v>
      </c>
      <c r="D52" s="271"/>
      <c r="E52" s="271"/>
      <c r="F52" s="271"/>
      <c r="G52" s="271"/>
      <c r="H52" s="271"/>
      <c r="I52" s="272"/>
    </row>
    <row r="53" spans="1:9" ht="15.75" customHeight="1">
      <c r="A53" s="88"/>
      <c r="B53" s="89" t="s">
        <v>285</v>
      </c>
      <c r="C53" s="273" t="s">
        <v>312</v>
      </c>
      <c r="D53" s="273"/>
      <c r="E53" s="273"/>
      <c r="F53" s="273"/>
      <c r="G53" s="273"/>
      <c r="H53" s="273"/>
      <c r="I53" s="274"/>
    </row>
    <row r="54" spans="1:9" ht="15.6">
      <c r="A54" s="193"/>
      <c r="B54" s="193"/>
      <c r="C54" s="193"/>
      <c r="D54" s="193"/>
      <c r="E54" s="193"/>
      <c r="F54" s="193"/>
      <c r="G54" s="193"/>
      <c r="H54" s="193"/>
      <c r="I54" s="193"/>
    </row>
    <row r="55" spans="1:9" ht="15.6">
      <c r="A55" s="193"/>
      <c r="B55" s="193"/>
      <c r="C55" s="193"/>
      <c r="D55" s="193"/>
      <c r="E55" s="193"/>
      <c r="F55" s="193"/>
      <c r="G55" s="193"/>
      <c r="H55" s="193"/>
      <c r="I55" s="193"/>
    </row>
    <row r="56" spans="1:9" ht="15.6">
      <c r="A56" s="193"/>
      <c r="B56" s="193"/>
      <c r="C56" s="193"/>
      <c r="D56" s="193"/>
      <c r="E56" s="193"/>
      <c r="F56" s="193"/>
      <c r="G56" s="193"/>
      <c r="H56" s="193"/>
      <c r="I56" s="193"/>
    </row>
    <row r="57" spans="1:9" ht="15.6">
      <c r="A57" s="193"/>
      <c r="B57" s="193"/>
      <c r="C57" s="193"/>
      <c r="D57" s="193"/>
      <c r="E57" s="193"/>
      <c r="F57" s="193"/>
      <c r="G57" s="193"/>
      <c r="H57" s="193"/>
      <c r="I57" s="193"/>
    </row>
    <row r="58" spans="1:9" ht="15.6">
      <c r="A58" s="193"/>
      <c r="B58" s="193"/>
      <c r="C58" s="193"/>
      <c r="D58" s="193"/>
      <c r="E58" s="193"/>
      <c r="F58" s="193"/>
      <c r="G58" s="193"/>
      <c r="H58" s="193"/>
      <c r="I58" s="193"/>
    </row>
    <row r="59" spans="1:9" ht="15.6">
      <c r="A59" s="193"/>
      <c r="B59" s="193"/>
      <c r="C59" s="193"/>
      <c r="D59" s="193"/>
      <c r="E59" s="193"/>
      <c r="F59" s="193"/>
      <c r="G59" s="193"/>
      <c r="H59" s="193"/>
      <c r="I59" s="193"/>
    </row>
    <row r="60" spans="1:9" ht="15.6">
      <c r="A60" s="193"/>
      <c r="B60" s="193"/>
      <c r="C60" s="193"/>
      <c r="D60" s="193"/>
      <c r="E60" s="193"/>
      <c r="F60" s="193"/>
      <c r="G60" s="193"/>
      <c r="H60" s="193"/>
      <c r="I60" s="193"/>
    </row>
    <row r="61" spans="1:9" ht="15.6">
      <c r="A61" s="193"/>
      <c r="B61" s="193"/>
      <c r="C61" s="193"/>
      <c r="D61" s="193"/>
      <c r="E61" s="193"/>
      <c r="F61" s="193"/>
      <c r="G61" s="193"/>
      <c r="H61" s="193"/>
      <c r="I61" s="193"/>
    </row>
    <row r="62" spans="1:9" ht="15.6">
      <c r="A62" s="193"/>
      <c r="B62" s="193"/>
      <c r="C62" s="193"/>
      <c r="D62" s="193"/>
      <c r="E62" s="193"/>
      <c r="F62" s="193"/>
      <c r="G62" s="193"/>
      <c r="H62" s="193"/>
      <c r="I62" s="193"/>
    </row>
    <row r="63" spans="1:9" ht="15.6">
      <c r="A63" s="193"/>
      <c r="B63" s="193"/>
      <c r="C63" s="193"/>
      <c r="D63" s="193"/>
      <c r="E63" s="193"/>
      <c r="F63" s="193"/>
      <c r="G63" s="193"/>
      <c r="H63" s="193"/>
      <c r="I63" s="193"/>
    </row>
    <row r="64" spans="1:9" ht="15.6">
      <c r="A64" s="193"/>
      <c r="B64" s="193"/>
      <c r="C64" s="193"/>
      <c r="D64" s="193"/>
      <c r="E64" s="193"/>
      <c r="F64" s="193"/>
      <c r="G64" s="193"/>
      <c r="H64" s="193"/>
      <c r="I64" s="193"/>
    </row>
    <row r="65" spans="1:9" ht="15.6">
      <c r="A65" s="193"/>
      <c r="B65" s="193"/>
      <c r="C65" s="193"/>
      <c r="D65" s="193"/>
      <c r="E65" s="193"/>
      <c r="F65" s="193"/>
      <c r="G65" s="193"/>
      <c r="H65" s="193"/>
      <c r="I65" s="193"/>
    </row>
    <row r="66" spans="1:9" ht="15.6">
      <c r="A66" s="193"/>
      <c r="B66" s="193"/>
      <c r="C66" s="193"/>
      <c r="D66" s="193"/>
      <c r="E66" s="193"/>
      <c r="F66" s="193"/>
      <c r="G66" s="193"/>
      <c r="H66" s="193"/>
      <c r="I66" s="193"/>
    </row>
    <row r="67" spans="1:9" ht="15.6">
      <c r="A67" s="193"/>
      <c r="B67" s="193"/>
      <c r="C67" s="193"/>
      <c r="D67" s="193"/>
      <c r="E67" s="193"/>
      <c r="F67" s="193"/>
      <c r="G67" s="193"/>
      <c r="H67" s="193"/>
      <c r="I67" s="193"/>
    </row>
    <row r="68" spans="1:9" ht="15.6">
      <c r="A68" s="193"/>
      <c r="B68" s="193"/>
      <c r="C68" s="193"/>
      <c r="D68" s="193"/>
      <c r="E68" s="193"/>
      <c r="F68" s="193"/>
      <c r="G68" s="193"/>
      <c r="H68" s="193"/>
      <c r="I68" s="193"/>
    </row>
    <row r="69" spans="1:9" ht="15.6">
      <c r="A69" s="193"/>
      <c r="B69" s="193"/>
      <c r="C69" s="193"/>
      <c r="D69" s="193"/>
      <c r="E69" s="193"/>
      <c r="F69" s="193"/>
      <c r="G69" s="193"/>
      <c r="H69" s="193"/>
      <c r="I69" s="193"/>
    </row>
    <row r="70" spans="1:9" ht="15.6">
      <c r="A70" s="193"/>
      <c r="B70" s="193"/>
      <c r="C70" s="193"/>
      <c r="D70" s="193"/>
      <c r="E70" s="193"/>
      <c r="F70" s="193"/>
      <c r="G70" s="193"/>
      <c r="H70" s="193"/>
      <c r="I70" s="193"/>
    </row>
    <row r="71" spans="1:9" ht="15.6">
      <c r="A71" s="193"/>
      <c r="B71" s="193"/>
      <c r="C71" s="193"/>
      <c r="D71" s="193"/>
      <c r="E71" s="193"/>
      <c r="F71" s="193"/>
      <c r="G71" s="193"/>
      <c r="H71" s="193"/>
      <c r="I71" s="193"/>
    </row>
    <row r="72" spans="1:9" ht="15.6">
      <c r="A72" s="193"/>
      <c r="B72" s="193"/>
      <c r="C72" s="193"/>
      <c r="D72" s="193"/>
      <c r="E72" s="193"/>
      <c r="F72" s="193"/>
      <c r="G72" s="193"/>
      <c r="H72" s="193"/>
      <c r="I72" s="193"/>
    </row>
    <row r="73" spans="1:9" ht="15.6">
      <c r="A73" s="193"/>
      <c r="B73" s="193"/>
      <c r="C73" s="193"/>
      <c r="D73" s="193"/>
      <c r="E73" s="193"/>
      <c r="F73" s="193"/>
      <c r="G73" s="193"/>
      <c r="H73" s="193"/>
      <c r="I73" s="193"/>
    </row>
    <row r="74" spans="1:9" ht="15.6">
      <c r="A74" s="193"/>
      <c r="B74" s="193"/>
      <c r="C74" s="193"/>
      <c r="D74" s="193"/>
      <c r="E74" s="193"/>
      <c r="F74" s="193"/>
      <c r="G74" s="193"/>
      <c r="H74" s="193"/>
      <c r="I74" s="193"/>
    </row>
    <row r="75" spans="1:9" ht="15.6">
      <c r="A75" s="193"/>
      <c r="B75" s="193"/>
      <c r="C75" s="193"/>
      <c r="D75" s="193"/>
      <c r="E75" s="193"/>
      <c r="F75" s="193"/>
      <c r="G75" s="193"/>
      <c r="H75" s="193"/>
      <c r="I75" s="193"/>
    </row>
    <row r="76" spans="1:9" ht="15.6">
      <c r="A76" s="193"/>
      <c r="B76" s="193"/>
      <c r="C76" s="193"/>
      <c r="D76" s="193"/>
      <c r="E76" s="193"/>
      <c r="F76" s="193"/>
      <c r="G76" s="193"/>
      <c r="H76" s="193"/>
      <c r="I76" s="193"/>
    </row>
    <row r="77" spans="1:9" ht="15.6">
      <c r="A77" s="193"/>
      <c r="B77" s="193"/>
      <c r="C77" s="193"/>
      <c r="D77" s="193"/>
      <c r="E77" s="193"/>
      <c r="F77" s="193"/>
      <c r="G77" s="193"/>
      <c r="H77" s="193"/>
      <c r="I77" s="193"/>
    </row>
    <row r="78" spans="1:9" ht="15.6">
      <c r="A78" s="193"/>
      <c r="B78" s="193"/>
      <c r="C78" s="193"/>
      <c r="D78" s="193"/>
      <c r="E78" s="193"/>
      <c r="F78" s="193"/>
      <c r="G78" s="193"/>
      <c r="H78" s="193"/>
      <c r="I78" s="193"/>
    </row>
    <row r="79" spans="1:9" ht="15.6">
      <c r="A79" s="193"/>
      <c r="B79" s="193"/>
      <c r="C79" s="193"/>
      <c r="D79" s="193"/>
      <c r="E79" s="193"/>
      <c r="F79" s="193"/>
      <c r="G79" s="193"/>
      <c r="H79" s="193"/>
      <c r="I79" s="193"/>
    </row>
    <row r="80" spans="1:9" ht="15.6">
      <c r="A80" s="193"/>
      <c r="B80" s="193"/>
      <c r="C80" s="193"/>
      <c r="D80" s="193"/>
      <c r="E80" s="193"/>
      <c r="F80" s="193"/>
      <c r="G80" s="193"/>
      <c r="H80" s="193"/>
      <c r="I80" s="193"/>
    </row>
    <row r="81" spans="1:9" ht="15.6">
      <c r="A81" s="193"/>
      <c r="B81" s="193"/>
      <c r="C81" s="193"/>
      <c r="D81" s="193"/>
      <c r="E81" s="193"/>
      <c r="F81" s="193"/>
      <c r="G81" s="193"/>
      <c r="H81" s="193"/>
      <c r="I81" s="193"/>
    </row>
    <row r="82" spans="1:9" ht="15.6">
      <c r="A82" s="193"/>
      <c r="B82" s="193"/>
      <c r="C82" s="193"/>
      <c r="D82" s="193"/>
      <c r="E82" s="193"/>
      <c r="F82" s="193"/>
      <c r="G82" s="193"/>
      <c r="H82" s="193"/>
      <c r="I82" s="193"/>
    </row>
    <row r="83" spans="1:9" ht="15.6">
      <c r="A83" s="193"/>
      <c r="B83" s="193"/>
      <c r="C83" s="193"/>
      <c r="D83" s="193"/>
      <c r="E83" s="193"/>
      <c r="F83" s="193"/>
      <c r="G83" s="193"/>
      <c r="H83" s="193"/>
      <c r="I83" s="193"/>
    </row>
    <row r="84" spans="1:9" ht="15.6">
      <c r="A84" s="193"/>
      <c r="B84" s="193"/>
      <c r="C84" s="193"/>
      <c r="D84" s="193"/>
      <c r="E84" s="193"/>
      <c r="F84" s="193"/>
      <c r="G84" s="193"/>
      <c r="H84" s="193"/>
      <c r="I84" s="193"/>
    </row>
    <row r="85" spans="1:9" ht="15.6">
      <c r="A85" s="193"/>
      <c r="B85" s="193"/>
      <c r="C85" s="193"/>
      <c r="D85" s="193"/>
      <c r="E85" s="193"/>
      <c r="F85" s="193"/>
      <c r="G85" s="193"/>
      <c r="H85" s="193"/>
      <c r="I85" s="193"/>
    </row>
    <row r="86" spans="1:9" ht="15.6">
      <c r="A86" s="193"/>
      <c r="B86" s="193"/>
      <c r="C86" s="193"/>
      <c r="D86" s="193"/>
      <c r="E86" s="193"/>
      <c r="F86" s="193"/>
      <c r="G86" s="193"/>
      <c r="H86" s="193"/>
      <c r="I86" s="193"/>
    </row>
    <row r="87" spans="1:9" ht="15.6">
      <c r="A87" s="193"/>
      <c r="B87" s="193"/>
      <c r="C87" s="193"/>
      <c r="D87" s="193"/>
      <c r="E87" s="193"/>
      <c r="F87" s="193"/>
      <c r="G87" s="193"/>
      <c r="H87" s="193"/>
      <c r="I87" s="193"/>
    </row>
    <row r="88" spans="1:9" ht="15.6">
      <c r="A88" s="193"/>
      <c r="B88" s="193"/>
      <c r="C88" s="193"/>
      <c r="D88" s="193"/>
      <c r="E88" s="193"/>
      <c r="F88" s="193"/>
      <c r="G88" s="193"/>
      <c r="H88" s="193"/>
      <c r="I88" s="193"/>
    </row>
    <row r="89" spans="1:9" ht="15.6">
      <c r="A89" s="193"/>
      <c r="B89" s="193"/>
      <c r="C89" s="193"/>
      <c r="D89" s="193"/>
      <c r="E89" s="193"/>
      <c r="F89" s="193"/>
      <c r="G89" s="193"/>
      <c r="H89" s="193"/>
      <c r="I89" s="193"/>
    </row>
    <row r="90" spans="1:9" ht="15.6">
      <c r="A90" s="193"/>
      <c r="B90" s="193"/>
      <c r="C90" s="193"/>
      <c r="D90" s="193"/>
      <c r="E90" s="193"/>
      <c r="F90" s="193"/>
      <c r="G90" s="193"/>
      <c r="H90" s="193"/>
      <c r="I90" s="193"/>
    </row>
    <row r="91" spans="1:9" ht="15.6">
      <c r="A91" s="193"/>
      <c r="B91" s="193"/>
      <c r="C91" s="193"/>
      <c r="D91" s="193"/>
      <c r="E91" s="193"/>
      <c r="F91" s="193"/>
      <c r="G91" s="193"/>
      <c r="H91" s="193"/>
      <c r="I91" s="193"/>
    </row>
    <row r="92" spans="1:9" ht="15.6">
      <c r="A92" s="193"/>
      <c r="B92" s="193"/>
      <c r="C92" s="193"/>
      <c r="D92" s="193"/>
      <c r="E92" s="193"/>
      <c r="F92" s="193"/>
      <c r="G92" s="193"/>
      <c r="H92" s="193"/>
      <c r="I92" s="193"/>
    </row>
    <row r="93" spans="1:9" ht="15.6">
      <c r="A93" s="193"/>
      <c r="B93" s="193"/>
      <c r="C93" s="193"/>
      <c r="D93" s="193"/>
      <c r="E93" s="193"/>
      <c r="F93" s="193"/>
      <c r="G93" s="193"/>
      <c r="H93" s="193"/>
      <c r="I93" s="193"/>
    </row>
    <row r="94" spans="1:9" ht="15.6">
      <c r="A94" s="193"/>
      <c r="B94" s="193"/>
      <c r="C94" s="193"/>
      <c r="D94" s="193"/>
      <c r="E94" s="193"/>
      <c r="F94" s="193"/>
      <c r="G94" s="193"/>
      <c r="H94" s="193"/>
      <c r="I94" s="193"/>
    </row>
    <row r="95" spans="1:9" ht="15.6">
      <c r="A95" s="193"/>
      <c r="B95" s="193"/>
      <c r="C95" s="193"/>
      <c r="D95" s="193"/>
      <c r="E95" s="193"/>
      <c r="F95" s="193"/>
      <c r="G95" s="193"/>
      <c r="H95" s="193"/>
      <c r="I95" s="193"/>
    </row>
    <row r="96" spans="1:9" ht="15.6">
      <c r="A96" s="193"/>
      <c r="B96" s="193"/>
      <c r="C96" s="193"/>
      <c r="D96" s="193"/>
      <c r="E96" s="193"/>
      <c r="F96" s="193"/>
      <c r="G96" s="193"/>
      <c r="H96" s="193"/>
      <c r="I96" s="193"/>
    </row>
    <row r="97" spans="1:9" ht="15.6">
      <c r="A97" s="193"/>
      <c r="B97" s="193"/>
      <c r="C97" s="193"/>
      <c r="D97" s="193"/>
      <c r="E97" s="193"/>
      <c r="F97" s="193"/>
      <c r="G97" s="193"/>
      <c r="H97" s="193"/>
      <c r="I97" s="193"/>
    </row>
    <row r="98" spans="1:9" ht="15.6">
      <c r="A98" s="193"/>
      <c r="B98" s="193"/>
      <c r="C98" s="193"/>
      <c r="D98" s="193"/>
      <c r="E98" s="193"/>
      <c r="F98" s="193"/>
      <c r="G98" s="193"/>
      <c r="H98" s="193"/>
      <c r="I98" s="193"/>
    </row>
    <row r="99" spans="1:9" ht="15.6">
      <c r="A99" s="193"/>
      <c r="B99" s="193"/>
      <c r="C99" s="193"/>
      <c r="D99" s="193"/>
      <c r="E99" s="193"/>
      <c r="F99" s="193"/>
      <c r="G99" s="193"/>
      <c r="H99" s="193"/>
      <c r="I99" s="193"/>
    </row>
    <row r="100" spans="1:9" ht="15.6">
      <c r="A100" s="193"/>
      <c r="B100" s="193"/>
      <c r="C100" s="193"/>
      <c r="D100" s="193"/>
      <c r="E100" s="193"/>
      <c r="F100" s="193"/>
      <c r="G100" s="193"/>
      <c r="H100" s="193"/>
      <c r="I100" s="193"/>
    </row>
    <row r="101" spans="1:9" ht="15.6">
      <c r="A101" s="193"/>
      <c r="B101" s="193"/>
      <c r="C101" s="193"/>
      <c r="D101" s="193"/>
      <c r="E101" s="193"/>
      <c r="F101" s="193"/>
      <c r="G101" s="193"/>
      <c r="H101" s="193"/>
      <c r="I101" s="193"/>
    </row>
    <row r="102" spans="1:9" ht="15.6">
      <c r="A102" s="193"/>
      <c r="B102" s="193"/>
      <c r="C102" s="193"/>
      <c r="D102" s="193"/>
      <c r="E102" s="193"/>
      <c r="F102" s="193"/>
      <c r="G102" s="193"/>
      <c r="H102" s="193"/>
      <c r="I102" s="193"/>
    </row>
    <row r="103" spans="1:9" ht="15.6">
      <c r="A103" s="193"/>
      <c r="B103" s="193"/>
      <c r="C103" s="193"/>
      <c r="D103" s="193"/>
      <c r="E103" s="193"/>
      <c r="F103" s="193"/>
      <c r="G103" s="193"/>
      <c r="H103" s="193"/>
      <c r="I103" s="193"/>
    </row>
    <row r="104" spans="1:9" ht="15.6">
      <c r="A104" s="193"/>
      <c r="B104" s="193"/>
      <c r="C104" s="193"/>
      <c r="D104" s="193"/>
      <c r="E104" s="193"/>
      <c r="F104" s="193"/>
      <c r="G104" s="193"/>
      <c r="H104" s="193"/>
      <c r="I104" s="193"/>
    </row>
    <row r="105" spans="1:9" ht="15.6">
      <c r="A105" s="193"/>
      <c r="B105" s="193"/>
      <c r="C105" s="193"/>
      <c r="D105" s="193"/>
      <c r="E105" s="193"/>
      <c r="F105" s="193"/>
      <c r="G105" s="193"/>
      <c r="H105" s="193"/>
      <c r="I105" s="193"/>
    </row>
    <row r="106" spans="1:9" ht="15.6">
      <c r="A106" s="193"/>
      <c r="B106" s="193"/>
      <c r="C106" s="193"/>
      <c r="D106" s="193"/>
      <c r="E106" s="193"/>
      <c r="F106" s="193"/>
      <c r="G106" s="193"/>
      <c r="H106" s="193"/>
      <c r="I106" s="193"/>
    </row>
    <row r="107" spans="1:9" ht="15.6">
      <c r="A107" s="193"/>
      <c r="B107" s="193"/>
      <c r="C107" s="193"/>
      <c r="D107" s="193"/>
      <c r="E107" s="193"/>
      <c r="F107" s="193"/>
      <c r="G107" s="193"/>
      <c r="H107" s="193"/>
      <c r="I107" s="193"/>
    </row>
    <row r="108" spans="1:9" ht="15.6">
      <c r="A108" s="193"/>
      <c r="B108" s="193"/>
      <c r="C108" s="193"/>
      <c r="D108" s="193"/>
      <c r="E108" s="193"/>
      <c r="F108" s="193"/>
      <c r="G108" s="193"/>
      <c r="H108" s="193"/>
      <c r="I108" s="193"/>
    </row>
    <row r="109" spans="1:9" ht="15.6">
      <c r="A109" s="193"/>
      <c r="B109" s="193"/>
      <c r="C109" s="193"/>
      <c r="D109" s="193"/>
      <c r="E109" s="193"/>
      <c r="F109" s="193"/>
      <c r="G109" s="193"/>
      <c r="H109" s="193"/>
      <c r="I109" s="193"/>
    </row>
    <row r="110" spans="1:9" ht="15.6">
      <c r="A110" s="193"/>
      <c r="B110" s="193"/>
      <c r="C110" s="193"/>
      <c r="D110" s="193"/>
      <c r="E110" s="193"/>
      <c r="F110" s="193"/>
      <c r="G110" s="193"/>
      <c r="H110" s="193"/>
      <c r="I110" s="193"/>
    </row>
    <row r="111" spans="1:9" ht="15.6">
      <c r="A111" s="193"/>
      <c r="B111" s="193"/>
      <c r="C111" s="193"/>
      <c r="D111" s="193"/>
      <c r="E111" s="193"/>
      <c r="F111" s="193"/>
      <c r="G111" s="193"/>
      <c r="H111" s="193"/>
      <c r="I111" s="193"/>
    </row>
    <row r="112" spans="1:9" ht="15.6">
      <c r="A112" s="193"/>
      <c r="B112" s="193"/>
      <c r="C112" s="193"/>
      <c r="D112" s="193"/>
      <c r="E112" s="193"/>
      <c r="F112" s="193"/>
      <c r="G112" s="193"/>
      <c r="H112" s="193"/>
      <c r="I112" s="193"/>
    </row>
    <row r="113" spans="1:9" ht="15.6">
      <c r="A113" s="193"/>
      <c r="B113" s="193"/>
      <c r="C113" s="193"/>
      <c r="D113" s="193"/>
      <c r="E113" s="193"/>
      <c r="F113" s="193"/>
      <c r="G113" s="193"/>
      <c r="H113" s="193"/>
      <c r="I113" s="193"/>
    </row>
    <row r="114" spans="1:9" ht="15.6">
      <c r="A114" s="193"/>
      <c r="B114" s="193"/>
      <c r="C114" s="193"/>
      <c r="D114" s="193"/>
      <c r="E114" s="193"/>
      <c r="F114" s="193"/>
      <c r="G114" s="193"/>
      <c r="H114" s="193"/>
      <c r="I114" s="193"/>
    </row>
    <row r="115" spans="1:9" ht="15.6">
      <c r="A115" s="193"/>
      <c r="B115" s="193"/>
      <c r="C115" s="193"/>
      <c r="D115" s="193"/>
      <c r="E115" s="193"/>
      <c r="F115" s="193"/>
      <c r="G115" s="193"/>
      <c r="H115" s="193"/>
      <c r="I115" s="193"/>
    </row>
    <row r="116" spans="1:9" ht="15.6">
      <c r="A116" s="193"/>
      <c r="B116" s="193"/>
      <c r="C116" s="193"/>
      <c r="D116" s="193"/>
      <c r="E116" s="193"/>
      <c r="F116" s="193"/>
      <c r="G116" s="193"/>
      <c r="H116" s="193"/>
      <c r="I116" s="193"/>
    </row>
    <row r="117" spans="1:9" ht="15.6">
      <c r="A117" s="193"/>
      <c r="B117" s="193"/>
      <c r="C117" s="193"/>
      <c r="D117" s="193"/>
      <c r="E117" s="193"/>
      <c r="F117" s="193"/>
      <c r="G117" s="193"/>
      <c r="H117" s="193"/>
      <c r="I117" s="193"/>
    </row>
    <row r="118" spans="1:9" ht="15.6">
      <c r="A118" s="193"/>
      <c r="B118" s="193"/>
      <c r="C118" s="193"/>
      <c r="D118" s="193"/>
      <c r="E118" s="193"/>
      <c r="F118" s="193"/>
      <c r="G118" s="193"/>
      <c r="H118" s="193"/>
      <c r="I118" s="193"/>
    </row>
    <row r="119" spans="1:9" ht="15.6">
      <c r="A119" s="193"/>
      <c r="B119" s="193"/>
      <c r="C119" s="193"/>
      <c r="D119" s="193"/>
      <c r="E119" s="193"/>
      <c r="F119" s="193"/>
      <c r="G119" s="193"/>
      <c r="H119" s="193"/>
      <c r="I119" s="193"/>
    </row>
    <row r="120" spans="1:9" ht="15.6">
      <c r="A120" s="193"/>
      <c r="B120" s="193"/>
      <c r="C120" s="193"/>
      <c r="D120" s="193"/>
      <c r="E120" s="193"/>
      <c r="F120" s="193"/>
      <c r="G120" s="193"/>
      <c r="H120" s="193"/>
      <c r="I120" s="193"/>
    </row>
    <row r="121" spans="1:9" ht="15.6">
      <c r="A121" s="193"/>
      <c r="B121" s="193"/>
      <c r="C121" s="193"/>
      <c r="D121" s="193"/>
      <c r="E121" s="193"/>
      <c r="F121" s="193"/>
      <c r="G121" s="193"/>
      <c r="H121" s="193"/>
      <c r="I121" s="193"/>
    </row>
    <row r="122" spans="1:9" ht="15.6">
      <c r="A122" s="193"/>
      <c r="B122" s="193"/>
      <c r="C122" s="193"/>
      <c r="D122" s="193"/>
      <c r="E122" s="193"/>
      <c r="F122" s="193"/>
      <c r="G122" s="193"/>
      <c r="H122" s="193"/>
      <c r="I122" s="193"/>
    </row>
    <row r="123" spans="1:9" ht="15.6">
      <c r="A123" s="193"/>
      <c r="B123" s="193"/>
      <c r="C123" s="193"/>
      <c r="D123" s="193"/>
      <c r="E123" s="193"/>
      <c r="F123" s="193"/>
      <c r="G123" s="193"/>
      <c r="H123" s="193"/>
      <c r="I123" s="193"/>
    </row>
    <row r="124" spans="1:9" ht="15.6">
      <c r="A124" s="193"/>
      <c r="B124" s="193"/>
      <c r="C124" s="193"/>
      <c r="D124" s="193"/>
      <c r="E124" s="193"/>
      <c r="F124" s="193"/>
      <c r="G124" s="193"/>
      <c r="H124" s="193"/>
      <c r="I124" s="193"/>
    </row>
    <row r="125" spans="1:9" ht="15.6">
      <c r="A125" s="193"/>
      <c r="B125" s="193"/>
      <c r="C125" s="193"/>
      <c r="D125" s="193"/>
      <c r="E125" s="193"/>
      <c r="F125" s="193"/>
      <c r="G125" s="193"/>
      <c r="H125" s="193"/>
      <c r="I125" s="193"/>
    </row>
    <row r="126" spans="1:9" ht="15.6">
      <c r="A126" s="193"/>
      <c r="B126" s="193"/>
      <c r="C126" s="193"/>
      <c r="D126" s="193"/>
      <c r="E126" s="193"/>
      <c r="F126" s="193"/>
      <c r="G126" s="193"/>
      <c r="H126" s="193"/>
      <c r="I126" s="193"/>
    </row>
    <row r="127" spans="1:9" ht="15.6">
      <c r="A127" s="193"/>
      <c r="B127" s="193"/>
      <c r="C127" s="193"/>
      <c r="D127" s="193"/>
      <c r="E127" s="193"/>
      <c r="F127" s="193"/>
      <c r="G127" s="193"/>
      <c r="H127" s="193"/>
      <c r="I127" s="193"/>
    </row>
    <row r="128" spans="1:9" ht="15.6">
      <c r="A128" s="193"/>
      <c r="B128" s="193"/>
      <c r="C128" s="193"/>
      <c r="D128" s="193"/>
      <c r="E128" s="193"/>
      <c r="F128" s="193"/>
      <c r="G128" s="193"/>
      <c r="H128" s="193"/>
      <c r="I128" s="193"/>
    </row>
    <row r="129" spans="1:9" ht="15.6">
      <c r="A129" s="193"/>
      <c r="B129" s="193"/>
      <c r="C129" s="193"/>
      <c r="D129" s="193"/>
      <c r="E129" s="193"/>
      <c r="F129" s="193"/>
      <c r="G129" s="193"/>
      <c r="H129" s="193"/>
      <c r="I129" s="193"/>
    </row>
    <row r="130" spans="1:9" ht="15.6">
      <c r="A130" s="193"/>
      <c r="B130" s="193"/>
      <c r="C130" s="193"/>
      <c r="D130" s="193"/>
      <c r="E130" s="193"/>
      <c r="F130" s="193"/>
      <c r="G130" s="193"/>
      <c r="H130" s="193"/>
      <c r="I130" s="193"/>
    </row>
    <row r="131" spans="1:9" ht="15.6">
      <c r="A131" s="193"/>
      <c r="B131" s="193"/>
      <c r="C131" s="193"/>
      <c r="D131" s="193"/>
      <c r="E131" s="193"/>
      <c r="F131" s="193"/>
      <c r="G131" s="193"/>
      <c r="H131" s="193"/>
      <c r="I131" s="193"/>
    </row>
    <row r="132" spans="1:9" ht="15.6">
      <c r="A132" s="193"/>
      <c r="B132" s="193"/>
      <c r="C132" s="193"/>
      <c r="D132" s="193"/>
      <c r="E132" s="193"/>
      <c r="F132" s="193"/>
      <c r="G132" s="193"/>
      <c r="H132" s="193"/>
      <c r="I132" s="193"/>
    </row>
    <row r="133" spans="1:9" ht="15.6">
      <c r="A133" s="193"/>
      <c r="B133" s="193"/>
      <c r="C133" s="193"/>
      <c r="D133" s="193"/>
      <c r="E133" s="193"/>
      <c r="F133" s="193"/>
      <c r="G133" s="193"/>
      <c r="H133" s="193"/>
      <c r="I133" s="193"/>
    </row>
    <row r="134" spans="1:9" ht="15.6">
      <c r="A134" s="193"/>
      <c r="B134" s="193"/>
      <c r="C134" s="193"/>
      <c r="D134" s="193"/>
      <c r="E134" s="193"/>
      <c r="F134" s="193"/>
      <c r="G134" s="193"/>
      <c r="H134" s="193"/>
      <c r="I134" s="193"/>
    </row>
    <row r="135" spans="1:9" ht="15.6">
      <c r="A135" s="193"/>
      <c r="B135" s="193"/>
      <c r="C135" s="193"/>
      <c r="D135" s="193"/>
      <c r="E135" s="193"/>
      <c r="F135" s="193"/>
      <c r="G135" s="193"/>
      <c r="H135" s="193"/>
      <c r="I135" s="193"/>
    </row>
    <row r="136" spans="1:9" ht="15.6">
      <c r="A136" s="193"/>
      <c r="B136" s="193"/>
      <c r="C136" s="193"/>
      <c r="D136" s="193"/>
      <c r="E136" s="193"/>
      <c r="F136" s="193"/>
      <c r="G136" s="193"/>
      <c r="H136" s="193"/>
      <c r="I136" s="193"/>
    </row>
    <row r="137" spans="1:9" ht="15.6">
      <c r="A137" s="193"/>
      <c r="B137" s="193"/>
      <c r="C137" s="193"/>
      <c r="D137" s="193"/>
      <c r="E137" s="193"/>
      <c r="F137" s="193"/>
      <c r="G137" s="193"/>
      <c r="H137" s="193"/>
      <c r="I137" s="193"/>
    </row>
    <row r="138" spans="1:9" ht="15.6">
      <c r="A138" s="193"/>
      <c r="B138" s="193"/>
      <c r="C138" s="193"/>
      <c r="D138" s="193"/>
      <c r="E138" s="193"/>
      <c r="F138" s="193"/>
      <c r="G138" s="193"/>
      <c r="H138" s="193"/>
      <c r="I138" s="193"/>
    </row>
    <row r="139" spans="1:9" ht="15.6">
      <c r="A139" s="193"/>
      <c r="B139" s="193"/>
      <c r="C139" s="193"/>
      <c r="D139" s="193"/>
      <c r="E139" s="193"/>
      <c r="F139" s="193"/>
      <c r="G139" s="193"/>
      <c r="H139" s="193"/>
      <c r="I139" s="193"/>
    </row>
    <row r="140" spans="1:9" ht="15.6">
      <c r="A140" s="193"/>
      <c r="B140" s="193"/>
      <c r="C140" s="193"/>
      <c r="D140" s="193"/>
      <c r="E140" s="193"/>
      <c r="F140" s="193"/>
      <c r="G140" s="193"/>
      <c r="H140" s="193"/>
      <c r="I140" s="193"/>
    </row>
    <row r="141" spans="1:9" ht="15.6">
      <c r="A141" s="193"/>
      <c r="B141" s="193"/>
      <c r="C141" s="193"/>
      <c r="D141" s="193"/>
      <c r="E141" s="193"/>
      <c r="F141" s="193"/>
      <c r="G141" s="193"/>
      <c r="H141" s="193"/>
      <c r="I141" s="193"/>
    </row>
    <row r="142" spans="1:9" ht="15.6">
      <c r="A142" s="193"/>
      <c r="B142" s="193"/>
      <c r="C142" s="193"/>
      <c r="D142" s="193"/>
      <c r="E142" s="193"/>
      <c r="F142" s="193"/>
      <c r="G142" s="193"/>
      <c r="H142" s="193"/>
      <c r="I142" s="193"/>
    </row>
    <row r="143" spans="1:9" ht="15.6">
      <c r="A143" s="193"/>
      <c r="B143" s="193"/>
      <c r="C143" s="193"/>
      <c r="D143" s="193"/>
      <c r="E143" s="193"/>
      <c r="F143" s="193"/>
      <c r="G143" s="193"/>
      <c r="H143" s="193"/>
      <c r="I143" s="193"/>
    </row>
    <row r="144" spans="1:9" ht="15.6">
      <c r="A144" s="193"/>
      <c r="B144" s="193"/>
      <c r="C144" s="193"/>
      <c r="D144" s="193"/>
      <c r="E144" s="193"/>
      <c r="F144" s="193"/>
      <c r="G144" s="193"/>
      <c r="H144" s="193"/>
      <c r="I144" s="193"/>
    </row>
    <row r="145" spans="1:9" ht="15.6">
      <c r="A145" s="193"/>
      <c r="B145" s="193"/>
      <c r="C145" s="193"/>
      <c r="D145" s="193"/>
      <c r="E145" s="193"/>
      <c r="F145" s="193"/>
      <c r="G145" s="193"/>
      <c r="H145" s="193"/>
      <c r="I145" s="193"/>
    </row>
    <row r="146" spans="1:9" ht="15.6">
      <c r="A146" s="193"/>
      <c r="B146" s="193"/>
      <c r="C146" s="193"/>
      <c r="D146" s="193"/>
      <c r="E146" s="193"/>
      <c r="F146" s="193"/>
      <c r="G146" s="193"/>
      <c r="H146" s="193"/>
      <c r="I146" s="193"/>
    </row>
    <row r="147" spans="1:9" ht="15.6">
      <c r="A147" s="193"/>
      <c r="B147" s="193"/>
      <c r="C147" s="193"/>
      <c r="D147" s="193"/>
      <c r="E147" s="193"/>
      <c r="F147" s="193"/>
      <c r="G147" s="193"/>
      <c r="H147" s="193"/>
      <c r="I147" s="193"/>
    </row>
    <row r="148" spans="1:9" ht="15.6">
      <c r="A148" s="193"/>
      <c r="B148" s="193"/>
      <c r="C148" s="193"/>
      <c r="D148" s="193"/>
      <c r="E148" s="193"/>
      <c r="F148" s="193"/>
      <c r="G148" s="193"/>
      <c r="H148" s="193"/>
      <c r="I148" s="193"/>
    </row>
    <row r="149" spans="1:9" ht="15.6">
      <c r="A149" s="193"/>
      <c r="B149" s="193"/>
      <c r="C149" s="193"/>
      <c r="D149" s="193"/>
      <c r="E149" s="193"/>
      <c r="F149" s="193"/>
      <c r="G149" s="193"/>
      <c r="H149" s="193"/>
      <c r="I149" s="193"/>
    </row>
    <row r="150" spans="1:9" ht="15.6">
      <c r="A150" s="193"/>
      <c r="B150" s="193"/>
      <c r="C150" s="193"/>
      <c r="D150" s="193"/>
      <c r="E150" s="193"/>
      <c r="F150" s="193"/>
      <c r="G150" s="193"/>
      <c r="H150" s="193"/>
      <c r="I150" s="193"/>
    </row>
    <row r="151" spans="1:9" ht="15.6">
      <c r="A151" s="193"/>
      <c r="B151" s="193"/>
      <c r="C151" s="193"/>
      <c r="D151" s="193"/>
      <c r="E151" s="193"/>
      <c r="F151" s="193"/>
      <c r="G151" s="193"/>
      <c r="H151" s="193"/>
      <c r="I151" s="193"/>
    </row>
    <row r="152" spans="1:9" ht="15.6">
      <c r="A152" s="193"/>
      <c r="B152" s="193"/>
      <c r="C152" s="193"/>
      <c r="D152" s="193"/>
      <c r="E152" s="193"/>
      <c r="F152" s="193"/>
      <c r="G152" s="193"/>
      <c r="H152" s="193"/>
      <c r="I152" s="193"/>
    </row>
    <row r="153" spans="1:9" ht="15.6">
      <c r="A153" s="193"/>
      <c r="B153" s="193"/>
      <c r="C153" s="193"/>
      <c r="D153" s="193"/>
      <c r="E153" s="193"/>
      <c r="F153" s="193"/>
      <c r="G153" s="193"/>
      <c r="H153" s="193"/>
      <c r="I153" s="193"/>
    </row>
    <row r="154" spans="1:9" ht="15.6">
      <c r="A154" s="193"/>
      <c r="B154" s="193"/>
      <c r="C154" s="193"/>
      <c r="D154" s="193"/>
      <c r="E154" s="193"/>
      <c r="F154" s="193"/>
      <c r="G154" s="193"/>
      <c r="H154" s="193"/>
      <c r="I154" s="193"/>
    </row>
    <row r="155" spans="1:9" ht="15.6">
      <c r="A155" s="193"/>
      <c r="B155" s="193"/>
      <c r="C155" s="193"/>
      <c r="D155" s="193"/>
      <c r="E155" s="193"/>
      <c r="F155" s="193"/>
      <c r="G155" s="193"/>
      <c r="H155" s="193"/>
      <c r="I155" s="193"/>
    </row>
    <row r="156" spans="1:9" ht="15.6">
      <c r="A156" s="193"/>
      <c r="B156" s="193"/>
      <c r="C156" s="193"/>
      <c r="D156" s="193"/>
      <c r="E156" s="193"/>
      <c r="F156" s="193"/>
      <c r="G156" s="193"/>
      <c r="H156" s="193"/>
      <c r="I156" s="193"/>
    </row>
    <row r="157" spans="1:9" ht="15.6">
      <c r="A157" s="193"/>
      <c r="B157" s="193"/>
      <c r="C157" s="193"/>
      <c r="D157" s="193"/>
      <c r="E157" s="193"/>
      <c r="F157" s="193"/>
      <c r="G157" s="193"/>
      <c r="H157" s="193"/>
      <c r="I157" s="193"/>
    </row>
    <row r="158" spans="1:9" ht="15.6">
      <c r="A158" s="193"/>
      <c r="B158" s="193"/>
      <c r="C158" s="193"/>
      <c r="D158" s="193"/>
      <c r="E158" s="193"/>
      <c r="F158" s="193"/>
      <c r="G158" s="193"/>
      <c r="H158" s="193"/>
      <c r="I158" s="193"/>
    </row>
    <row r="159" spans="1:9" ht="15.6">
      <c r="A159" s="193"/>
      <c r="B159" s="193"/>
      <c r="C159" s="193"/>
      <c r="D159" s="193"/>
      <c r="E159" s="193"/>
      <c r="F159" s="193"/>
      <c r="G159" s="193"/>
      <c r="H159" s="193"/>
      <c r="I159" s="193"/>
    </row>
    <row r="160" spans="1:9" ht="15.6">
      <c r="A160" s="193"/>
      <c r="B160" s="193"/>
      <c r="C160" s="193"/>
      <c r="D160" s="193"/>
      <c r="E160" s="193"/>
      <c r="F160" s="193"/>
      <c r="G160" s="193"/>
      <c r="H160" s="193"/>
      <c r="I160" s="193"/>
    </row>
    <row r="161" spans="1:9" ht="15.6">
      <c r="A161" s="193"/>
      <c r="B161" s="193"/>
      <c r="C161" s="193"/>
      <c r="D161" s="193"/>
      <c r="E161" s="193"/>
      <c r="F161" s="193"/>
      <c r="G161" s="193"/>
      <c r="H161" s="193"/>
      <c r="I161" s="193"/>
    </row>
    <row r="162" spans="1:9" ht="15.6">
      <c r="A162" s="193"/>
      <c r="B162" s="193"/>
      <c r="C162" s="193"/>
      <c r="D162" s="193"/>
      <c r="E162" s="193"/>
      <c r="F162" s="193"/>
      <c r="G162" s="193"/>
      <c r="H162" s="193"/>
      <c r="I162" s="193"/>
    </row>
    <row r="163" spans="1:9" ht="15.6">
      <c r="A163" s="193"/>
      <c r="B163" s="193"/>
      <c r="C163" s="193"/>
      <c r="D163" s="193"/>
      <c r="E163" s="193"/>
      <c r="F163" s="193"/>
      <c r="G163" s="193"/>
      <c r="H163" s="193"/>
      <c r="I163" s="193"/>
    </row>
    <row r="164" spans="1:9" ht="15.6">
      <c r="A164" s="193"/>
      <c r="B164" s="193"/>
      <c r="C164" s="193"/>
      <c r="D164" s="193"/>
      <c r="E164" s="193"/>
      <c r="F164" s="193"/>
      <c r="G164" s="193"/>
      <c r="H164" s="193"/>
      <c r="I164" s="193"/>
    </row>
    <row r="165" spans="1:9" ht="15.6">
      <c r="A165" s="193"/>
      <c r="B165" s="193"/>
      <c r="C165" s="193"/>
      <c r="D165" s="193"/>
      <c r="E165" s="193"/>
      <c r="F165" s="193"/>
      <c r="G165" s="193"/>
      <c r="H165" s="193"/>
      <c r="I165" s="193"/>
    </row>
    <row r="166" spans="1:9" ht="15.6">
      <c r="A166" s="193"/>
      <c r="B166" s="193"/>
      <c r="C166" s="193"/>
      <c r="D166" s="193"/>
      <c r="E166" s="193"/>
      <c r="F166" s="193"/>
      <c r="G166" s="193"/>
      <c r="H166" s="193"/>
      <c r="I166" s="193"/>
    </row>
    <row r="167" spans="1:9" ht="15.6">
      <c r="A167" s="193"/>
      <c r="B167" s="193"/>
      <c r="C167" s="193"/>
      <c r="D167" s="193"/>
      <c r="E167" s="193"/>
      <c r="F167" s="193"/>
      <c r="G167" s="193"/>
      <c r="H167" s="193"/>
      <c r="I167" s="193"/>
    </row>
    <row r="168" spans="1:9" ht="15.6">
      <c r="A168" s="193"/>
      <c r="B168" s="193"/>
      <c r="C168" s="193"/>
      <c r="D168" s="193"/>
      <c r="E168" s="193"/>
      <c r="F168" s="193"/>
      <c r="G168" s="193"/>
      <c r="H168" s="193"/>
      <c r="I168" s="193"/>
    </row>
    <row r="169" spans="1:9" ht="15.6">
      <c r="A169" s="193"/>
      <c r="B169" s="193"/>
      <c r="C169" s="193"/>
      <c r="D169" s="193"/>
      <c r="E169" s="193"/>
      <c r="F169" s="193"/>
      <c r="G169" s="193"/>
      <c r="H169" s="193"/>
      <c r="I169" s="193"/>
    </row>
    <row r="170" spans="1:9" ht="15.6">
      <c r="A170" s="193"/>
      <c r="B170" s="193"/>
      <c r="C170" s="193"/>
      <c r="D170" s="193"/>
      <c r="E170" s="193"/>
      <c r="F170" s="193"/>
      <c r="G170" s="193"/>
      <c r="H170" s="193"/>
      <c r="I170" s="193"/>
    </row>
    <row r="171" spans="1:9" ht="15.6">
      <c r="A171" s="193"/>
      <c r="B171" s="193"/>
      <c r="C171" s="193"/>
      <c r="D171" s="193"/>
      <c r="E171" s="193"/>
      <c r="F171" s="193"/>
      <c r="G171" s="193"/>
      <c r="H171" s="193"/>
      <c r="I171" s="193"/>
    </row>
    <row r="172" spans="1:9" ht="15.6">
      <c r="A172" s="193"/>
      <c r="B172" s="193"/>
      <c r="C172" s="193"/>
      <c r="D172" s="193"/>
      <c r="E172" s="193"/>
      <c r="F172" s="193"/>
      <c r="G172" s="193"/>
      <c r="H172" s="193"/>
      <c r="I172" s="193"/>
    </row>
    <row r="173" spans="1:9" ht="15.6">
      <c r="A173" s="193"/>
      <c r="B173" s="193"/>
      <c r="C173" s="193"/>
      <c r="D173" s="193"/>
      <c r="E173" s="193"/>
      <c r="F173" s="193"/>
      <c r="G173" s="193"/>
      <c r="H173" s="193"/>
      <c r="I173" s="193"/>
    </row>
    <row r="174" spans="1:9" ht="15.6">
      <c r="A174" s="193"/>
      <c r="B174" s="193"/>
      <c r="C174" s="193"/>
      <c r="D174" s="193"/>
      <c r="E174" s="193"/>
      <c r="F174" s="193"/>
      <c r="G174" s="193"/>
      <c r="H174" s="193"/>
      <c r="I174" s="193"/>
    </row>
    <row r="175" spans="1:9" ht="15.6">
      <c r="A175" s="193"/>
      <c r="B175" s="193"/>
      <c r="C175" s="193"/>
      <c r="D175" s="193"/>
      <c r="E175" s="193"/>
      <c r="F175" s="193"/>
      <c r="G175" s="193"/>
      <c r="H175" s="193"/>
      <c r="I175" s="193"/>
    </row>
    <row r="176" spans="1:9" ht="15.6">
      <c r="A176" s="193"/>
      <c r="B176" s="193"/>
      <c r="C176" s="193"/>
      <c r="D176" s="193"/>
      <c r="E176" s="193"/>
      <c r="F176" s="193"/>
      <c r="G176" s="193"/>
      <c r="H176" s="193"/>
      <c r="I176" s="193"/>
    </row>
    <row r="177" spans="1:9" ht="15.6">
      <c r="A177" s="193"/>
      <c r="B177" s="193"/>
      <c r="C177" s="193"/>
      <c r="D177" s="193"/>
      <c r="E177" s="193"/>
      <c r="F177" s="193"/>
      <c r="G177" s="193"/>
      <c r="H177" s="193"/>
      <c r="I177" s="193"/>
    </row>
    <row r="178" spans="1:9" ht="15.6">
      <c r="A178" s="193"/>
      <c r="B178" s="193"/>
      <c r="C178" s="193"/>
      <c r="D178" s="193"/>
      <c r="E178" s="193"/>
      <c r="F178" s="193"/>
      <c r="G178" s="193"/>
      <c r="H178" s="193"/>
      <c r="I178" s="193"/>
    </row>
    <row r="179" spans="1:9" ht="15.6">
      <c r="A179" s="193"/>
      <c r="B179" s="193"/>
      <c r="C179" s="193"/>
      <c r="D179" s="193"/>
      <c r="E179" s="193"/>
      <c r="F179" s="193"/>
      <c r="G179" s="193"/>
      <c r="H179" s="193"/>
      <c r="I179" s="193"/>
    </row>
    <row r="180" spans="1:9" ht="15.6">
      <c r="A180" s="193"/>
      <c r="B180" s="193"/>
      <c r="C180" s="193"/>
      <c r="D180" s="193"/>
      <c r="E180" s="193"/>
      <c r="F180" s="193"/>
      <c r="G180" s="193"/>
      <c r="H180" s="193"/>
      <c r="I180" s="193"/>
    </row>
    <row r="181" spans="1:9" ht="15.6">
      <c r="A181" s="193"/>
      <c r="B181" s="193"/>
      <c r="C181" s="193"/>
      <c r="D181" s="193"/>
      <c r="E181" s="193"/>
      <c r="F181" s="193"/>
      <c r="G181" s="193"/>
      <c r="H181" s="193"/>
      <c r="I181" s="193"/>
    </row>
    <row r="182" spans="1:9" ht="15.6">
      <c r="A182" s="193"/>
      <c r="B182" s="193"/>
      <c r="C182" s="193"/>
      <c r="D182" s="193"/>
      <c r="E182" s="193"/>
      <c r="F182" s="193"/>
      <c r="G182" s="193"/>
      <c r="H182" s="193"/>
      <c r="I182" s="193"/>
    </row>
    <row r="183" spans="1:9" ht="15.6">
      <c r="A183" s="193"/>
      <c r="B183" s="193"/>
      <c r="C183" s="193"/>
      <c r="D183" s="193"/>
      <c r="E183" s="193"/>
      <c r="F183" s="193"/>
      <c r="G183" s="193"/>
      <c r="H183" s="193"/>
      <c r="I183" s="193"/>
    </row>
    <row r="184" spans="1:9" ht="15.6">
      <c r="A184" s="193"/>
      <c r="B184" s="193"/>
      <c r="C184" s="193"/>
      <c r="D184" s="193"/>
      <c r="E184" s="193"/>
      <c r="F184" s="193"/>
      <c r="G184" s="193"/>
      <c r="H184" s="193"/>
      <c r="I184" s="193"/>
    </row>
    <row r="185" spans="1:9" ht="15.6">
      <c r="A185" s="193"/>
      <c r="B185" s="193"/>
      <c r="C185" s="193"/>
      <c r="D185" s="193"/>
      <c r="E185" s="193"/>
      <c r="F185" s="193"/>
      <c r="G185" s="193"/>
      <c r="H185" s="193"/>
      <c r="I185" s="193"/>
    </row>
    <row r="186" spans="1:9" ht="15.6">
      <c r="A186" s="193"/>
      <c r="B186" s="193"/>
      <c r="C186" s="193"/>
      <c r="D186" s="193"/>
      <c r="E186" s="193"/>
      <c r="F186" s="193"/>
      <c r="G186" s="193"/>
      <c r="H186" s="193"/>
      <c r="I186" s="193"/>
    </row>
    <row r="187" spans="1:9" ht="15.6">
      <c r="A187" s="193"/>
      <c r="B187" s="193"/>
      <c r="C187" s="193"/>
      <c r="D187" s="193"/>
      <c r="E187" s="193"/>
      <c r="F187" s="193"/>
      <c r="G187" s="193"/>
      <c r="H187" s="193"/>
      <c r="I187" s="193"/>
    </row>
    <row r="188" spans="1:9" ht="15.6">
      <c r="A188" s="193"/>
      <c r="B188" s="193"/>
      <c r="C188" s="193"/>
      <c r="D188" s="193"/>
      <c r="E188" s="193"/>
      <c r="F188" s="193"/>
      <c r="G188" s="193"/>
      <c r="H188" s="193"/>
      <c r="I188" s="193"/>
    </row>
    <row r="189" spans="1:9" ht="15.6">
      <c r="A189" s="193"/>
      <c r="B189" s="193"/>
      <c r="C189" s="193"/>
      <c r="D189" s="193"/>
      <c r="E189" s="193"/>
      <c r="F189" s="193"/>
      <c r="G189" s="193"/>
      <c r="H189" s="193"/>
      <c r="I189" s="193"/>
    </row>
    <row r="190" spans="1:9" ht="15.6">
      <c r="A190" s="193"/>
      <c r="B190" s="193"/>
      <c r="C190" s="193"/>
      <c r="D190" s="193"/>
      <c r="E190" s="193"/>
      <c r="F190" s="193"/>
      <c r="G190" s="193"/>
      <c r="H190" s="193"/>
      <c r="I190" s="193"/>
    </row>
    <row r="191" spans="1:9" ht="15.6">
      <c r="A191" s="193"/>
      <c r="B191" s="193"/>
      <c r="C191" s="193"/>
      <c r="D191" s="193"/>
      <c r="E191" s="193"/>
      <c r="F191" s="193"/>
      <c r="G191" s="193"/>
      <c r="H191" s="193"/>
      <c r="I191" s="193"/>
    </row>
    <row r="192" spans="1:9" ht="15.6">
      <c r="A192" s="193"/>
      <c r="B192" s="193"/>
      <c r="C192" s="193"/>
      <c r="D192" s="193"/>
      <c r="E192" s="193"/>
      <c r="F192" s="193"/>
      <c r="G192" s="193"/>
      <c r="H192" s="193"/>
      <c r="I192" s="193"/>
    </row>
    <row r="193" spans="1:9" ht="15.6">
      <c r="A193" s="193"/>
      <c r="B193" s="193"/>
      <c r="C193" s="193"/>
      <c r="D193" s="193"/>
      <c r="E193" s="193"/>
      <c r="F193" s="193"/>
      <c r="G193" s="193"/>
      <c r="H193" s="193"/>
      <c r="I193" s="193"/>
    </row>
    <row r="194" spans="1:9" ht="15.6">
      <c r="A194" s="193"/>
      <c r="B194" s="193"/>
      <c r="C194" s="193"/>
      <c r="D194" s="193"/>
      <c r="E194" s="193"/>
      <c r="F194" s="193"/>
      <c r="G194" s="193"/>
      <c r="H194" s="193"/>
      <c r="I194" s="193"/>
    </row>
    <row r="195" spans="1:9" ht="15.6">
      <c r="A195" s="193"/>
      <c r="B195" s="193"/>
      <c r="C195" s="193"/>
      <c r="D195" s="193"/>
      <c r="E195" s="193"/>
      <c r="F195" s="193"/>
      <c r="G195" s="193"/>
      <c r="H195" s="193"/>
      <c r="I195" s="193"/>
    </row>
    <row r="196" spans="1:9" ht="15.6">
      <c r="A196" s="193"/>
      <c r="B196" s="193"/>
      <c r="C196" s="193"/>
      <c r="D196" s="193"/>
      <c r="E196" s="193"/>
      <c r="F196" s="193"/>
      <c r="G196" s="193"/>
      <c r="H196" s="193"/>
      <c r="I196" s="193"/>
    </row>
    <row r="197" spans="1:9" ht="15.6">
      <c r="A197" s="193"/>
      <c r="B197" s="193"/>
      <c r="C197" s="193"/>
      <c r="D197" s="193"/>
      <c r="E197" s="193"/>
      <c r="F197" s="193"/>
      <c r="G197" s="193"/>
      <c r="H197" s="193"/>
      <c r="I197" s="193"/>
    </row>
    <row r="198" spans="1:9" ht="15.6">
      <c r="A198" s="193"/>
      <c r="B198" s="193"/>
      <c r="C198" s="193"/>
      <c r="D198" s="193"/>
      <c r="E198" s="193"/>
      <c r="F198" s="193"/>
      <c r="G198" s="193"/>
      <c r="H198" s="193"/>
      <c r="I198" s="193"/>
    </row>
    <row r="199" spans="1:9" ht="15.6">
      <c r="A199" s="193"/>
      <c r="B199" s="193"/>
      <c r="C199" s="193"/>
      <c r="D199" s="193"/>
      <c r="E199" s="193"/>
      <c r="F199" s="193"/>
      <c r="G199" s="193"/>
      <c r="H199" s="193"/>
      <c r="I199" s="193"/>
    </row>
    <row r="200" spans="1:9" ht="15.6">
      <c r="A200" s="193"/>
      <c r="B200" s="193"/>
      <c r="C200" s="193"/>
      <c r="D200" s="193"/>
      <c r="E200" s="193"/>
      <c r="F200" s="193"/>
      <c r="G200" s="193"/>
      <c r="H200" s="193"/>
      <c r="I200" s="193"/>
    </row>
    <row r="201" spans="1:9" ht="15.6">
      <c r="A201" s="193"/>
      <c r="B201" s="193"/>
      <c r="C201" s="193"/>
      <c r="D201" s="193"/>
      <c r="E201" s="193"/>
      <c r="F201" s="193"/>
      <c r="G201" s="193"/>
      <c r="H201" s="193"/>
      <c r="I201" s="193"/>
    </row>
    <row r="202" spans="1:9" ht="15.6">
      <c r="A202" s="193"/>
      <c r="B202" s="193"/>
      <c r="C202" s="193"/>
      <c r="D202" s="193"/>
      <c r="E202" s="193"/>
      <c r="F202" s="193"/>
      <c r="G202" s="193"/>
      <c r="H202" s="193"/>
      <c r="I202" s="193"/>
    </row>
    <row r="203" spans="1:9" ht="15.6">
      <c r="A203" s="193"/>
      <c r="B203" s="193"/>
      <c r="C203" s="193"/>
      <c r="D203" s="193"/>
      <c r="E203" s="193"/>
      <c r="F203" s="193"/>
      <c r="G203" s="193"/>
      <c r="H203" s="193"/>
      <c r="I203" s="193"/>
    </row>
    <row r="204" spans="1:9" ht="15.6">
      <c r="A204" s="193"/>
      <c r="B204" s="193"/>
      <c r="C204" s="193"/>
      <c r="D204" s="193"/>
      <c r="E204" s="193"/>
      <c r="F204" s="193"/>
      <c r="G204" s="193"/>
      <c r="H204" s="193"/>
      <c r="I204" s="193"/>
    </row>
    <row r="205" spans="1:9" ht="15.6">
      <c r="A205" s="193"/>
      <c r="B205" s="193"/>
      <c r="C205" s="193"/>
      <c r="D205" s="193"/>
      <c r="E205" s="193"/>
      <c r="F205" s="193"/>
      <c r="G205" s="193"/>
      <c r="H205" s="193"/>
      <c r="I205" s="193"/>
    </row>
    <row r="206" spans="1:9" ht="15.6">
      <c r="A206" s="193"/>
      <c r="B206" s="193"/>
      <c r="C206" s="193"/>
      <c r="D206" s="193"/>
      <c r="E206" s="193"/>
      <c r="F206" s="193"/>
      <c r="G206" s="193"/>
      <c r="H206" s="193"/>
      <c r="I206" s="193"/>
    </row>
    <row r="207" spans="1:9" ht="15.6">
      <c r="A207" s="193"/>
      <c r="B207" s="193"/>
      <c r="C207" s="193"/>
      <c r="D207" s="193"/>
      <c r="E207" s="193"/>
      <c r="F207" s="193"/>
      <c r="G207" s="193"/>
      <c r="H207" s="193"/>
      <c r="I207" s="193"/>
    </row>
    <row r="208" spans="1:9" ht="15.6">
      <c r="A208" s="193"/>
      <c r="B208" s="193"/>
      <c r="C208" s="193"/>
      <c r="D208" s="193"/>
      <c r="E208" s="193"/>
      <c r="F208" s="193"/>
      <c r="G208" s="193"/>
      <c r="H208" s="193"/>
      <c r="I208" s="193"/>
    </row>
    <row r="209" spans="1:9" ht="15.6">
      <c r="A209" s="193"/>
      <c r="B209" s="193"/>
      <c r="C209" s="193"/>
      <c r="D209" s="193"/>
      <c r="E209" s="193"/>
      <c r="F209" s="193"/>
      <c r="G209" s="193"/>
      <c r="H209" s="193"/>
      <c r="I209" s="193"/>
    </row>
    <row r="210" spans="1:9" ht="15.6">
      <c r="A210" s="193"/>
      <c r="B210" s="193"/>
      <c r="C210" s="193"/>
      <c r="D210" s="193"/>
      <c r="E210" s="193"/>
      <c r="F210" s="193"/>
      <c r="G210" s="193"/>
      <c r="H210" s="193"/>
      <c r="I210" s="193"/>
    </row>
    <row r="211" spans="1:9" ht="15.6">
      <c r="A211" s="193"/>
      <c r="B211" s="193"/>
      <c r="C211" s="193"/>
      <c r="D211" s="193"/>
      <c r="E211" s="193"/>
      <c r="F211" s="193"/>
      <c r="G211" s="193"/>
      <c r="H211" s="193"/>
      <c r="I211" s="193"/>
    </row>
    <row r="212" spans="1:9" ht="15.6">
      <c r="A212" s="193"/>
      <c r="B212" s="193"/>
      <c r="C212" s="193"/>
      <c r="D212" s="193"/>
      <c r="E212" s="193"/>
      <c r="F212" s="193"/>
      <c r="G212" s="193"/>
      <c r="H212" s="193"/>
      <c r="I212" s="193"/>
    </row>
    <row r="213" spans="1:9" ht="15.6">
      <c r="A213" s="193"/>
      <c r="B213" s="193"/>
      <c r="C213" s="193"/>
      <c r="D213" s="193"/>
      <c r="E213" s="193"/>
      <c r="F213" s="193"/>
      <c r="G213" s="193"/>
      <c r="H213" s="193"/>
      <c r="I213" s="193"/>
    </row>
    <row r="214" spans="1:9" ht="15.6">
      <c r="A214" s="193"/>
      <c r="B214" s="193"/>
      <c r="C214" s="193"/>
      <c r="D214" s="193"/>
      <c r="E214" s="193"/>
      <c r="F214" s="193"/>
      <c r="G214" s="193"/>
      <c r="H214" s="193"/>
      <c r="I214" s="193"/>
    </row>
    <row r="215" spans="1:9" ht="15.6">
      <c r="A215" s="193"/>
      <c r="B215" s="193"/>
      <c r="C215" s="193"/>
      <c r="D215" s="193"/>
      <c r="E215" s="193"/>
      <c r="F215" s="193"/>
      <c r="G215" s="193"/>
      <c r="H215" s="193"/>
      <c r="I215" s="193"/>
    </row>
    <row r="216" spans="1:9" ht="15.6">
      <c r="A216" s="193"/>
      <c r="B216" s="193"/>
      <c r="C216" s="193"/>
      <c r="D216" s="193"/>
      <c r="E216" s="193"/>
      <c r="F216" s="193"/>
      <c r="G216" s="193"/>
      <c r="H216" s="193"/>
      <c r="I216" s="193"/>
    </row>
    <row r="217" spans="1:9" ht="15.6">
      <c r="A217" s="193"/>
      <c r="B217" s="193"/>
      <c r="C217" s="193"/>
      <c r="D217" s="193"/>
      <c r="E217" s="193"/>
      <c r="F217" s="193"/>
      <c r="G217" s="193"/>
      <c r="H217" s="193"/>
      <c r="I217" s="193"/>
    </row>
    <row r="218" spans="1:9" ht="15.6">
      <c r="A218" s="193"/>
      <c r="B218" s="193"/>
      <c r="C218" s="193"/>
      <c r="D218" s="193"/>
      <c r="E218" s="193"/>
      <c r="F218" s="193"/>
      <c r="G218" s="193"/>
      <c r="H218" s="193"/>
      <c r="I218" s="193"/>
    </row>
    <row r="219" spans="1:9" ht="15.6">
      <c r="A219" s="193"/>
      <c r="B219" s="193"/>
      <c r="C219" s="193"/>
      <c r="D219" s="193"/>
      <c r="E219" s="193"/>
      <c r="F219" s="193"/>
      <c r="G219" s="193"/>
      <c r="H219" s="193"/>
      <c r="I219" s="193"/>
    </row>
    <row r="220" spans="1:9" ht="15.6">
      <c r="A220" s="193"/>
      <c r="B220" s="193"/>
      <c r="C220" s="193"/>
      <c r="D220" s="193"/>
      <c r="E220" s="193"/>
      <c r="F220" s="193"/>
      <c r="G220" s="193"/>
      <c r="H220" s="193"/>
      <c r="I220" s="193"/>
    </row>
    <row r="221" spans="1:9" ht="15.6">
      <c r="A221" s="193"/>
      <c r="B221" s="193"/>
      <c r="C221" s="193"/>
      <c r="D221" s="193"/>
      <c r="E221" s="193"/>
      <c r="F221" s="193"/>
      <c r="G221" s="193"/>
      <c r="H221" s="193"/>
      <c r="I221" s="193"/>
    </row>
    <row r="222" spans="1:9" ht="15.6">
      <c r="A222" s="193"/>
      <c r="B222" s="193"/>
      <c r="C222" s="193"/>
      <c r="D222" s="193"/>
      <c r="E222" s="193"/>
      <c r="F222" s="193"/>
      <c r="G222" s="193"/>
      <c r="H222" s="193"/>
      <c r="I222" s="193"/>
    </row>
    <row r="223" spans="1:9" ht="15.6">
      <c r="A223" s="193"/>
      <c r="B223" s="193"/>
      <c r="C223" s="193"/>
      <c r="D223" s="193"/>
      <c r="E223" s="193"/>
      <c r="F223" s="193"/>
      <c r="G223" s="193"/>
      <c r="H223" s="193"/>
      <c r="I223" s="193"/>
    </row>
    <row r="224" spans="1:9" ht="15.6">
      <c r="A224" s="193"/>
      <c r="B224" s="193"/>
      <c r="C224" s="193"/>
      <c r="D224" s="193"/>
      <c r="E224" s="193"/>
      <c r="F224" s="193"/>
      <c r="G224" s="193"/>
      <c r="H224" s="193"/>
      <c r="I224" s="193"/>
    </row>
    <row r="225" spans="1:9" ht="15.6">
      <c r="A225" s="193"/>
      <c r="B225" s="193"/>
      <c r="C225" s="193"/>
      <c r="D225" s="193"/>
      <c r="E225" s="193"/>
      <c r="F225" s="193"/>
      <c r="G225" s="193"/>
      <c r="H225" s="193"/>
      <c r="I225" s="193"/>
    </row>
    <row r="226" spans="1:9" ht="15.6">
      <c r="A226" s="193"/>
      <c r="B226" s="193"/>
      <c r="C226" s="193"/>
      <c r="D226" s="193"/>
      <c r="E226" s="193"/>
      <c r="F226" s="193"/>
      <c r="G226" s="193"/>
      <c r="H226" s="193"/>
      <c r="I226" s="193"/>
    </row>
    <row r="227" spans="1:9" ht="15.6">
      <c r="A227" s="193"/>
      <c r="B227" s="193"/>
      <c r="C227" s="193"/>
      <c r="D227" s="193"/>
      <c r="E227" s="193"/>
      <c r="F227" s="193"/>
      <c r="G227" s="193"/>
      <c r="H227" s="193"/>
      <c r="I227" s="193"/>
    </row>
    <row r="228" spans="1:9" ht="15.6">
      <c r="A228" s="193"/>
      <c r="B228" s="193"/>
      <c r="C228" s="193"/>
      <c r="D228" s="193"/>
      <c r="E228" s="193"/>
      <c r="F228" s="193"/>
      <c r="G228" s="193"/>
      <c r="H228" s="193"/>
      <c r="I228" s="193"/>
    </row>
    <row r="229" spans="1:9" ht="15.6">
      <c r="A229" s="193"/>
      <c r="B229" s="193"/>
      <c r="C229" s="193"/>
      <c r="D229" s="193"/>
      <c r="E229" s="193"/>
      <c r="F229" s="193"/>
      <c r="G229" s="193"/>
      <c r="H229" s="193"/>
      <c r="I229" s="193"/>
    </row>
    <row r="230" spans="1:9" ht="15.6">
      <c r="A230" s="193"/>
      <c r="B230" s="193"/>
      <c r="C230" s="193"/>
      <c r="D230" s="193"/>
      <c r="E230" s="193"/>
      <c r="F230" s="193"/>
      <c r="G230" s="193"/>
      <c r="H230" s="193"/>
      <c r="I230" s="193"/>
    </row>
    <row r="231" spans="1:9" ht="15.6">
      <c r="A231" s="193"/>
      <c r="B231" s="193"/>
      <c r="C231" s="193"/>
      <c r="D231" s="193"/>
      <c r="E231" s="193"/>
      <c r="F231" s="193"/>
      <c r="G231" s="193"/>
      <c r="H231" s="193"/>
      <c r="I231" s="193"/>
    </row>
    <row r="232" spans="1:9" ht="15.6">
      <c r="A232" s="193"/>
      <c r="B232" s="193"/>
      <c r="C232" s="193"/>
      <c r="D232" s="193"/>
      <c r="E232" s="193"/>
      <c r="F232" s="193"/>
      <c r="G232" s="193"/>
      <c r="H232" s="193"/>
      <c r="I232" s="193"/>
    </row>
    <row r="233" spans="1:9" ht="15.6">
      <c r="A233" s="193"/>
      <c r="B233" s="193"/>
      <c r="C233" s="193"/>
      <c r="D233" s="193"/>
      <c r="E233" s="193"/>
      <c r="F233" s="193"/>
      <c r="G233" s="193"/>
      <c r="H233" s="193"/>
      <c r="I233" s="193"/>
    </row>
    <row r="234" spans="1:9" ht="15.6">
      <c r="A234" s="193"/>
      <c r="B234" s="193"/>
      <c r="C234" s="193"/>
      <c r="D234" s="193"/>
      <c r="E234" s="193"/>
      <c r="F234" s="193"/>
      <c r="G234" s="193"/>
      <c r="H234" s="193"/>
      <c r="I234" s="193"/>
    </row>
    <row r="235" spans="1:9" ht="15.6">
      <c r="A235" s="193"/>
      <c r="B235" s="193"/>
      <c r="C235" s="193"/>
      <c r="D235" s="193"/>
      <c r="E235" s="193"/>
      <c r="F235" s="193"/>
      <c r="G235" s="193"/>
      <c r="H235" s="193"/>
      <c r="I235" s="193"/>
    </row>
    <row r="236" spans="1:9" ht="15.6">
      <c r="A236" s="193"/>
      <c r="B236" s="193"/>
      <c r="C236" s="193"/>
      <c r="D236" s="193"/>
      <c r="E236" s="193"/>
      <c r="F236" s="193"/>
      <c r="G236" s="193"/>
      <c r="H236" s="193"/>
      <c r="I236" s="193"/>
    </row>
    <row r="237" spans="1:9" ht="15.6">
      <c r="A237" s="193"/>
      <c r="B237" s="193"/>
      <c r="C237" s="193"/>
      <c r="D237" s="193"/>
      <c r="E237" s="193"/>
      <c r="F237" s="193"/>
      <c r="G237" s="193"/>
      <c r="H237" s="193"/>
      <c r="I237" s="193"/>
    </row>
    <row r="238" spans="1:9" ht="15.6">
      <c r="A238" s="193"/>
      <c r="B238" s="193"/>
      <c r="C238" s="193"/>
      <c r="D238" s="193"/>
      <c r="E238" s="193"/>
      <c r="F238" s="193"/>
      <c r="G238" s="193"/>
      <c r="H238" s="193"/>
      <c r="I238" s="193"/>
    </row>
    <row r="239" spans="1:9" ht="15.6">
      <c r="A239" s="193"/>
      <c r="B239" s="193"/>
      <c r="C239" s="193"/>
      <c r="D239" s="193"/>
      <c r="E239" s="193"/>
      <c r="F239" s="193"/>
      <c r="G239" s="193"/>
      <c r="H239" s="193"/>
      <c r="I239" s="193"/>
    </row>
    <row r="240" spans="1:9" ht="15.6">
      <c r="A240" s="193"/>
      <c r="B240" s="193"/>
      <c r="C240" s="193"/>
      <c r="D240" s="193"/>
      <c r="E240" s="193"/>
      <c r="F240" s="193"/>
      <c r="G240" s="193"/>
      <c r="H240" s="193"/>
      <c r="I240" s="193"/>
    </row>
    <row r="241" spans="1:9" ht="15.6">
      <c r="A241" s="193"/>
      <c r="B241" s="193"/>
      <c r="C241" s="193"/>
      <c r="D241" s="193"/>
      <c r="E241" s="193"/>
      <c r="F241" s="193"/>
      <c r="G241" s="193"/>
      <c r="H241" s="193"/>
      <c r="I241" s="193"/>
    </row>
    <row r="242" spans="1:9" ht="15.6">
      <c r="A242" s="193"/>
      <c r="B242" s="193"/>
      <c r="C242" s="193"/>
      <c r="D242" s="193"/>
      <c r="E242" s="193"/>
      <c r="F242" s="193"/>
      <c r="G242" s="193"/>
      <c r="H242" s="193"/>
      <c r="I242" s="193"/>
    </row>
    <row r="243" spans="1:9" ht="15.6">
      <c r="A243" s="193"/>
      <c r="B243" s="193"/>
      <c r="C243" s="193"/>
      <c r="D243" s="193"/>
      <c r="E243" s="193"/>
      <c r="F243" s="193"/>
      <c r="G243" s="193"/>
      <c r="H243" s="193"/>
      <c r="I243" s="193"/>
    </row>
    <row r="244" spans="1:9" ht="15.6">
      <c r="A244" s="193"/>
      <c r="B244" s="193"/>
      <c r="C244" s="193"/>
      <c r="D244" s="193"/>
      <c r="E244" s="193"/>
      <c r="F244" s="193"/>
      <c r="G244" s="193"/>
      <c r="H244" s="193"/>
      <c r="I244" s="193"/>
    </row>
    <row r="245" spans="1:9" ht="15.6">
      <c r="A245" s="193"/>
      <c r="B245" s="193"/>
      <c r="C245" s="193"/>
      <c r="D245" s="193"/>
      <c r="E245" s="193"/>
      <c r="F245" s="193"/>
      <c r="G245" s="193"/>
      <c r="H245" s="193"/>
      <c r="I245" s="193"/>
    </row>
    <row r="246" spans="1:9" ht="15.6">
      <c r="A246" s="193"/>
      <c r="B246" s="193"/>
      <c r="C246" s="193"/>
      <c r="D246" s="193"/>
      <c r="E246" s="193"/>
      <c r="F246" s="193"/>
      <c r="G246" s="193"/>
      <c r="H246" s="193"/>
      <c r="I246" s="193"/>
    </row>
    <row r="247" spans="1:9" ht="15.6">
      <c r="A247" s="193"/>
      <c r="B247" s="193"/>
      <c r="C247" s="193"/>
      <c r="D247" s="193"/>
      <c r="E247" s="193"/>
      <c r="F247" s="193"/>
      <c r="G247" s="193"/>
      <c r="H247" s="193"/>
      <c r="I247" s="193"/>
    </row>
    <row r="248" spans="1:9" ht="15.6">
      <c r="A248" s="193"/>
      <c r="B248" s="193"/>
      <c r="C248" s="193"/>
      <c r="D248" s="193"/>
      <c r="E248" s="193"/>
      <c r="F248" s="193"/>
      <c r="G248" s="193"/>
      <c r="H248" s="193"/>
      <c r="I248" s="193"/>
    </row>
    <row r="249" spans="1:9" ht="15.6">
      <c r="A249" s="193"/>
      <c r="B249" s="193"/>
      <c r="C249" s="193"/>
      <c r="D249" s="193"/>
      <c r="E249" s="193"/>
      <c r="F249" s="193"/>
      <c r="G249" s="193"/>
      <c r="H249" s="193"/>
      <c r="I249" s="193"/>
    </row>
    <row r="250" spans="1:9" ht="15.6">
      <c r="A250" s="193"/>
      <c r="B250" s="193"/>
      <c r="C250" s="193"/>
      <c r="D250" s="193"/>
      <c r="E250" s="193"/>
      <c r="F250" s="193"/>
      <c r="G250" s="193"/>
      <c r="H250" s="193"/>
      <c r="I250" s="193"/>
    </row>
    <row r="251" spans="1:9" ht="15.6">
      <c r="A251" s="193"/>
      <c r="B251" s="193"/>
      <c r="C251" s="193"/>
      <c r="D251" s="193"/>
      <c r="E251" s="193"/>
      <c r="F251" s="193"/>
      <c r="G251" s="193"/>
      <c r="H251" s="193"/>
      <c r="I251" s="193"/>
    </row>
    <row r="252" spans="1:9" ht="15.6">
      <c r="A252" s="193"/>
      <c r="B252" s="193"/>
      <c r="C252" s="193"/>
      <c r="D252" s="193"/>
      <c r="E252" s="193"/>
      <c r="F252" s="193"/>
      <c r="G252" s="193"/>
      <c r="H252" s="193"/>
      <c r="I252" s="193"/>
    </row>
    <row r="253" spans="1:9" ht="15.6">
      <c r="A253" s="193"/>
      <c r="B253" s="193"/>
      <c r="C253" s="193"/>
      <c r="D253" s="193"/>
      <c r="E253" s="193"/>
      <c r="F253" s="193"/>
      <c r="G253" s="193"/>
      <c r="H253" s="193"/>
      <c r="I253" s="193"/>
    </row>
    <row r="254" spans="1:9" ht="15.6">
      <c r="A254" s="193"/>
      <c r="B254" s="193"/>
      <c r="C254" s="193"/>
      <c r="D254" s="193"/>
      <c r="E254" s="193"/>
      <c r="F254" s="193"/>
      <c r="G254" s="193"/>
      <c r="H254" s="193"/>
      <c r="I254" s="193"/>
    </row>
    <row r="255" spans="1:9" ht="15.6">
      <c r="A255" s="193"/>
      <c r="B255" s="193"/>
      <c r="C255" s="193"/>
      <c r="D255" s="193"/>
      <c r="E255" s="193"/>
      <c r="F255" s="193"/>
      <c r="G255" s="193"/>
      <c r="H255" s="193"/>
      <c r="I255" s="193"/>
    </row>
    <row r="256" spans="1:9" ht="15.6">
      <c r="A256" s="193"/>
      <c r="B256" s="193"/>
      <c r="C256" s="193"/>
      <c r="D256" s="193"/>
      <c r="E256" s="193"/>
      <c r="F256" s="193"/>
      <c r="G256" s="193"/>
      <c r="H256" s="193"/>
      <c r="I256" s="193"/>
    </row>
    <row r="257" spans="1:9" ht="15.6">
      <c r="A257" s="193"/>
      <c r="B257" s="193"/>
      <c r="C257" s="193"/>
      <c r="D257" s="193"/>
      <c r="E257" s="193"/>
      <c r="F257" s="193"/>
      <c r="G257" s="193"/>
      <c r="H257" s="193"/>
      <c r="I257" s="193"/>
    </row>
    <row r="258" spans="1:9" ht="15.6">
      <c r="A258" s="193"/>
      <c r="B258" s="193"/>
      <c r="C258" s="193"/>
      <c r="D258" s="193"/>
      <c r="E258" s="193"/>
      <c r="F258" s="193"/>
      <c r="G258" s="193"/>
      <c r="H258" s="193"/>
      <c r="I258" s="193"/>
    </row>
    <row r="259" spans="1:9" ht="15.6">
      <c r="A259" s="193"/>
      <c r="B259" s="193"/>
      <c r="C259" s="193"/>
      <c r="D259" s="193"/>
      <c r="E259" s="193"/>
      <c r="F259" s="193"/>
      <c r="G259" s="193"/>
      <c r="H259" s="193"/>
      <c r="I259" s="193"/>
    </row>
    <row r="260" spans="1:9" ht="15.6">
      <c r="A260" s="193"/>
      <c r="B260" s="193"/>
      <c r="C260" s="193"/>
      <c r="D260" s="193"/>
      <c r="E260" s="193"/>
      <c r="F260" s="193"/>
      <c r="G260" s="193"/>
      <c r="H260" s="193"/>
      <c r="I260" s="193"/>
    </row>
    <row r="261" spans="1:9" ht="15.6">
      <c r="A261" s="193"/>
      <c r="B261" s="193"/>
      <c r="C261" s="193"/>
      <c r="D261" s="193"/>
      <c r="E261" s="193"/>
      <c r="F261" s="193"/>
      <c r="G261" s="193"/>
      <c r="H261" s="193"/>
      <c r="I261" s="193"/>
    </row>
    <row r="262" spans="1:9" ht="15.6">
      <c r="A262" s="193"/>
      <c r="B262" s="193"/>
      <c r="C262" s="193"/>
      <c r="D262" s="193"/>
      <c r="E262" s="193"/>
      <c r="F262" s="193"/>
      <c r="G262" s="193"/>
      <c r="H262" s="193"/>
      <c r="I262" s="193"/>
    </row>
    <row r="263" spans="1:9" ht="15.6">
      <c r="A263" s="193"/>
      <c r="B263" s="193"/>
      <c r="C263" s="193"/>
      <c r="D263" s="193"/>
      <c r="E263" s="193"/>
      <c r="F263" s="193"/>
      <c r="G263" s="193"/>
      <c r="H263" s="193"/>
      <c r="I263" s="193"/>
    </row>
    <row r="264" spans="1:9" ht="15.6">
      <c r="A264" s="193"/>
      <c r="B264" s="193"/>
      <c r="C264" s="193"/>
      <c r="D264" s="193"/>
      <c r="E264" s="193"/>
      <c r="F264" s="193"/>
      <c r="G264" s="193"/>
      <c r="H264" s="193"/>
      <c r="I264" s="193"/>
    </row>
    <row r="265" spans="1:9" ht="15.6">
      <c r="A265" s="193"/>
      <c r="B265" s="193"/>
      <c r="C265" s="193"/>
      <c r="D265" s="193"/>
      <c r="E265" s="193"/>
      <c r="F265" s="193"/>
      <c r="G265" s="193"/>
      <c r="H265" s="193"/>
      <c r="I265" s="193"/>
    </row>
    <row r="266" spans="1:9" ht="15.6">
      <c r="A266" s="193"/>
      <c r="B266" s="193"/>
      <c r="C266" s="193"/>
      <c r="D266" s="193"/>
      <c r="E266" s="193"/>
      <c r="F266" s="193"/>
      <c r="G266" s="193"/>
      <c r="H266" s="193"/>
      <c r="I266" s="193"/>
    </row>
    <row r="267" spans="1:9" ht="15.6">
      <c r="A267" s="193"/>
      <c r="B267" s="193"/>
      <c r="C267" s="193"/>
      <c r="D267" s="193"/>
      <c r="E267" s="193"/>
      <c r="F267" s="193"/>
      <c r="G267" s="193"/>
      <c r="H267" s="193"/>
      <c r="I267" s="193"/>
    </row>
    <row r="268" spans="1:9" ht="15.6">
      <c r="A268" s="193"/>
      <c r="B268" s="193"/>
      <c r="C268" s="193"/>
      <c r="D268" s="193"/>
      <c r="E268" s="193"/>
      <c r="F268" s="193"/>
      <c r="G268" s="193"/>
      <c r="H268" s="193"/>
      <c r="I268" s="193"/>
    </row>
    <row r="269" spans="1:9" ht="15.6">
      <c r="A269" s="193"/>
      <c r="B269" s="193"/>
      <c r="C269" s="193"/>
      <c r="D269" s="193"/>
      <c r="E269" s="193"/>
      <c r="F269" s="193"/>
      <c r="G269" s="193"/>
      <c r="H269" s="193"/>
      <c r="I269" s="193"/>
    </row>
    <row r="270" spans="1:9" ht="15.6">
      <c r="A270" s="193"/>
      <c r="B270" s="193"/>
      <c r="C270" s="193"/>
      <c r="D270" s="193"/>
      <c r="E270" s="193"/>
      <c r="F270" s="193"/>
      <c r="G270" s="193"/>
      <c r="H270" s="193"/>
      <c r="I270" s="193"/>
    </row>
    <row r="271" spans="1:9" ht="15.6">
      <c r="A271" s="193"/>
      <c r="B271" s="193"/>
      <c r="C271" s="193"/>
      <c r="D271" s="193"/>
      <c r="E271" s="193"/>
      <c r="F271" s="193"/>
      <c r="G271" s="193"/>
      <c r="H271" s="193"/>
      <c r="I271" s="193"/>
    </row>
    <row r="272" spans="1:9" ht="15.6">
      <c r="A272" s="193"/>
      <c r="B272" s="193"/>
      <c r="C272" s="193"/>
      <c r="D272" s="193"/>
      <c r="E272" s="193"/>
      <c r="F272" s="193"/>
      <c r="G272" s="193"/>
      <c r="H272" s="193"/>
      <c r="I272" s="193"/>
    </row>
    <row r="273" spans="1:9" ht="15.6">
      <c r="A273" s="193"/>
      <c r="B273" s="193"/>
      <c r="C273" s="193"/>
      <c r="D273" s="193"/>
      <c r="E273" s="193"/>
      <c r="F273" s="193"/>
      <c r="G273" s="193"/>
      <c r="H273" s="193"/>
      <c r="I273" s="193"/>
    </row>
    <row r="274" spans="1:9" ht="15.6">
      <c r="A274" s="193"/>
      <c r="B274" s="193"/>
      <c r="C274" s="193"/>
      <c r="D274" s="193"/>
      <c r="E274" s="193"/>
      <c r="F274" s="193"/>
      <c r="G274" s="193"/>
      <c r="H274" s="193"/>
      <c r="I274" s="193"/>
    </row>
    <row r="275" spans="1:9" ht="15.6">
      <c r="A275" s="193"/>
      <c r="B275" s="193"/>
      <c r="C275" s="193"/>
      <c r="D275" s="193"/>
      <c r="E275" s="193"/>
      <c r="F275" s="193"/>
      <c r="G275" s="193"/>
      <c r="H275" s="193"/>
      <c r="I275" s="193"/>
    </row>
    <row r="276" spans="1:9" ht="15.6">
      <c r="A276" s="193"/>
      <c r="B276" s="193"/>
      <c r="C276" s="193"/>
      <c r="D276" s="193"/>
      <c r="E276" s="193"/>
      <c r="F276" s="193"/>
      <c r="G276" s="193"/>
      <c r="H276" s="193"/>
      <c r="I276" s="193"/>
    </row>
    <row r="277" spans="1:9" ht="15.6">
      <c r="A277" s="193"/>
      <c r="B277" s="193"/>
      <c r="C277" s="193"/>
      <c r="D277" s="193"/>
      <c r="E277" s="193"/>
      <c r="F277" s="193"/>
      <c r="G277" s="193"/>
      <c r="H277" s="193"/>
      <c r="I277" s="193"/>
    </row>
    <row r="278" spans="1:9" ht="15.6">
      <c r="A278" s="193"/>
      <c r="B278" s="193"/>
      <c r="C278" s="193"/>
      <c r="D278" s="193"/>
      <c r="E278" s="193"/>
      <c r="F278" s="193"/>
      <c r="G278" s="193"/>
      <c r="H278" s="193"/>
      <c r="I278" s="193"/>
    </row>
    <row r="279" spans="1:9" ht="15.6">
      <c r="A279" s="193"/>
      <c r="B279" s="193"/>
      <c r="C279" s="193"/>
      <c r="D279" s="193"/>
      <c r="E279" s="193"/>
      <c r="F279" s="193"/>
      <c r="G279" s="193"/>
      <c r="H279" s="193"/>
      <c r="I279" s="193"/>
    </row>
    <row r="280" spans="1:9" ht="15.6">
      <c r="A280" s="193"/>
      <c r="B280" s="193"/>
      <c r="C280" s="193"/>
      <c r="D280" s="193"/>
      <c r="E280" s="193"/>
      <c r="F280" s="193"/>
      <c r="G280" s="193"/>
      <c r="H280" s="193"/>
      <c r="I280" s="193"/>
    </row>
    <row r="281" spans="1:9" ht="15.6">
      <c r="A281" s="193"/>
      <c r="B281" s="193"/>
      <c r="C281" s="193"/>
      <c r="D281" s="193"/>
      <c r="E281" s="193"/>
      <c r="F281" s="193"/>
      <c r="G281" s="193"/>
      <c r="H281" s="193"/>
      <c r="I281" s="193"/>
    </row>
    <row r="282" spans="1:9" ht="15.6">
      <c r="A282" s="193"/>
      <c r="B282" s="193"/>
      <c r="C282" s="193"/>
      <c r="D282" s="193"/>
      <c r="E282" s="193"/>
      <c r="F282" s="193"/>
      <c r="G282" s="193"/>
      <c r="H282" s="193"/>
      <c r="I282" s="193"/>
    </row>
    <row r="283" spans="1:9" ht="15.6">
      <c r="A283" s="193"/>
      <c r="B283" s="193"/>
      <c r="C283" s="193"/>
      <c r="D283" s="193"/>
      <c r="E283" s="193"/>
      <c r="F283" s="193"/>
      <c r="G283" s="193"/>
      <c r="H283" s="193"/>
      <c r="I283" s="193"/>
    </row>
    <row r="284" spans="1:9" ht="15.6">
      <c r="A284" s="193"/>
      <c r="B284" s="193"/>
      <c r="C284" s="193"/>
      <c r="D284" s="193"/>
      <c r="E284" s="193"/>
      <c r="F284" s="193"/>
      <c r="G284" s="193"/>
      <c r="H284" s="193"/>
      <c r="I284" s="193"/>
    </row>
    <row r="285" spans="1:9" ht="15.6">
      <c r="A285" s="193"/>
      <c r="B285" s="193"/>
      <c r="C285" s="193"/>
      <c r="D285" s="193"/>
      <c r="E285" s="193"/>
      <c r="F285" s="193"/>
      <c r="G285" s="193"/>
      <c r="H285" s="193"/>
      <c r="I285" s="193"/>
    </row>
    <row r="286" spans="1:9" ht="15.6">
      <c r="A286" s="193"/>
      <c r="B286" s="193"/>
      <c r="C286" s="193"/>
      <c r="D286" s="193"/>
      <c r="E286" s="193"/>
      <c r="F286" s="193"/>
      <c r="G286" s="193"/>
      <c r="H286" s="193"/>
      <c r="I286" s="193"/>
    </row>
    <row r="287" spans="1:9" ht="15.6">
      <c r="A287" s="193"/>
      <c r="B287" s="193"/>
      <c r="C287" s="193"/>
      <c r="D287" s="193"/>
      <c r="E287" s="193"/>
      <c r="F287" s="193"/>
      <c r="G287" s="193"/>
      <c r="H287" s="193"/>
      <c r="I287" s="193"/>
    </row>
    <row r="288" spans="1:9" ht="15.6">
      <c r="A288" s="193"/>
      <c r="B288" s="193"/>
      <c r="C288" s="193"/>
      <c r="D288" s="193"/>
      <c r="E288" s="193"/>
      <c r="F288" s="193"/>
      <c r="G288" s="193"/>
      <c r="H288" s="193"/>
      <c r="I288" s="193"/>
    </row>
    <row r="289" spans="1:9" ht="15.6">
      <c r="A289" s="193"/>
      <c r="B289" s="193"/>
      <c r="C289" s="193"/>
      <c r="D289" s="193"/>
      <c r="E289" s="193"/>
      <c r="F289" s="193"/>
      <c r="G289" s="193"/>
      <c r="H289" s="193"/>
      <c r="I289" s="193"/>
    </row>
    <row r="290" spans="1:9" ht="15.6">
      <c r="A290" s="193"/>
      <c r="B290" s="193"/>
      <c r="C290" s="193"/>
      <c r="D290" s="193"/>
      <c r="E290" s="193"/>
      <c r="F290" s="193"/>
      <c r="G290" s="193"/>
      <c r="H290" s="193"/>
      <c r="I290" s="193"/>
    </row>
    <row r="291" spans="1:9" ht="15.6">
      <c r="A291" s="193"/>
      <c r="B291" s="193"/>
      <c r="C291" s="193"/>
      <c r="D291" s="193"/>
      <c r="E291" s="193"/>
      <c r="F291" s="193"/>
      <c r="G291" s="193"/>
      <c r="H291" s="193"/>
      <c r="I291" s="193"/>
    </row>
    <row r="292" spans="1:9" ht="15.6">
      <c r="A292" s="193"/>
      <c r="B292" s="193"/>
      <c r="C292" s="193"/>
      <c r="D292" s="193"/>
      <c r="E292" s="193"/>
      <c r="F292" s="193"/>
      <c r="G292" s="193"/>
      <c r="H292" s="193"/>
      <c r="I292" s="193"/>
    </row>
    <row r="293" spans="1:9" ht="15.6">
      <c r="A293" s="193"/>
      <c r="B293" s="193"/>
      <c r="C293" s="193"/>
      <c r="D293" s="193"/>
      <c r="E293" s="193"/>
      <c r="F293" s="193"/>
      <c r="G293" s="193"/>
      <c r="H293" s="193"/>
      <c r="I293" s="193"/>
    </row>
    <row r="294" spans="1:9" ht="15.6">
      <c r="A294" s="193"/>
      <c r="B294" s="193"/>
      <c r="C294" s="193"/>
      <c r="D294" s="193"/>
      <c r="E294" s="193"/>
      <c r="F294" s="193"/>
      <c r="G294" s="193"/>
      <c r="H294" s="193"/>
      <c r="I294" s="193"/>
    </row>
    <row r="295" spans="1:9" ht="15.6">
      <c r="A295" s="193"/>
      <c r="B295" s="193"/>
      <c r="C295" s="193"/>
      <c r="D295" s="193"/>
      <c r="E295" s="193"/>
      <c r="F295" s="193"/>
      <c r="G295" s="193"/>
      <c r="H295" s="193"/>
      <c r="I295" s="193"/>
    </row>
    <row r="296" spans="1:9" ht="15.6">
      <c r="A296" s="193"/>
      <c r="B296" s="193"/>
      <c r="C296" s="193"/>
      <c r="D296" s="193"/>
      <c r="E296" s="193"/>
      <c r="F296" s="193"/>
      <c r="G296" s="193"/>
      <c r="H296" s="193"/>
      <c r="I296" s="193"/>
    </row>
    <row r="297" spans="1:9" ht="15.6">
      <c r="A297" s="193"/>
      <c r="B297" s="193"/>
      <c r="C297" s="193"/>
      <c r="D297" s="193"/>
      <c r="E297" s="193"/>
      <c r="F297" s="193"/>
      <c r="G297" s="193"/>
      <c r="H297" s="193"/>
      <c r="I297" s="193"/>
    </row>
    <row r="298" spans="1:9" ht="15.6">
      <c r="A298" s="193"/>
      <c r="B298" s="193"/>
      <c r="C298" s="193"/>
      <c r="D298" s="193"/>
      <c r="E298" s="193"/>
      <c r="F298" s="193"/>
      <c r="G298" s="193"/>
      <c r="H298" s="193"/>
      <c r="I298" s="193"/>
    </row>
    <row r="299" spans="1:9" ht="15.6">
      <c r="A299" s="193"/>
      <c r="B299" s="193"/>
      <c r="C299" s="193"/>
      <c r="D299" s="193"/>
      <c r="E299" s="193"/>
      <c r="F299" s="193"/>
      <c r="G299" s="193"/>
      <c r="H299" s="193"/>
      <c r="I299" s="193"/>
    </row>
    <row r="300" spans="1:9" ht="15.6">
      <c r="A300" s="193"/>
      <c r="B300" s="193"/>
      <c r="C300" s="193"/>
      <c r="D300" s="193"/>
      <c r="E300" s="193"/>
      <c r="F300" s="193"/>
      <c r="G300" s="193"/>
      <c r="H300" s="193"/>
      <c r="I300" s="193"/>
    </row>
    <row r="301" spans="1:9" ht="15.6">
      <c r="A301" s="193"/>
      <c r="B301" s="193"/>
      <c r="C301" s="193"/>
      <c r="D301" s="193"/>
      <c r="E301" s="193"/>
      <c r="F301" s="193"/>
      <c r="G301" s="193"/>
      <c r="H301" s="193"/>
      <c r="I301" s="193"/>
    </row>
    <row r="302" spans="1:9" ht="15.6">
      <c r="A302" s="193"/>
      <c r="B302" s="193"/>
      <c r="C302" s="193"/>
      <c r="D302" s="193"/>
      <c r="E302" s="193"/>
      <c r="F302" s="193"/>
      <c r="G302" s="193"/>
      <c r="H302" s="193"/>
      <c r="I302" s="193"/>
    </row>
    <row r="303" spans="1:9" ht="15.6">
      <c r="A303" s="193"/>
      <c r="B303" s="193"/>
      <c r="C303" s="193"/>
      <c r="D303" s="193"/>
      <c r="E303" s="193"/>
      <c r="F303" s="193"/>
      <c r="G303" s="193"/>
      <c r="H303" s="193"/>
      <c r="I303" s="193"/>
    </row>
    <row r="304" spans="1:9" ht="15.6">
      <c r="A304" s="193"/>
      <c r="B304" s="193"/>
      <c r="C304" s="193"/>
      <c r="D304" s="193"/>
      <c r="E304" s="193"/>
      <c r="F304" s="193"/>
      <c r="G304" s="193"/>
      <c r="H304" s="193"/>
      <c r="I304" s="193"/>
    </row>
    <row r="305" spans="1:9" ht="15.6">
      <c r="A305" s="193"/>
      <c r="B305" s="193"/>
      <c r="C305" s="193"/>
      <c r="D305" s="193"/>
      <c r="E305" s="193"/>
      <c r="F305" s="193"/>
      <c r="G305" s="193"/>
      <c r="H305" s="193"/>
      <c r="I305" s="193"/>
    </row>
    <row r="306" spans="1:9" ht="15.6">
      <c r="A306" s="193"/>
      <c r="B306" s="193"/>
      <c r="C306" s="193"/>
      <c r="D306" s="193"/>
      <c r="E306" s="193"/>
      <c r="F306" s="193"/>
      <c r="G306" s="193"/>
      <c r="H306" s="193"/>
      <c r="I306" s="193"/>
    </row>
    <row r="307" spans="1:9" ht="15.6">
      <c r="A307" s="193"/>
      <c r="B307" s="193"/>
      <c r="C307" s="193"/>
      <c r="D307" s="193"/>
      <c r="E307" s="193"/>
      <c r="F307" s="193"/>
      <c r="G307" s="193"/>
      <c r="H307" s="193"/>
      <c r="I307" s="193"/>
    </row>
    <row r="308" spans="1:9" ht="15.6">
      <c r="A308" s="193"/>
      <c r="B308" s="193"/>
      <c r="C308" s="193"/>
      <c r="D308" s="193"/>
      <c r="E308" s="193"/>
      <c r="F308" s="193"/>
      <c r="G308" s="193"/>
      <c r="H308" s="193"/>
      <c r="I308" s="193"/>
    </row>
    <row r="309" spans="1:9" ht="15.6">
      <c r="A309" s="193"/>
      <c r="B309" s="193"/>
      <c r="C309" s="193"/>
      <c r="D309" s="193"/>
      <c r="E309" s="193"/>
      <c r="F309" s="193"/>
      <c r="G309" s="193"/>
      <c r="H309" s="193"/>
      <c r="I309" s="193"/>
    </row>
    <row r="310" spans="1:9" ht="15.6">
      <c r="A310" s="193"/>
      <c r="B310" s="193"/>
      <c r="C310" s="193"/>
      <c r="D310" s="193"/>
      <c r="E310" s="193"/>
      <c r="F310" s="193"/>
      <c r="G310" s="193"/>
      <c r="H310" s="193"/>
      <c r="I310" s="193"/>
    </row>
    <row r="311" spans="1:9" ht="15.6">
      <c r="A311" s="193"/>
      <c r="B311" s="193"/>
      <c r="C311" s="193"/>
      <c r="D311" s="193"/>
      <c r="E311" s="193"/>
      <c r="F311" s="193"/>
      <c r="G311" s="193"/>
      <c r="H311" s="193"/>
      <c r="I311" s="193"/>
    </row>
    <row r="312" spans="1:9" ht="15.6">
      <c r="A312" s="193"/>
      <c r="B312" s="193"/>
      <c r="C312" s="193"/>
      <c r="D312" s="193"/>
      <c r="E312" s="193"/>
      <c r="F312" s="193"/>
      <c r="G312" s="193"/>
      <c r="H312" s="193"/>
      <c r="I312" s="193"/>
    </row>
    <row r="313" spans="1:9" ht="15.6">
      <c r="A313" s="193"/>
      <c r="B313" s="193"/>
      <c r="C313" s="193"/>
      <c r="D313" s="193"/>
      <c r="E313" s="193"/>
      <c r="F313" s="193"/>
      <c r="G313" s="193"/>
      <c r="H313" s="193"/>
      <c r="I313" s="193"/>
    </row>
    <row r="314" spans="1:9" ht="15.6">
      <c r="A314" s="193"/>
      <c r="B314" s="193"/>
      <c r="C314" s="193"/>
      <c r="D314" s="193"/>
      <c r="E314" s="193"/>
      <c r="F314" s="193"/>
      <c r="G314" s="193"/>
      <c r="H314" s="193"/>
      <c r="I314" s="193"/>
    </row>
    <row r="315" spans="1:9" ht="15.6">
      <c r="A315" s="193"/>
      <c r="B315" s="193"/>
      <c r="C315" s="193"/>
      <c r="D315" s="193"/>
      <c r="E315" s="193"/>
      <c r="F315" s="193"/>
      <c r="G315" s="193"/>
      <c r="H315" s="193"/>
      <c r="I315" s="193"/>
    </row>
    <row r="316" spans="1:9" ht="15.6">
      <c r="A316" s="193"/>
      <c r="B316" s="193"/>
      <c r="C316" s="193"/>
      <c r="D316" s="193"/>
      <c r="E316" s="193"/>
      <c r="F316" s="193"/>
      <c r="G316" s="193"/>
      <c r="H316" s="193"/>
      <c r="I316" s="193"/>
    </row>
    <row r="317" spans="1:9" ht="15.6">
      <c r="A317" s="193"/>
      <c r="B317" s="193"/>
      <c r="C317" s="193"/>
      <c r="D317" s="193"/>
      <c r="E317" s="193"/>
      <c r="F317" s="193"/>
      <c r="G317" s="193"/>
      <c r="H317" s="193"/>
      <c r="I317" s="193"/>
    </row>
    <row r="318" spans="1:9" ht="15.6">
      <c r="A318" s="193"/>
      <c r="B318" s="193"/>
      <c r="C318" s="193"/>
      <c r="D318" s="193"/>
      <c r="E318" s="193"/>
      <c r="F318" s="193"/>
      <c r="G318" s="193"/>
      <c r="H318" s="193"/>
      <c r="I318" s="193"/>
    </row>
    <row r="319" spans="1:9" ht="15.6">
      <c r="A319" s="193"/>
      <c r="B319" s="193"/>
      <c r="C319" s="193"/>
      <c r="D319" s="193"/>
      <c r="E319" s="193"/>
      <c r="F319" s="193"/>
      <c r="G319" s="193"/>
      <c r="H319" s="193"/>
      <c r="I319" s="193"/>
    </row>
    <row r="320" spans="1:9" ht="15.6">
      <c r="A320" s="193"/>
      <c r="B320" s="193"/>
      <c r="C320" s="193"/>
      <c r="D320" s="193"/>
      <c r="E320" s="193"/>
      <c r="F320" s="193"/>
      <c r="G320" s="193"/>
      <c r="H320" s="193"/>
      <c r="I320" s="193"/>
    </row>
    <row r="321" spans="1:9" ht="15.6">
      <c r="A321" s="193"/>
      <c r="B321" s="193"/>
      <c r="C321" s="193"/>
      <c r="D321" s="193"/>
      <c r="E321" s="193"/>
      <c r="F321" s="193"/>
      <c r="G321" s="193"/>
      <c r="H321" s="193"/>
      <c r="I321" s="193"/>
    </row>
    <row r="322" spans="1:9" ht="15.6">
      <c r="A322" s="193"/>
      <c r="B322" s="193"/>
      <c r="C322" s="193"/>
      <c r="D322" s="193"/>
      <c r="E322" s="193"/>
      <c r="F322" s="193"/>
      <c r="G322" s="193"/>
      <c r="H322" s="193"/>
      <c r="I322" s="193"/>
    </row>
    <row r="323" spans="1:9" ht="15.6">
      <c r="A323" s="193"/>
      <c r="B323" s="193"/>
      <c r="C323" s="193"/>
      <c r="D323" s="193"/>
      <c r="E323" s="193"/>
      <c r="F323" s="193"/>
      <c r="G323" s="193"/>
      <c r="H323" s="193"/>
      <c r="I323" s="193"/>
    </row>
    <row r="324" spans="1:9" ht="15.6">
      <c r="A324" s="193"/>
      <c r="B324" s="193"/>
      <c r="C324" s="193"/>
      <c r="D324" s="193"/>
      <c r="E324" s="193"/>
      <c r="F324" s="193"/>
      <c r="G324" s="193"/>
      <c r="H324" s="193"/>
      <c r="I324" s="193"/>
    </row>
    <row r="325" spans="1:9" ht="15.6">
      <c r="A325" s="193"/>
      <c r="B325" s="193"/>
      <c r="C325" s="193"/>
      <c r="D325" s="193"/>
      <c r="E325" s="193"/>
      <c r="F325" s="193"/>
      <c r="G325" s="193"/>
      <c r="H325" s="193"/>
      <c r="I325" s="193"/>
    </row>
    <row r="326" spans="1:9" ht="15.6">
      <c r="A326" s="193"/>
      <c r="B326" s="193"/>
      <c r="C326" s="193"/>
      <c r="D326" s="193"/>
      <c r="E326" s="193"/>
      <c r="F326" s="193"/>
      <c r="G326" s="193"/>
      <c r="H326" s="193"/>
      <c r="I326" s="193"/>
    </row>
    <row r="327" spans="1:9" ht="15.6">
      <c r="A327" s="193"/>
      <c r="B327" s="193"/>
      <c r="C327" s="193"/>
      <c r="D327" s="193"/>
      <c r="E327" s="193"/>
      <c r="F327" s="193"/>
      <c r="G327" s="193"/>
      <c r="H327" s="193"/>
      <c r="I327" s="193"/>
    </row>
    <row r="328" spans="1:9" ht="15.6">
      <c r="A328" s="193"/>
      <c r="B328" s="193"/>
      <c r="C328" s="193"/>
      <c r="D328" s="193"/>
      <c r="E328" s="193"/>
      <c r="F328" s="193"/>
      <c r="G328" s="193"/>
      <c r="H328" s="193"/>
      <c r="I328" s="193"/>
    </row>
    <row r="329" spans="1:9" ht="15.6">
      <c r="A329" s="193"/>
      <c r="B329" s="193"/>
      <c r="C329" s="193"/>
      <c r="D329" s="193"/>
      <c r="E329" s="193"/>
      <c r="F329" s="193"/>
      <c r="G329" s="193"/>
      <c r="H329" s="193"/>
      <c r="I329" s="193"/>
    </row>
    <row r="330" spans="1:9" ht="15.6">
      <c r="A330" s="193"/>
      <c r="B330" s="193"/>
      <c r="C330" s="193"/>
      <c r="D330" s="193"/>
      <c r="E330" s="193"/>
      <c r="F330" s="193"/>
      <c r="G330" s="193"/>
      <c r="H330" s="193"/>
      <c r="I330" s="193"/>
    </row>
    <row r="331" spans="1:9" ht="15.6">
      <c r="A331" s="193"/>
      <c r="B331" s="193"/>
      <c r="C331" s="193"/>
      <c r="D331" s="193"/>
      <c r="E331" s="193"/>
      <c r="F331" s="193"/>
      <c r="G331" s="193"/>
      <c r="H331" s="193"/>
      <c r="I331" s="193"/>
    </row>
    <row r="332" spans="1:9" ht="15.6">
      <c r="A332" s="193"/>
      <c r="B332" s="193"/>
      <c r="C332" s="193"/>
      <c r="D332" s="193"/>
      <c r="E332" s="193"/>
      <c r="F332" s="193"/>
      <c r="G332" s="193"/>
      <c r="H332" s="193"/>
      <c r="I332" s="193"/>
    </row>
    <row r="333" spans="1:9" ht="15.6">
      <c r="A333" s="193"/>
      <c r="B333" s="193"/>
      <c r="C333" s="193"/>
      <c r="D333" s="193"/>
      <c r="E333" s="193"/>
      <c r="F333" s="193"/>
      <c r="G333" s="193"/>
      <c r="H333" s="193"/>
      <c r="I333" s="193"/>
    </row>
    <row r="334" spans="1:9" ht="15.6">
      <c r="A334" s="193"/>
      <c r="B334" s="193"/>
      <c r="C334" s="193"/>
      <c r="D334" s="193"/>
      <c r="E334" s="193"/>
      <c r="F334" s="193"/>
      <c r="G334" s="193"/>
      <c r="H334" s="193"/>
      <c r="I334" s="193"/>
    </row>
    <row r="335" spans="1:9" ht="15.6">
      <c r="A335" s="193"/>
      <c r="B335" s="193"/>
      <c r="C335" s="193"/>
      <c r="D335" s="193"/>
      <c r="E335" s="193"/>
      <c r="F335" s="193"/>
      <c r="G335" s="193"/>
      <c r="H335" s="193"/>
      <c r="I335" s="193"/>
    </row>
    <row r="336" spans="1:9" ht="15.6">
      <c r="A336" s="193"/>
      <c r="B336" s="193"/>
      <c r="C336" s="193"/>
      <c r="D336" s="193"/>
      <c r="E336" s="193"/>
      <c r="F336" s="193"/>
      <c r="G336" s="193"/>
      <c r="H336" s="193"/>
      <c r="I336" s="193"/>
    </row>
    <row r="337" spans="1:9" ht="15.6">
      <c r="A337" s="193"/>
      <c r="B337" s="193"/>
      <c r="C337" s="193"/>
      <c r="D337" s="193"/>
      <c r="E337" s="193"/>
      <c r="F337" s="193"/>
      <c r="G337" s="193"/>
      <c r="H337" s="193"/>
      <c r="I337" s="193"/>
    </row>
    <row r="338" spans="1:9" ht="15.6">
      <c r="A338" s="193"/>
      <c r="B338" s="193"/>
      <c r="C338" s="193"/>
      <c r="D338" s="193"/>
      <c r="E338" s="193"/>
      <c r="F338" s="193"/>
      <c r="G338" s="193"/>
      <c r="H338" s="193"/>
      <c r="I338" s="193"/>
    </row>
    <row r="339" spans="1:9" ht="15.6">
      <c r="A339" s="193"/>
      <c r="B339" s="193"/>
      <c r="C339" s="193"/>
      <c r="D339" s="193"/>
      <c r="E339" s="193"/>
      <c r="F339" s="193"/>
      <c r="G339" s="193"/>
      <c r="H339" s="193"/>
      <c r="I339" s="193"/>
    </row>
    <row r="340" spans="1:9" ht="15.6">
      <c r="A340" s="193"/>
      <c r="B340" s="193"/>
      <c r="C340" s="193"/>
      <c r="D340" s="193"/>
      <c r="E340" s="193"/>
      <c r="F340" s="193"/>
      <c r="G340" s="193"/>
      <c r="H340" s="193"/>
      <c r="I340" s="193"/>
    </row>
    <row r="341" spans="1:9" ht="15.6">
      <c r="A341" s="193"/>
      <c r="B341" s="193"/>
      <c r="C341" s="193"/>
      <c r="D341" s="193"/>
      <c r="E341" s="193"/>
      <c r="F341" s="193"/>
      <c r="G341" s="193"/>
      <c r="H341" s="193"/>
      <c r="I341" s="193"/>
    </row>
    <row r="342" spans="1:9" ht="15.6">
      <c r="A342" s="193"/>
      <c r="B342" s="193"/>
      <c r="C342" s="193"/>
      <c r="D342" s="193"/>
      <c r="E342" s="193"/>
      <c r="F342" s="193"/>
      <c r="G342" s="193"/>
      <c r="H342" s="193"/>
      <c r="I342" s="193"/>
    </row>
    <row r="343" spans="1:9" ht="15.6">
      <c r="A343" s="193"/>
      <c r="B343" s="193"/>
      <c r="C343" s="193"/>
      <c r="D343" s="193"/>
      <c r="E343" s="193"/>
      <c r="F343" s="193"/>
      <c r="G343" s="193"/>
      <c r="H343" s="193"/>
      <c r="I343" s="193"/>
    </row>
    <row r="344" spans="1:9" ht="15.6">
      <c r="A344" s="193"/>
      <c r="B344" s="193"/>
      <c r="C344" s="193"/>
      <c r="D344" s="193"/>
      <c r="E344" s="193"/>
      <c r="F344" s="193"/>
      <c r="G344" s="193"/>
      <c r="H344" s="193"/>
      <c r="I344" s="193"/>
    </row>
    <row r="345" spans="1:9" ht="15.6">
      <c r="A345" s="193"/>
      <c r="B345" s="193"/>
      <c r="C345" s="193"/>
      <c r="D345" s="193"/>
      <c r="E345" s="193"/>
      <c r="F345" s="193"/>
      <c r="G345" s="193"/>
      <c r="H345" s="193"/>
      <c r="I345" s="193"/>
    </row>
    <row r="346" spans="1:9" ht="15.6">
      <c r="A346" s="193"/>
      <c r="B346" s="193"/>
      <c r="C346" s="193"/>
      <c r="D346" s="193"/>
      <c r="E346" s="193"/>
      <c r="F346" s="193"/>
      <c r="G346" s="193"/>
      <c r="H346" s="193"/>
      <c r="I346" s="193"/>
    </row>
    <row r="347" spans="1:9" ht="15.6">
      <c r="A347" s="193"/>
      <c r="B347" s="193"/>
      <c r="C347" s="193"/>
      <c r="D347" s="193"/>
      <c r="E347" s="193"/>
      <c r="F347" s="193"/>
      <c r="G347" s="193"/>
      <c r="H347" s="193"/>
      <c r="I347" s="193"/>
    </row>
    <row r="348" spans="1:9" ht="15.6">
      <c r="A348" s="193"/>
      <c r="B348" s="193"/>
      <c r="C348" s="193"/>
      <c r="D348" s="193"/>
      <c r="E348" s="193"/>
      <c r="F348" s="193"/>
      <c r="G348" s="193"/>
      <c r="H348" s="193"/>
      <c r="I348" s="193"/>
    </row>
    <row r="349" spans="1:9" ht="15.6">
      <c r="A349" s="193"/>
      <c r="B349" s="193"/>
      <c r="C349" s="193"/>
      <c r="D349" s="193"/>
      <c r="E349" s="193"/>
      <c r="F349" s="193"/>
      <c r="G349" s="193"/>
      <c r="H349" s="193"/>
      <c r="I349" s="193"/>
    </row>
    <row r="350" spans="1:9" ht="15.6">
      <c r="A350" s="193"/>
      <c r="B350" s="193"/>
      <c r="C350" s="193"/>
      <c r="D350" s="193"/>
      <c r="E350" s="193"/>
      <c r="F350" s="193"/>
      <c r="G350" s="193"/>
      <c r="H350" s="193"/>
      <c r="I350" s="193"/>
    </row>
    <row r="351" spans="1:9" ht="15.6">
      <c r="A351" s="193"/>
      <c r="B351" s="193"/>
      <c r="C351" s="193"/>
      <c r="D351" s="193"/>
      <c r="E351" s="193"/>
      <c r="F351" s="193"/>
      <c r="G351" s="193"/>
      <c r="H351" s="193"/>
      <c r="I351" s="193"/>
    </row>
    <row r="352" spans="1:9" ht="15.6">
      <c r="A352" s="193"/>
      <c r="B352" s="193"/>
      <c r="C352" s="193"/>
      <c r="D352" s="193"/>
      <c r="E352" s="193"/>
      <c r="F352" s="193"/>
      <c r="G352" s="193"/>
      <c r="H352" s="193"/>
      <c r="I352" s="193"/>
    </row>
    <row r="353" spans="1:9" ht="15.6">
      <c r="A353" s="193"/>
      <c r="B353" s="193"/>
      <c r="C353" s="193"/>
      <c r="D353" s="193"/>
      <c r="E353" s="193"/>
      <c r="F353" s="193"/>
      <c r="G353" s="193"/>
      <c r="H353" s="193"/>
      <c r="I353" s="193"/>
    </row>
    <row r="354" spans="1:9" ht="15.6">
      <c r="A354" s="193"/>
      <c r="B354" s="193"/>
      <c r="C354" s="193"/>
      <c r="D354" s="193"/>
      <c r="E354" s="193"/>
      <c r="F354" s="193"/>
      <c r="G354" s="193"/>
      <c r="H354" s="193"/>
      <c r="I354" s="193"/>
    </row>
    <row r="355" spans="1:9" ht="15.6">
      <c r="A355" s="193"/>
      <c r="B355" s="193"/>
      <c r="C355" s="193"/>
      <c r="D355" s="193"/>
      <c r="E355" s="193"/>
      <c r="F355" s="193"/>
      <c r="G355" s="193"/>
      <c r="H355" s="193"/>
      <c r="I355" s="193"/>
    </row>
    <row r="356" spans="1:9" ht="15.6">
      <c r="A356" s="193"/>
      <c r="B356" s="193"/>
      <c r="C356" s="193"/>
      <c r="D356" s="193"/>
      <c r="E356" s="193"/>
      <c r="F356" s="193"/>
      <c r="G356" s="193"/>
      <c r="H356" s="193"/>
      <c r="I356" s="193"/>
    </row>
    <row r="357" spans="1:9" ht="15.6">
      <c r="A357" s="193"/>
      <c r="B357" s="193"/>
      <c r="C357" s="193"/>
      <c r="D357" s="193"/>
      <c r="E357" s="193"/>
      <c r="F357" s="193"/>
      <c r="G357" s="193"/>
      <c r="H357" s="193"/>
      <c r="I357" s="193"/>
    </row>
    <row r="358" spans="1:9" ht="15.6">
      <c r="A358" s="193"/>
      <c r="B358" s="193"/>
      <c r="C358" s="193"/>
      <c r="D358" s="193"/>
      <c r="E358" s="193"/>
      <c r="F358" s="193"/>
      <c r="G358" s="193"/>
      <c r="H358" s="193"/>
      <c r="I358" s="193"/>
    </row>
    <row r="359" spans="1:9" ht="15.6">
      <c r="A359" s="193"/>
      <c r="B359" s="193"/>
      <c r="C359" s="193"/>
      <c r="D359" s="193"/>
      <c r="E359" s="193"/>
      <c r="F359" s="193"/>
      <c r="G359" s="193"/>
      <c r="H359" s="193"/>
      <c r="I359" s="193"/>
    </row>
    <row r="360" spans="1:9" ht="15.6">
      <c r="A360" s="193"/>
      <c r="B360" s="193"/>
      <c r="C360" s="193"/>
      <c r="D360" s="193"/>
      <c r="E360" s="193"/>
      <c r="F360" s="193"/>
      <c r="G360" s="193"/>
      <c r="H360" s="193"/>
      <c r="I360" s="193"/>
    </row>
    <row r="361" spans="1:9" ht="15.6">
      <c r="A361" s="193"/>
      <c r="B361" s="193"/>
      <c r="C361" s="193"/>
      <c r="D361" s="193"/>
      <c r="E361" s="193"/>
      <c r="F361" s="193"/>
      <c r="G361" s="193"/>
      <c r="H361" s="193"/>
      <c r="I361" s="193"/>
    </row>
    <row r="362" spans="1:9" ht="15.6">
      <c r="A362" s="193"/>
      <c r="B362" s="193"/>
      <c r="C362" s="193"/>
      <c r="D362" s="193"/>
      <c r="E362" s="193"/>
      <c r="F362" s="193"/>
      <c r="G362" s="193"/>
      <c r="H362" s="193"/>
      <c r="I362" s="193"/>
    </row>
    <row r="363" spans="1:9" ht="15.6">
      <c r="A363" s="193"/>
      <c r="B363" s="193"/>
      <c r="C363" s="193"/>
      <c r="D363" s="193"/>
      <c r="E363" s="193"/>
      <c r="F363" s="193"/>
      <c r="G363" s="193"/>
      <c r="H363" s="193"/>
      <c r="I363" s="193"/>
    </row>
    <row r="364" spans="1:9" ht="15.6">
      <c r="A364" s="193"/>
      <c r="B364" s="193"/>
      <c r="C364" s="193"/>
      <c r="D364" s="193"/>
      <c r="E364" s="193"/>
      <c r="F364" s="193"/>
      <c r="G364" s="193"/>
      <c r="H364" s="193"/>
      <c r="I364" s="193"/>
    </row>
    <row r="365" spans="1:9" ht="15.6">
      <c r="A365" s="193"/>
      <c r="B365" s="193"/>
      <c r="C365" s="193"/>
      <c r="D365" s="193"/>
      <c r="E365" s="193"/>
      <c r="F365" s="193"/>
      <c r="G365" s="193"/>
      <c r="H365" s="193"/>
      <c r="I365" s="193"/>
    </row>
    <row r="366" spans="1:9" ht="15.6">
      <c r="A366" s="193"/>
      <c r="B366" s="193"/>
      <c r="C366" s="193"/>
      <c r="D366" s="193"/>
      <c r="E366" s="193"/>
      <c r="F366" s="193"/>
      <c r="G366" s="193"/>
      <c r="H366" s="193"/>
      <c r="I366" s="193"/>
    </row>
    <row r="367" spans="1:9" ht="15.6">
      <c r="A367" s="193"/>
      <c r="B367" s="193"/>
      <c r="C367" s="193"/>
      <c r="D367" s="193"/>
      <c r="E367" s="193"/>
      <c r="F367" s="193"/>
      <c r="G367" s="193"/>
      <c r="H367" s="193"/>
      <c r="I367" s="193"/>
    </row>
    <row r="368" spans="1:9" ht="15.6">
      <c r="A368" s="193"/>
      <c r="B368" s="193"/>
      <c r="C368" s="193"/>
      <c r="D368" s="193"/>
      <c r="E368" s="193"/>
      <c r="F368" s="193"/>
      <c r="G368" s="193"/>
      <c r="H368" s="193"/>
      <c r="I368" s="193"/>
    </row>
    <row r="369" spans="1:9" ht="15.6">
      <c r="A369" s="193"/>
      <c r="B369" s="193"/>
      <c r="C369" s="193"/>
      <c r="D369" s="193"/>
      <c r="E369" s="193"/>
      <c r="F369" s="193"/>
      <c r="G369" s="193"/>
      <c r="H369" s="193"/>
      <c r="I369" s="193"/>
    </row>
    <row r="370" spans="1:9" ht="15.6">
      <c r="A370" s="193"/>
      <c r="B370" s="193"/>
      <c r="C370" s="193"/>
      <c r="D370" s="193"/>
      <c r="E370" s="193"/>
      <c r="F370" s="193"/>
      <c r="G370" s="193"/>
      <c r="H370" s="193"/>
      <c r="I370" s="193"/>
    </row>
    <row r="371" spans="1:9" ht="15.6">
      <c r="A371" s="193"/>
      <c r="B371" s="193"/>
      <c r="C371" s="193"/>
      <c r="D371" s="193"/>
      <c r="E371" s="193"/>
      <c r="F371" s="193"/>
      <c r="G371" s="193"/>
      <c r="H371" s="193"/>
      <c r="I371" s="193"/>
    </row>
    <row r="372" spans="1:9" ht="15.6">
      <c r="A372" s="193"/>
      <c r="B372" s="193"/>
      <c r="C372" s="193"/>
      <c r="D372" s="193"/>
      <c r="E372" s="193"/>
      <c r="F372" s="193"/>
      <c r="G372" s="193"/>
      <c r="H372" s="193"/>
      <c r="I372" s="193"/>
    </row>
    <row r="373" spans="1:9" ht="15.6">
      <c r="A373" s="193"/>
      <c r="B373" s="193"/>
      <c r="C373" s="193"/>
      <c r="D373" s="193"/>
      <c r="E373" s="193"/>
      <c r="F373" s="193"/>
      <c r="G373" s="193"/>
      <c r="H373" s="193"/>
      <c r="I373" s="193"/>
    </row>
    <row r="374" spans="1:9" ht="15.6">
      <c r="A374" s="193"/>
      <c r="B374" s="193"/>
      <c r="C374" s="193"/>
      <c r="D374" s="193"/>
      <c r="E374" s="193"/>
      <c r="F374" s="193"/>
      <c r="G374" s="193"/>
      <c r="H374" s="193"/>
      <c r="I374" s="193"/>
    </row>
    <row r="375" spans="1:9" ht="15.6">
      <c r="A375" s="193"/>
      <c r="B375" s="193"/>
      <c r="C375" s="193"/>
      <c r="D375" s="193"/>
      <c r="E375" s="193"/>
      <c r="F375" s="193"/>
      <c r="G375" s="193"/>
      <c r="H375" s="193"/>
      <c r="I375" s="193"/>
    </row>
    <row r="376" spans="1:9" ht="15.6">
      <c r="A376" s="193"/>
      <c r="B376" s="193"/>
      <c r="C376" s="193"/>
      <c r="D376" s="193"/>
      <c r="E376" s="193"/>
      <c r="F376" s="193"/>
      <c r="G376" s="193"/>
      <c r="H376" s="193"/>
      <c r="I376" s="193"/>
    </row>
    <row r="377" spans="1:9" ht="15.6">
      <c r="A377" s="193"/>
      <c r="B377" s="193"/>
      <c r="C377" s="193"/>
      <c r="D377" s="193"/>
      <c r="E377" s="193"/>
      <c r="F377" s="193"/>
      <c r="G377" s="193"/>
      <c r="H377" s="193"/>
      <c r="I377" s="193"/>
    </row>
    <row r="378" spans="1:9" ht="15.6">
      <c r="A378" s="193"/>
      <c r="B378" s="193"/>
      <c r="C378" s="193"/>
      <c r="D378" s="193"/>
      <c r="E378" s="193"/>
      <c r="F378" s="193"/>
      <c r="G378" s="193"/>
      <c r="H378" s="193"/>
      <c r="I378" s="193"/>
    </row>
    <row r="379" spans="1:9" ht="15.6">
      <c r="A379" s="193"/>
      <c r="B379" s="193"/>
      <c r="C379" s="193"/>
      <c r="D379" s="193"/>
      <c r="E379" s="193"/>
      <c r="F379" s="193"/>
      <c r="G379" s="193"/>
      <c r="H379" s="193"/>
      <c r="I379" s="193"/>
    </row>
    <row r="380" spans="1:9" ht="15.6">
      <c r="A380" s="193"/>
      <c r="B380" s="193"/>
      <c r="C380" s="193"/>
      <c r="D380" s="193"/>
      <c r="E380" s="193"/>
      <c r="F380" s="193"/>
      <c r="G380" s="193"/>
      <c r="H380" s="193"/>
      <c r="I380" s="193"/>
    </row>
    <row r="381" spans="1:9" ht="15.6">
      <c r="A381" s="193"/>
      <c r="B381" s="193"/>
      <c r="C381" s="193"/>
      <c r="D381" s="193"/>
      <c r="E381" s="193"/>
      <c r="F381" s="193"/>
      <c r="G381" s="193"/>
      <c r="H381" s="193"/>
      <c r="I381" s="193"/>
    </row>
    <row r="382" spans="1:9" ht="15.6">
      <c r="A382" s="193"/>
      <c r="B382" s="193"/>
      <c r="C382" s="193"/>
      <c r="D382" s="193"/>
      <c r="E382" s="193"/>
      <c r="F382" s="193"/>
      <c r="G382" s="193"/>
      <c r="H382" s="193"/>
      <c r="I382" s="193"/>
    </row>
    <row r="383" spans="1:9" ht="15.6">
      <c r="A383" s="193"/>
      <c r="B383" s="193"/>
      <c r="C383" s="193"/>
      <c r="D383" s="193"/>
      <c r="E383" s="193"/>
      <c r="F383" s="193"/>
      <c r="G383" s="193"/>
      <c r="H383" s="193"/>
      <c r="I383" s="193"/>
    </row>
    <row r="384" spans="1:9" ht="15.6">
      <c r="A384" s="193"/>
      <c r="B384" s="193"/>
      <c r="C384" s="193"/>
      <c r="D384" s="193"/>
      <c r="E384" s="193"/>
      <c r="F384" s="193"/>
      <c r="G384" s="193"/>
      <c r="H384" s="193"/>
      <c r="I384" s="193"/>
    </row>
    <row r="385" spans="1:9" ht="15.6">
      <c r="A385" s="193"/>
      <c r="B385" s="193"/>
      <c r="C385" s="193"/>
      <c r="D385" s="193"/>
      <c r="E385" s="193"/>
      <c r="F385" s="193"/>
      <c r="G385" s="193"/>
      <c r="H385" s="193"/>
      <c r="I385" s="193"/>
    </row>
    <row r="386" spans="1:9" ht="15.6">
      <c r="A386" s="193"/>
      <c r="B386" s="193"/>
      <c r="C386" s="193"/>
      <c r="D386" s="193"/>
      <c r="E386" s="193"/>
      <c r="F386" s="193"/>
      <c r="G386" s="193"/>
      <c r="H386" s="193"/>
      <c r="I386" s="193"/>
    </row>
    <row r="387" spans="1:9" ht="15.6">
      <c r="A387" s="193"/>
      <c r="B387" s="193"/>
      <c r="C387" s="193"/>
      <c r="D387" s="193"/>
      <c r="E387" s="193"/>
      <c r="F387" s="193"/>
      <c r="G387" s="193"/>
      <c r="H387" s="193"/>
      <c r="I387" s="193"/>
    </row>
    <row r="388" spans="1:9" ht="15.6">
      <c r="A388" s="193"/>
      <c r="B388" s="193"/>
      <c r="C388" s="193"/>
      <c r="D388" s="193"/>
      <c r="E388" s="193"/>
      <c r="F388" s="193"/>
      <c r="G388" s="193"/>
      <c r="H388" s="193"/>
      <c r="I388" s="193"/>
    </row>
    <row r="389" spans="1:9" ht="15.6">
      <c r="A389" s="193"/>
      <c r="B389" s="193"/>
      <c r="C389" s="193"/>
      <c r="D389" s="193"/>
      <c r="E389" s="193"/>
      <c r="F389" s="193"/>
      <c r="G389" s="193"/>
      <c r="H389" s="193"/>
      <c r="I389" s="193"/>
    </row>
    <row r="390" spans="1:9" ht="15.6">
      <c r="A390" s="193"/>
      <c r="B390" s="193"/>
      <c r="C390" s="193"/>
      <c r="D390" s="193"/>
      <c r="E390" s="193"/>
      <c r="F390" s="193"/>
      <c r="G390" s="193"/>
      <c r="H390" s="193"/>
      <c r="I390" s="193"/>
    </row>
    <row r="391" spans="1:9" ht="15.6">
      <c r="A391" s="193"/>
      <c r="B391" s="193"/>
      <c r="C391" s="193"/>
      <c r="D391" s="193"/>
      <c r="E391" s="193"/>
      <c r="F391" s="193"/>
      <c r="G391" s="193"/>
      <c r="H391" s="193"/>
      <c r="I391" s="193"/>
    </row>
    <row r="392" spans="1:9" ht="15.6">
      <c r="A392" s="193"/>
      <c r="B392" s="193"/>
      <c r="C392" s="193"/>
      <c r="D392" s="193"/>
      <c r="E392" s="193"/>
      <c r="F392" s="193"/>
      <c r="G392" s="193"/>
      <c r="H392" s="193"/>
      <c r="I392" s="193"/>
    </row>
    <row r="393" spans="1:9" ht="15.6">
      <c r="A393" s="193"/>
      <c r="B393" s="193"/>
      <c r="C393" s="193"/>
      <c r="D393" s="193"/>
      <c r="E393" s="193"/>
      <c r="F393" s="193"/>
      <c r="G393" s="193"/>
      <c r="H393" s="193"/>
      <c r="I393" s="193"/>
    </row>
    <row r="394" spans="1:9" ht="15.6">
      <c r="A394" s="193"/>
      <c r="B394" s="193"/>
      <c r="C394" s="193"/>
      <c r="D394" s="193"/>
      <c r="E394" s="193"/>
      <c r="F394" s="193"/>
      <c r="G394" s="193"/>
      <c r="H394" s="193"/>
      <c r="I394" s="193"/>
    </row>
    <row r="395" spans="1:9" ht="15.6">
      <c r="A395" s="193"/>
      <c r="B395" s="193"/>
      <c r="C395" s="193"/>
      <c r="D395" s="193"/>
      <c r="E395" s="193"/>
      <c r="F395" s="193"/>
      <c r="G395" s="193"/>
      <c r="H395" s="193"/>
      <c r="I395" s="193"/>
    </row>
    <row r="396" spans="1:9" ht="15.6">
      <c r="A396" s="193"/>
      <c r="B396" s="193"/>
      <c r="C396" s="193"/>
      <c r="D396" s="193"/>
      <c r="E396" s="193"/>
      <c r="F396" s="193"/>
      <c r="G396" s="193"/>
      <c r="H396" s="193"/>
      <c r="I396" s="193"/>
    </row>
    <row r="397" spans="1:9" ht="15.6">
      <c r="A397" s="193"/>
      <c r="B397" s="193"/>
      <c r="C397" s="193"/>
      <c r="D397" s="193"/>
      <c r="E397" s="193"/>
      <c r="F397" s="193"/>
      <c r="G397" s="193"/>
      <c r="H397" s="193"/>
      <c r="I397" s="193"/>
    </row>
    <row r="398" spans="1:9" ht="15.6">
      <c r="A398" s="193"/>
      <c r="B398" s="193"/>
      <c r="C398" s="193"/>
      <c r="D398" s="193"/>
      <c r="E398" s="193"/>
      <c r="F398" s="193"/>
      <c r="G398" s="193"/>
      <c r="H398" s="193"/>
      <c r="I398" s="193"/>
    </row>
    <row r="399" spans="1:9" ht="15.6">
      <c r="A399" s="193"/>
      <c r="B399" s="193"/>
      <c r="C399" s="193"/>
      <c r="D399" s="193"/>
      <c r="E399" s="193"/>
      <c r="F399" s="193"/>
      <c r="G399" s="193"/>
      <c r="H399" s="193"/>
      <c r="I399" s="193"/>
    </row>
    <row r="400" spans="1:9" ht="15.6">
      <c r="A400" s="193"/>
      <c r="B400" s="193"/>
      <c r="C400" s="193"/>
      <c r="D400" s="193"/>
      <c r="E400" s="193"/>
      <c r="F400" s="193"/>
      <c r="G400" s="193"/>
      <c r="H400" s="193"/>
      <c r="I400" s="193"/>
    </row>
    <row r="401" spans="1:9" ht="15.6">
      <c r="A401" s="193"/>
      <c r="B401" s="193"/>
      <c r="C401" s="193"/>
      <c r="D401" s="193"/>
      <c r="E401" s="193"/>
      <c r="F401" s="193"/>
      <c r="G401" s="193"/>
      <c r="H401" s="193"/>
      <c r="I401" s="193"/>
    </row>
    <row r="402" spans="1:9" ht="15.6">
      <c r="A402" s="193"/>
      <c r="B402" s="193"/>
      <c r="C402" s="193"/>
      <c r="D402" s="193"/>
      <c r="E402" s="193"/>
      <c r="F402" s="193"/>
      <c r="G402" s="193"/>
      <c r="H402" s="193"/>
      <c r="I402" s="193"/>
    </row>
    <row r="403" spans="1:9" ht="15.6">
      <c r="A403" s="193"/>
      <c r="B403" s="193"/>
      <c r="C403" s="193"/>
      <c r="D403" s="193"/>
      <c r="E403" s="193"/>
      <c r="F403" s="193"/>
      <c r="G403" s="193"/>
      <c r="H403" s="193"/>
      <c r="I403" s="193"/>
    </row>
    <row r="404" spans="1:9" ht="15.6">
      <c r="A404" s="193"/>
      <c r="B404" s="193"/>
      <c r="C404" s="193"/>
      <c r="D404" s="193"/>
      <c r="E404" s="193"/>
      <c r="F404" s="193"/>
      <c r="G404" s="193"/>
      <c r="H404" s="193"/>
      <c r="I404" s="193"/>
    </row>
    <row r="405" spans="1:9" ht="15.6">
      <c r="A405" s="193"/>
      <c r="B405" s="193"/>
      <c r="C405" s="193"/>
      <c r="D405" s="193"/>
      <c r="E405" s="193"/>
      <c r="F405" s="193"/>
      <c r="G405" s="193"/>
      <c r="H405" s="193"/>
      <c r="I405" s="193"/>
    </row>
    <row r="406" spans="1:9" ht="15.6">
      <c r="A406" s="193"/>
      <c r="B406" s="193"/>
      <c r="C406" s="193"/>
      <c r="D406" s="193"/>
      <c r="E406" s="193"/>
      <c r="F406" s="193"/>
      <c r="G406" s="193"/>
      <c r="H406" s="193"/>
      <c r="I406" s="193"/>
    </row>
    <row r="407" spans="1:9" ht="15.6">
      <c r="A407" s="193"/>
      <c r="B407" s="193"/>
      <c r="C407" s="193"/>
      <c r="D407" s="193"/>
      <c r="E407" s="193"/>
      <c r="F407" s="193"/>
      <c r="G407" s="193"/>
      <c r="H407" s="193"/>
      <c r="I407" s="193"/>
    </row>
    <row r="408" spans="1:9" ht="15.6">
      <c r="A408" s="193"/>
      <c r="B408" s="193"/>
      <c r="C408" s="193"/>
      <c r="D408" s="193"/>
      <c r="E408" s="193"/>
      <c r="F408" s="193"/>
      <c r="G408" s="193"/>
      <c r="H408" s="193"/>
      <c r="I408" s="193"/>
    </row>
    <row r="409" spans="1:9" ht="15.6">
      <c r="A409" s="193"/>
      <c r="B409" s="193"/>
      <c r="C409" s="193"/>
      <c r="D409" s="193"/>
      <c r="E409" s="193"/>
      <c r="F409" s="193"/>
      <c r="G409" s="193"/>
      <c r="H409" s="193"/>
      <c r="I409" s="193"/>
    </row>
    <row r="410" spans="1:9" ht="15.6">
      <c r="A410" s="193"/>
      <c r="B410" s="193"/>
      <c r="C410" s="193"/>
      <c r="D410" s="193"/>
      <c r="E410" s="193"/>
      <c r="F410" s="193"/>
      <c r="G410" s="193"/>
      <c r="H410" s="193"/>
      <c r="I410" s="193"/>
    </row>
    <row r="411" spans="1:9" ht="15.6">
      <c r="A411" s="193"/>
      <c r="B411" s="193"/>
      <c r="C411" s="193"/>
      <c r="D411" s="193"/>
      <c r="E411" s="193"/>
      <c r="F411" s="193"/>
      <c r="G411" s="193"/>
      <c r="H411" s="193"/>
      <c r="I411" s="193"/>
    </row>
    <row r="412" spans="1:9" ht="15.6">
      <c r="A412" s="193"/>
      <c r="B412" s="193"/>
      <c r="C412" s="193"/>
      <c r="D412" s="193"/>
      <c r="E412" s="193"/>
      <c r="F412" s="193"/>
      <c r="G412" s="193"/>
      <c r="H412" s="193"/>
      <c r="I412" s="193"/>
    </row>
    <row r="413" spans="1:9" ht="15.6">
      <c r="A413" s="193"/>
      <c r="B413" s="193"/>
      <c r="C413" s="193"/>
      <c r="D413" s="193"/>
      <c r="E413" s="193"/>
      <c r="F413" s="193"/>
      <c r="G413" s="193"/>
      <c r="H413" s="193"/>
      <c r="I413" s="193"/>
    </row>
    <row r="414" spans="1:9" ht="15.6">
      <c r="A414" s="193"/>
      <c r="B414" s="193"/>
      <c r="C414" s="193"/>
      <c r="D414" s="193"/>
      <c r="E414" s="193"/>
      <c r="F414" s="193"/>
      <c r="G414" s="193"/>
      <c r="H414" s="193"/>
      <c r="I414" s="193"/>
    </row>
    <row r="415" spans="1:9" ht="15.6">
      <c r="A415" s="193"/>
      <c r="B415" s="193"/>
      <c r="C415" s="193"/>
      <c r="D415" s="193"/>
      <c r="E415" s="193"/>
      <c r="F415" s="193"/>
      <c r="G415" s="193"/>
      <c r="H415" s="193"/>
      <c r="I415" s="193"/>
    </row>
    <row r="416" spans="1:9" ht="15.6">
      <c r="A416" s="193"/>
      <c r="B416" s="193"/>
      <c r="C416" s="193"/>
      <c r="D416" s="193"/>
      <c r="E416" s="193"/>
      <c r="F416" s="193"/>
      <c r="G416" s="193"/>
      <c r="H416" s="193"/>
      <c r="I416" s="193"/>
    </row>
    <row r="417" spans="1:9" ht="15.6">
      <c r="A417" s="193"/>
      <c r="B417" s="193"/>
      <c r="C417" s="193"/>
      <c r="D417" s="193"/>
      <c r="E417" s="193"/>
      <c r="F417" s="193"/>
      <c r="G417" s="193"/>
      <c r="H417" s="193"/>
      <c r="I417" s="193"/>
    </row>
    <row r="418" spans="1:9" ht="15.6">
      <c r="A418" s="193"/>
      <c r="B418" s="193"/>
      <c r="C418" s="193"/>
      <c r="D418" s="193"/>
      <c r="E418" s="193"/>
      <c r="F418" s="193"/>
      <c r="G418" s="193"/>
      <c r="H418" s="193"/>
      <c r="I418" s="193"/>
    </row>
    <row r="419" spans="1:9" ht="15.6">
      <c r="A419" s="193"/>
      <c r="B419" s="193"/>
      <c r="C419" s="193"/>
      <c r="D419" s="193"/>
      <c r="E419" s="193"/>
      <c r="F419" s="193"/>
      <c r="G419" s="193"/>
      <c r="H419" s="193"/>
      <c r="I419" s="193"/>
    </row>
    <row r="420" spans="1:9" ht="15.6">
      <c r="A420" s="193"/>
      <c r="B420" s="193"/>
      <c r="C420" s="193"/>
      <c r="D420" s="193"/>
      <c r="E420" s="193"/>
      <c r="F420" s="193"/>
      <c r="G420" s="193"/>
      <c r="H420" s="193"/>
      <c r="I420" s="193"/>
    </row>
    <row r="421" spans="1:9" ht="15.6">
      <c r="A421" s="193"/>
      <c r="B421" s="193"/>
      <c r="C421" s="193"/>
      <c r="D421" s="193"/>
      <c r="E421" s="193"/>
      <c r="F421" s="193"/>
      <c r="G421" s="193"/>
      <c r="H421" s="193"/>
      <c r="I421" s="193"/>
    </row>
    <row r="422" spans="1:9" ht="15.6">
      <c r="A422" s="193"/>
      <c r="B422" s="193"/>
      <c r="C422" s="193"/>
      <c r="D422" s="193"/>
      <c r="E422" s="193"/>
      <c r="F422" s="193"/>
      <c r="G422" s="193"/>
      <c r="H422" s="193"/>
      <c r="I422" s="193"/>
    </row>
    <row r="423" spans="1:9" ht="15.6">
      <c r="A423" s="193"/>
      <c r="B423" s="193"/>
      <c r="C423" s="193"/>
      <c r="D423" s="193"/>
      <c r="E423" s="193"/>
      <c r="F423" s="193"/>
      <c r="G423" s="193"/>
      <c r="H423" s="193"/>
      <c r="I423" s="193"/>
    </row>
    <row r="424" spans="1:9" ht="15.6">
      <c r="A424" s="193"/>
      <c r="B424" s="193"/>
      <c r="C424" s="193"/>
      <c r="D424" s="193"/>
      <c r="E424" s="193"/>
      <c r="F424" s="193"/>
      <c r="G424" s="193"/>
      <c r="H424" s="193"/>
      <c r="I424" s="193"/>
    </row>
    <row r="425" spans="1:9" ht="15.6">
      <c r="A425" s="193"/>
      <c r="B425" s="193"/>
      <c r="C425" s="193"/>
      <c r="D425" s="193"/>
      <c r="E425" s="193"/>
      <c r="F425" s="193"/>
      <c r="G425" s="193"/>
      <c r="H425" s="193"/>
      <c r="I425" s="193"/>
    </row>
    <row r="426" spans="1:9" ht="15.6">
      <c r="A426" s="193"/>
      <c r="B426" s="193"/>
      <c r="C426" s="193"/>
      <c r="D426" s="193"/>
      <c r="E426" s="193"/>
      <c r="F426" s="193"/>
      <c r="G426" s="193"/>
      <c r="H426" s="193"/>
      <c r="I426" s="193"/>
    </row>
    <row r="427" spans="1:9" ht="15.6">
      <c r="A427" s="193"/>
      <c r="B427" s="193"/>
      <c r="C427" s="193"/>
      <c r="D427" s="193"/>
      <c r="E427" s="193"/>
      <c r="F427" s="193"/>
      <c r="G427" s="193"/>
      <c r="H427" s="193"/>
      <c r="I427" s="193"/>
    </row>
    <row r="428" spans="1:9" ht="15.6">
      <c r="A428" s="193"/>
      <c r="B428" s="193"/>
      <c r="C428" s="193"/>
      <c r="D428" s="193"/>
      <c r="E428" s="193"/>
      <c r="F428" s="193"/>
      <c r="G428" s="193"/>
      <c r="H428" s="193"/>
      <c r="I428" s="193"/>
    </row>
    <row r="429" spans="1:9" ht="15.6">
      <c r="A429" s="193"/>
      <c r="B429" s="193"/>
      <c r="C429" s="193"/>
      <c r="D429" s="193"/>
      <c r="E429" s="193"/>
      <c r="F429" s="193"/>
      <c r="G429" s="193"/>
      <c r="H429" s="193"/>
      <c r="I429" s="193"/>
    </row>
    <row r="430" spans="1:9" ht="15.6">
      <c r="A430" s="193"/>
      <c r="B430" s="193"/>
      <c r="C430" s="193"/>
      <c r="D430" s="193"/>
      <c r="E430" s="193"/>
      <c r="F430" s="193"/>
      <c r="G430" s="193"/>
      <c r="H430" s="193"/>
      <c r="I430" s="193"/>
    </row>
    <row r="431" spans="1:9" ht="15.6">
      <c r="A431" s="193"/>
      <c r="B431" s="193"/>
      <c r="C431" s="193"/>
      <c r="D431" s="193"/>
      <c r="E431" s="193"/>
      <c r="F431" s="193"/>
      <c r="G431" s="193"/>
      <c r="H431" s="193"/>
      <c r="I431" s="193"/>
    </row>
    <row r="432" spans="1:9" ht="15.6">
      <c r="A432" s="193"/>
      <c r="B432" s="193"/>
      <c r="C432" s="193"/>
      <c r="D432" s="193"/>
      <c r="E432" s="193"/>
      <c r="F432" s="193"/>
      <c r="G432" s="193"/>
      <c r="H432" s="193"/>
      <c r="I432" s="193"/>
    </row>
    <row r="433" spans="1:9" ht="15.6">
      <c r="A433" s="193"/>
      <c r="B433" s="193"/>
      <c r="C433" s="193"/>
      <c r="D433" s="193"/>
      <c r="E433" s="193"/>
      <c r="F433" s="193"/>
      <c r="G433" s="193"/>
      <c r="H433" s="193"/>
      <c r="I433" s="193"/>
    </row>
    <row r="434" spans="1:9" ht="15.6">
      <c r="A434" s="193"/>
      <c r="B434" s="193"/>
      <c r="C434" s="193"/>
      <c r="D434" s="193"/>
      <c r="E434" s="193"/>
      <c r="F434" s="193"/>
      <c r="G434" s="193"/>
      <c r="H434" s="193"/>
      <c r="I434" s="193"/>
    </row>
    <row r="435" spans="1:9" ht="15.6">
      <c r="A435" s="193"/>
      <c r="B435" s="193"/>
      <c r="C435" s="193"/>
      <c r="D435" s="193"/>
      <c r="E435" s="193"/>
      <c r="F435" s="193"/>
      <c r="G435" s="193"/>
      <c r="H435" s="193"/>
      <c r="I435" s="193"/>
    </row>
    <row r="436" spans="1:9" ht="15.6">
      <c r="A436" s="193"/>
      <c r="B436" s="193"/>
      <c r="C436" s="193"/>
      <c r="D436" s="193"/>
      <c r="E436" s="193"/>
      <c r="F436" s="193"/>
      <c r="G436" s="193"/>
      <c r="H436" s="193"/>
      <c r="I436" s="193"/>
    </row>
    <row r="437" spans="1:9" ht="15.6">
      <c r="A437" s="193"/>
      <c r="B437" s="193"/>
      <c r="C437" s="193"/>
      <c r="D437" s="193"/>
      <c r="E437" s="193"/>
      <c r="F437" s="193"/>
      <c r="G437" s="193"/>
      <c r="H437" s="193"/>
      <c r="I437" s="193"/>
    </row>
    <row r="438" spans="1:9" ht="15.6">
      <c r="A438" s="193"/>
      <c r="B438" s="193"/>
      <c r="C438" s="193"/>
      <c r="D438" s="193"/>
      <c r="E438" s="193"/>
      <c r="F438" s="193"/>
      <c r="G438" s="193"/>
      <c r="H438" s="193"/>
      <c r="I438" s="193"/>
    </row>
    <row r="439" spans="1:9" ht="15.6">
      <c r="A439" s="193"/>
      <c r="B439" s="193"/>
      <c r="C439" s="193"/>
      <c r="D439" s="193"/>
      <c r="E439" s="193"/>
      <c r="F439" s="193"/>
      <c r="G439" s="193"/>
      <c r="H439" s="193"/>
      <c r="I439" s="193"/>
    </row>
    <row r="440" spans="1:9" ht="15.6">
      <c r="A440" s="193"/>
      <c r="B440" s="193"/>
      <c r="C440" s="193"/>
      <c r="D440" s="193"/>
      <c r="E440" s="193"/>
      <c r="F440" s="193"/>
      <c r="G440" s="193"/>
      <c r="H440" s="193"/>
      <c r="I440" s="193"/>
    </row>
    <row r="441" spans="1:9" ht="15.6">
      <c r="A441" s="193"/>
      <c r="B441" s="193"/>
      <c r="C441" s="193"/>
      <c r="D441" s="193"/>
      <c r="E441" s="193"/>
      <c r="F441" s="193"/>
      <c r="G441" s="193"/>
      <c r="H441" s="193"/>
      <c r="I441" s="193"/>
    </row>
    <row r="442" spans="1:9" ht="15.6">
      <c r="A442" s="193"/>
      <c r="B442" s="193"/>
      <c r="C442" s="193"/>
      <c r="D442" s="193"/>
      <c r="E442" s="193"/>
      <c r="F442" s="193"/>
      <c r="G442" s="193"/>
      <c r="H442" s="193"/>
      <c r="I442" s="193"/>
    </row>
    <row r="443" spans="1:9" ht="15.6">
      <c r="A443" s="193"/>
      <c r="B443" s="193"/>
      <c r="C443" s="193"/>
      <c r="D443" s="193"/>
      <c r="E443" s="193"/>
      <c r="F443" s="193"/>
      <c r="G443" s="193"/>
      <c r="H443" s="193"/>
      <c r="I443" s="193"/>
    </row>
    <row r="444" spans="1:9" ht="15.6">
      <c r="A444" s="193"/>
      <c r="B444" s="193"/>
      <c r="C444" s="193"/>
      <c r="D444" s="193"/>
      <c r="E444" s="193"/>
      <c r="F444" s="193"/>
      <c r="G444" s="193"/>
      <c r="H444" s="193"/>
      <c r="I444" s="193"/>
    </row>
    <row r="445" spans="1:9" ht="15.6">
      <c r="A445" s="193"/>
      <c r="B445" s="193"/>
      <c r="C445" s="193"/>
      <c r="D445" s="193"/>
      <c r="E445" s="193"/>
      <c r="F445" s="193"/>
      <c r="G445" s="193"/>
      <c r="H445" s="193"/>
      <c r="I445" s="193"/>
    </row>
    <row r="446" spans="1:9" ht="15.6">
      <c r="A446" s="193"/>
      <c r="B446" s="193"/>
      <c r="C446" s="193"/>
      <c r="D446" s="193"/>
      <c r="E446" s="193"/>
      <c r="F446" s="193"/>
      <c r="G446" s="193"/>
      <c r="H446" s="193"/>
      <c r="I446" s="193"/>
    </row>
    <row r="447" spans="1:9" ht="15.6">
      <c r="A447" s="193"/>
      <c r="B447" s="193"/>
      <c r="C447" s="193"/>
      <c r="D447" s="193"/>
      <c r="E447" s="193"/>
      <c r="F447" s="193"/>
      <c r="G447" s="193"/>
      <c r="H447" s="193"/>
      <c r="I447" s="193"/>
    </row>
    <row r="448" spans="1:9" ht="15.6">
      <c r="A448" s="193"/>
      <c r="B448" s="193"/>
      <c r="C448" s="193"/>
      <c r="D448" s="193"/>
      <c r="E448" s="193"/>
      <c r="F448" s="193"/>
      <c r="G448" s="193"/>
      <c r="H448" s="193"/>
      <c r="I448" s="193"/>
    </row>
    <row r="449" spans="1:9" ht="15.6">
      <c r="A449" s="193"/>
      <c r="B449" s="193"/>
      <c r="C449" s="193"/>
      <c r="D449" s="193"/>
      <c r="E449" s="193"/>
      <c r="F449" s="193"/>
      <c r="G449" s="193"/>
      <c r="H449" s="193"/>
      <c r="I449" s="193"/>
    </row>
    <row r="450" spans="1:9" ht="15.6">
      <c r="A450" s="193"/>
      <c r="B450" s="193"/>
      <c r="C450" s="193"/>
      <c r="D450" s="193"/>
      <c r="E450" s="193"/>
      <c r="F450" s="193"/>
      <c r="G450" s="193"/>
      <c r="H450" s="193"/>
      <c r="I450" s="193"/>
    </row>
    <row r="451" spans="1:9" ht="15.6">
      <c r="A451" s="193"/>
      <c r="B451" s="193"/>
      <c r="C451" s="193"/>
      <c r="D451" s="193"/>
      <c r="E451" s="193"/>
      <c r="F451" s="193"/>
      <c r="G451" s="193"/>
      <c r="H451" s="193"/>
      <c r="I451" s="193"/>
    </row>
    <row r="452" spans="1:9" ht="15.6">
      <c r="A452" s="193"/>
      <c r="B452" s="193"/>
      <c r="C452" s="193"/>
      <c r="D452" s="193"/>
      <c r="E452" s="193"/>
      <c r="F452" s="193"/>
      <c r="G452" s="193"/>
      <c r="H452" s="193"/>
      <c r="I452" s="193"/>
    </row>
    <row r="453" spans="1:9" ht="15.6">
      <c r="A453" s="193"/>
      <c r="B453" s="193"/>
      <c r="C453" s="193"/>
      <c r="D453" s="193"/>
      <c r="E453" s="193"/>
      <c r="F453" s="193"/>
      <c r="G453" s="193"/>
      <c r="H453" s="193"/>
      <c r="I453" s="193"/>
    </row>
    <row r="454" spans="1:9" ht="15.6">
      <c r="A454" s="193"/>
      <c r="B454" s="193"/>
      <c r="C454" s="193"/>
      <c r="D454" s="193"/>
      <c r="E454" s="193"/>
      <c r="F454" s="193"/>
      <c r="G454" s="193"/>
      <c r="H454" s="193"/>
      <c r="I454" s="193"/>
    </row>
    <row r="455" spans="1:9" ht="15.6">
      <c r="A455" s="193"/>
      <c r="B455" s="193"/>
      <c r="C455" s="193"/>
      <c r="D455" s="193"/>
      <c r="E455" s="193"/>
      <c r="F455" s="193"/>
      <c r="G455" s="193"/>
      <c r="H455" s="193"/>
      <c r="I455" s="193"/>
    </row>
    <row r="456" spans="1:9" ht="15.6">
      <c r="A456" s="193"/>
      <c r="B456" s="193"/>
      <c r="C456" s="193"/>
      <c r="D456" s="193"/>
      <c r="E456" s="193"/>
      <c r="F456" s="193"/>
      <c r="G456" s="193"/>
      <c r="H456" s="193"/>
      <c r="I456" s="193"/>
    </row>
    <row r="457" spans="1:9" ht="15.6">
      <c r="A457" s="193"/>
      <c r="B457" s="193"/>
      <c r="C457" s="193"/>
      <c r="D457" s="193"/>
      <c r="E457" s="193"/>
      <c r="F457" s="193"/>
      <c r="G457" s="193"/>
      <c r="H457" s="193"/>
      <c r="I457" s="193"/>
    </row>
    <row r="458" spans="1:9" ht="15.6">
      <c r="A458" s="193"/>
      <c r="B458" s="193"/>
      <c r="C458" s="193"/>
      <c r="D458" s="193"/>
      <c r="E458" s="193"/>
      <c r="F458" s="193"/>
      <c r="G458" s="193"/>
      <c r="H458" s="193"/>
      <c r="I458" s="193"/>
    </row>
    <row r="459" spans="1:9" ht="15.6">
      <c r="A459" s="193"/>
      <c r="B459" s="193"/>
      <c r="C459" s="193"/>
      <c r="D459" s="193"/>
      <c r="E459" s="193"/>
      <c r="F459" s="193"/>
      <c r="G459" s="193"/>
      <c r="H459" s="193"/>
      <c r="I459" s="193"/>
    </row>
    <row r="460" spans="1:9" ht="15.6">
      <c r="A460" s="193"/>
      <c r="B460" s="193"/>
      <c r="C460" s="193"/>
      <c r="D460" s="193"/>
      <c r="E460" s="193"/>
      <c r="F460" s="193"/>
      <c r="G460" s="193"/>
      <c r="H460" s="193"/>
      <c r="I460" s="193"/>
    </row>
    <row r="461" spans="1:9" ht="15.6">
      <c r="A461" s="193"/>
      <c r="B461" s="193"/>
      <c r="C461" s="193"/>
      <c r="D461" s="193"/>
      <c r="E461" s="193"/>
      <c r="F461" s="193"/>
      <c r="G461" s="193"/>
      <c r="H461" s="193"/>
      <c r="I461" s="193"/>
    </row>
    <row r="462" spans="1:9" ht="15.6">
      <c r="A462" s="193"/>
      <c r="B462" s="193"/>
      <c r="C462" s="193"/>
      <c r="D462" s="193"/>
      <c r="E462" s="193"/>
      <c r="F462" s="193"/>
      <c r="G462" s="193"/>
      <c r="H462" s="193"/>
      <c r="I462" s="193"/>
    </row>
    <row r="463" spans="1:9" ht="15.6">
      <c r="A463" s="193"/>
      <c r="B463" s="193"/>
      <c r="C463" s="193"/>
      <c r="D463" s="193"/>
      <c r="E463" s="193"/>
      <c r="F463" s="193"/>
      <c r="G463" s="193"/>
      <c r="H463" s="193"/>
      <c r="I463" s="193"/>
    </row>
    <row r="464" spans="1:9" ht="15.6">
      <c r="A464" s="193"/>
      <c r="B464" s="193"/>
      <c r="C464" s="193"/>
      <c r="D464" s="193"/>
      <c r="E464" s="193"/>
      <c r="F464" s="193"/>
      <c r="G464" s="193"/>
      <c r="H464" s="193"/>
      <c r="I464" s="193"/>
    </row>
    <row r="465" spans="1:9" ht="15.6">
      <c r="A465" s="193"/>
      <c r="B465" s="193"/>
      <c r="C465" s="193"/>
      <c r="D465" s="193"/>
      <c r="E465" s="193"/>
      <c r="F465" s="193"/>
      <c r="G465" s="193"/>
      <c r="H465" s="193"/>
      <c r="I465" s="193"/>
    </row>
    <row r="466" spans="1:9" ht="15.6">
      <c r="A466" s="193"/>
      <c r="B466" s="193"/>
      <c r="C466" s="193"/>
      <c r="D466" s="193"/>
      <c r="E466" s="193"/>
      <c r="F466" s="193"/>
      <c r="G466" s="193"/>
      <c r="H466" s="193"/>
      <c r="I466" s="193"/>
    </row>
    <row r="467" spans="1:9" ht="15.6">
      <c r="A467" s="193"/>
      <c r="B467" s="193"/>
      <c r="C467" s="193"/>
      <c r="D467" s="193"/>
      <c r="E467" s="193"/>
      <c r="F467" s="193"/>
      <c r="G467" s="193"/>
      <c r="H467" s="193"/>
      <c r="I467" s="193"/>
    </row>
    <row r="468" spans="1:9" ht="15.6">
      <c r="A468" s="193"/>
      <c r="B468" s="193"/>
      <c r="C468" s="193"/>
      <c r="D468" s="193"/>
      <c r="E468" s="193"/>
      <c r="F468" s="193"/>
      <c r="G468" s="193"/>
      <c r="H468" s="193"/>
      <c r="I468" s="193"/>
    </row>
    <row r="469" spans="1:9" ht="15.6">
      <c r="A469" s="193"/>
      <c r="B469" s="193"/>
      <c r="C469" s="193"/>
      <c r="D469" s="193"/>
      <c r="E469" s="193"/>
      <c r="F469" s="193"/>
      <c r="G469" s="193"/>
      <c r="H469" s="193"/>
      <c r="I469" s="193"/>
    </row>
    <row r="470" spans="1:9" ht="15.6">
      <c r="A470" s="193"/>
      <c r="B470" s="193"/>
      <c r="C470" s="193"/>
      <c r="D470" s="193"/>
      <c r="E470" s="193"/>
      <c r="F470" s="193"/>
      <c r="G470" s="193"/>
      <c r="H470" s="193"/>
      <c r="I470" s="193"/>
    </row>
    <row r="471" spans="1:9" ht="15.6">
      <c r="A471" s="193"/>
      <c r="B471" s="193"/>
      <c r="C471" s="193"/>
      <c r="D471" s="193"/>
      <c r="E471" s="193"/>
      <c r="F471" s="193"/>
      <c r="G471" s="193"/>
      <c r="H471" s="193"/>
      <c r="I471" s="193"/>
    </row>
    <row r="472" spans="1:9" ht="15.6">
      <c r="A472" s="193"/>
      <c r="B472" s="193"/>
      <c r="C472" s="193"/>
      <c r="D472" s="193"/>
      <c r="E472" s="193"/>
      <c r="F472" s="193"/>
      <c r="G472" s="193"/>
      <c r="H472" s="193"/>
      <c r="I472" s="193"/>
    </row>
    <row r="473" spans="1:9" ht="15.6">
      <c r="A473" s="193"/>
      <c r="B473" s="193"/>
      <c r="C473" s="193"/>
      <c r="D473" s="193"/>
      <c r="E473" s="193"/>
      <c r="F473" s="193"/>
      <c r="G473" s="193"/>
      <c r="H473" s="193"/>
      <c r="I473" s="193"/>
    </row>
    <row r="474" spans="1:9" ht="15.6">
      <c r="A474" s="193"/>
      <c r="B474" s="193"/>
      <c r="C474" s="193"/>
      <c r="D474" s="193"/>
      <c r="E474" s="193"/>
      <c r="F474" s="193"/>
      <c r="G474" s="193"/>
      <c r="H474" s="193"/>
      <c r="I474" s="193"/>
    </row>
    <row r="475" spans="1:9" ht="15.6">
      <c r="A475" s="193"/>
      <c r="B475" s="193"/>
      <c r="C475" s="193"/>
      <c r="D475" s="193"/>
      <c r="E475" s="193"/>
      <c r="F475" s="193"/>
      <c r="G475" s="193"/>
      <c r="H475" s="193"/>
      <c r="I475" s="193"/>
    </row>
    <row r="476" spans="1:9" ht="15.6">
      <c r="A476" s="193"/>
      <c r="B476" s="193"/>
      <c r="C476" s="193"/>
      <c r="D476" s="193"/>
      <c r="E476" s="193"/>
      <c r="F476" s="193"/>
      <c r="G476" s="193"/>
      <c r="H476" s="193"/>
      <c r="I476" s="193"/>
    </row>
    <row r="477" spans="1:9" ht="15.6">
      <c r="A477" s="193"/>
      <c r="B477" s="193"/>
      <c r="C477" s="193"/>
      <c r="D477" s="193"/>
      <c r="E477" s="193"/>
      <c r="F477" s="193"/>
      <c r="G477" s="193"/>
      <c r="H477" s="193"/>
      <c r="I477" s="193"/>
    </row>
    <row r="478" spans="1:9" ht="15.6">
      <c r="A478" s="193"/>
      <c r="B478" s="193"/>
      <c r="C478" s="193"/>
      <c r="D478" s="193"/>
      <c r="E478" s="193"/>
      <c r="F478" s="193"/>
      <c r="G478" s="193"/>
      <c r="H478" s="193"/>
      <c r="I478" s="193"/>
    </row>
    <row r="479" spans="1:9" ht="15.6">
      <c r="A479" s="193"/>
      <c r="B479" s="193"/>
      <c r="C479" s="193"/>
      <c r="D479" s="193"/>
      <c r="E479" s="193"/>
      <c r="F479" s="193"/>
      <c r="G479" s="193"/>
      <c r="H479" s="193"/>
      <c r="I479" s="193"/>
    </row>
    <row r="480" spans="1:9" ht="15.6">
      <c r="A480" s="193"/>
      <c r="B480" s="193"/>
      <c r="C480" s="193"/>
      <c r="D480" s="193"/>
      <c r="E480" s="193"/>
      <c r="F480" s="193"/>
      <c r="G480" s="193"/>
      <c r="H480" s="193"/>
      <c r="I480" s="193"/>
    </row>
    <row r="481" spans="1:9" ht="15.6">
      <c r="A481" s="193"/>
      <c r="B481" s="193"/>
      <c r="C481" s="193"/>
      <c r="D481" s="193"/>
      <c r="E481" s="193"/>
      <c r="F481" s="193"/>
      <c r="G481" s="193"/>
      <c r="H481" s="193"/>
      <c r="I481" s="193"/>
    </row>
    <row r="482" spans="1:9" ht="15.6">
      <c r="A482" s="193"/>
      <c r="B482" s="193"/>
      <c r="C482" s="193"/>
      <c r="D482" s="193"/>
      <c r="E482" s="193"/>
      <c r="F482" s="193"/>
      <c r="G482" s="193"/>
      <c r="H482" s="193"/>
      <c r="I482" s="193"/>
    </row>
    <row r="483" spans="1:9" ht="15.6">
      <c r="A483" s="193"/>
      <c r="B483" s="193"/>
      <c r="C483" s="193"/>
      <c r="D483" s="193"/>
      <c r="E483" s="193"/>
      <c r="F483" s="193"/>
      <c r="G483" s="193"/>
      <c r="H483" s="193"/>
      <c r="I483" s="193"/>
    </row>
    <row r="484" spans="1:9" ht="15.6">
      <c r="A484" s="193"/>
      <c r="B484" s="193"/>
      <c r="C484" s="193"/>
      <c r="D484" s="193"/>
      <c r="E484" s="193"/>
      <c r="F484" s="193"/>
      <c r="G484" s="193"/>
      <c r="H484" s="193"/>
      <c r="I484" s="193"/>
    </row>
    <row r="485" spans="1:9" ht="15.6">
      <c r="A485" s="193"/>
      <c r="B485" s="193"/>
      <c r="C485" s="193"/>
      <c r="D485" s="193"/>
      <c r="E485" s="193"/>
      <c r="F485" s="193"/>
      <c r="G485" s="193"/>
      <c r="H485" s="193"/>
      <c r="I485" s="193"/>
    </row>
    <row r="486" spans="1:9" ht="15.6">
      <c r="A486" s="193"/>
      <c r="B486" s="193"/>
      <c r="C486" s="193"/>
      <c r="D486" s="193"/>
      <c r="E486" s="193"/>
      <c r="F486" s="193"/>
      <c r="G486" s="193"/>
      <c r="H486" s="193"/>
      <c r="I486" s="193"/>
    </row>
    <row r="487" spans="1:9" ht="15.6">
      <c r="A487" s="193"/>
      <c r="B487" s="193"/>
      <c r="C487" s="193"/>
      <c r="D487" s="193"/>
      <c r="E487" s="193"/>
      <c r="F487" s="193"/>
      <c r="G487" s="193"/>
      <c r="H487" s="193"/>
      <c r="I487" s="193"/>
    </row>
    <row r="488" spans="1:9" ht="15.6">
      <c r="A488" s="193"/>
      <c r="B488" s="193"/>
      <c r="C488" s="193"/>
      <c r="D488" s="193"/>
      <c r="E488" s="193"/>
      <c r="F488" s="193"/>
      <c r="G488" s="193"/>
      <c r="H488" s="193"/>
      <c r="I488" s="193"/>
    </row>
    <row r="489" spans="1:9" ht="15.6">
      <c r="A489" s="193"/>
      <c r="B489" s="193"/>
      <c r="C489" s="193"/>
      <c r="D489" s="193"/>
      <c r="E489" s="193"/>
      <c r="F489" s="193"/>
      <c r="G489" s="193"/>
      <c r="H489" s="193"/>
      <c r="I489" s="193"/>
    </row>
    <row r="490" spans="1:9" ht="15.6">
      <c r="A490" s="193"/>
      <c r="B490" s="193"/>
      <c r="C490" s="193"/>
      <c r="D490" s="193"/>
      <c r="E490" s="193"/>
      <c r="F490" s="193"/>
      <c r="G490" s="193"/>
      <c r="H490" s="193"/>
      <c r="I490" s="193"/>
    </row>
    <row r="491" spans="1:9" ht="15.6">
      <c r="A491" s="193"/>
      <c r="B491" s="193"/>
      <c r="C491" s="193"/>
      <c r="D491" s="193"/>
      <c r="E491" s="193"/>
      <c r="F491" s="193"/>
      <c r="G491" s="193"/>
      <c r="H491" s="193"/>
      <c r="I491" s="193"/>
    </row>
    <row r="492" spans="1:9" ht="15.6">
      <c r="A492" s="193"/>
      <c r="B492" s="193"/>
      <c r="C492" s="193"/>
      <c r="D492" s="193"/>
      <c r="E492" s="193"/>
      <c r="F492" s="193"/>
      <c r="G492" s="193"/>
      <c r="H492" s="193"/>
      <c r="I492" s="193"/>
    </row>
    <row r="493" spans="1:9" ht="15.6">
      <c r="A493" s="193"/>
      <c r="B493" s="193"/>
      <c r="C493" s="193"/>
      <c r="D493" s="193"/>
      <c r="E493" s="193"/>
      <c r="F493" s="193"/>
      <c r="G493" s="193"/>
      <c r="H493" s="193"/>
      <c r="I493" s="193"/>
    </row>
    <row r="494" spans="1:9" ht="15.6">
      <c r="A494" s="193"/>
      <c r="B494" s="193"/>
      <c r="C494" s="193"/>
      <c r="D494" s="193"/>
      <c r="E494" s="193"/>
      <c r="F494" s="193"/>
      <c r="G494" s="193"/>
      <c r="H494" s="193"/>
      <c r="I494" s="193"/>
    </row>
    <row r="495" spans="1:9" ht="15.6">
      <c r="A495" s="193"/>
      <c r="B495" s="193"/>
      <c r="C495" s="193"/>
      <c r="D495" s="193"/>
      <c r="E495" s="193"/>
      <c r="F495" s="193"/>
      <c r="G495" s="193"/>
      <c r="H495" s="193"/>
      <c r="I495" s="193"/>
    </row>
    <row r="496" spans="1:9" ht="15.6">
      <c r="A496" s="193"/>
      <c r="B496" s="193"/>
      <c r="C496" s="193"/>
      <c r="D496" s="193"/>
      <c r="E496" s="193"/>
      <c r="F496" s="193"/>
      <c r="G496" s="193"/>
      <c r="H496" s="193"/>
      <c r="I496" s="193"/>
    </row>
    <row r="497" spans="1:9" ht="15.6">
      <c r="A497" s="193"/>
      <c r="B497" s="193"/>
      <c r="C497" s="193"/>
      <c r="D497" s="193"/>
      <c r="E497" s="193"/>
      <c r="F497" s="193"/>
      <c r="G497" s="193"/>
      <c r="H497" s="193"/>
      <c r="I497" s="193"/>
    </row>
    <row r="498" spans="1:9" ht="15.6">
      <c r="A498" s="193"/>
      <c r="B498" s="193"/>
      <c r="C498" s="193"/>
      <c r="D498" s="193"/>
      <c r="E498" s="193"/>
      <c r="F498" s="193"/>
      <c r="G498" s="193"/>
      <c r="H498" s="193"/>
      <c r="I498" s="193"/>
    </row>
    <row r="499" spans="1:9" ht="15.6">
      <c r="A499" s="193"/>
      <c r="B499" s="193"/>
      <c r="C499" s="193"/>
      <c r="D499" s="193"/>
      <c r="E499" s="193"/>
      <c r="F499" s="193"/>
      <c r="G499" s="193"/>
      <c r="H499" s="193"/>
      <c r="I499" s="193"/>
    </row>
    <row r="500" spans="1:9" ht="15.6">
      <c r="A500" s="193"/>
      <c r="B500" s="193"/>
      <c r="C500" s="193"/>
      <c r="D500" s="193"/>
      <c r="E500" s="193"/>
      <c r="F500" s="193"/>
      <c r="G500" s="193"/>
      <c r="H500" s="193"/>
      <c r="I500" s="193"/>
    </row>
    <row r="501" spans="1:9" ht="15.6">
      <c r="A501" s="193"/>
      <c r="B501" s="193"/>
      <c r="C501" s="193"/>
      <c r="D501" s="193"/>
      <c r="E501" s="193"/>
      <c r="F501" s="193"/>
      <c r="G501" s="193"/>
      <c r="H501" s="193"/>
      <c r="I501" s="193"/>
    </row>
    <row r="502" spans="1:9" ht="15.6">
      <c r="A502" s="193"/>
      <c r="B502" s="193"/>
      <c r="C502" s="193"/>
      <c r="D502" s="193"/>
      <c r="E502" s="193"/>
      <c r="F502" s="193"/>
      <c r="G502" s="193"/>
      <c r="H502" s="193"/>
      <c r="I502" s="193"/>
    </row>
    <row r="503" spans="1:9" ht="15.6">
      <c r="A503" s="193"/>
      <c r="B503" s="193"/>
      <c r="C503" s="193"/>
      <c r="D503" s="193"/>
      <c r="E503" s="193"/>
      <c r="F503" s="193"/>
      <c r="G503" s="193"/>
      <c r="H503" s="193"/>
      <c r="I503" s="193"/>
    </row>
    <row r="504" spans="1:9" ht="15.6">
      <c r="A504" s="193"/>
      <c r="B504" s="193"/>
      <c r="C504" s="193"/>
      <c r="D504" s="193"/>
      <c r="E504" s="193"/>
      <c r="F504" s="193"/>
      <c r="G504" s="193"/>
      <c r="H504" s="193"/>
      <c r="I504" s="193"/>
    </row>
    <row r="505" spans="1:9" ht="15.6">
      <c r="A505" s="193"/>
      <c r="B505" s="193"/>
      <c r="C505" s="193"/>
      <c r="D505" s="193"/>
      <c r="E505" s="193"/>
      <c r="F505" s="193"/>
      <c r="G505" s="193"/>
      <c r="H505" s="193"/>
      <c r="I505" s="193"/>
    </row>
    <row r="506" spans="1:9" ht="15.6">
      <c r="A506" s="193"/>
      <c r="B506" s="193"/>
      <c r="C506" s="193"/>
      <c r="D506" s="193"/>
      <c r="E506" s="193"/>
      <c r="F506" s="193"/>
      <c r="G506" s="193"/>
      <c r="H506" s="193"/>
      <c r="I506" s="193"/>
    </row>
    <row r="507" spans="1:9" ht="15.6">
      <c r="A507" s="193"/>
      <c r="B507" s="193"/>
      <c r="C507" s="193"/>
      <c r="D507" s="193"/>
      <c r="E507" s="193"/>
      <c r="F507" s="193"/>
      <c r="G507" s="193"/>
      <c r="H507" s="193"/>
      <c r="I507" s="193"/>
    </row>
    <row r="508" spans="1:9" ht="15.6">
      <c r="A508" s="193"/>
      <c r="B508" s="193"/>
      <c r="C508" s="193"/>
      <c r="D508" s="193"/>
      <c r="E508" s="193"/>
      <c r="F508" s="193"/>
      <c r="G508" s="193"/>
      <c r="H508" s="193"/>
      <c r="I508" s="193"/>
    </row>
    <row r="509" spans="1:9" ht="15.6">
      <c r="A509" s="193"/>
      <c r="B509" s="193"/>
      <c r="C509" s="193"/>
      <c r="D509" s="193"/>
      <c r="E509" s="193"/>
      <c r="F509" s="193"/>
      <c r="G509" s="193"/>
      <c r="H509" s="193"/>
      <c r="I509" s="193"/>
    </row>
    <row r="510" spans="1:9" ht="15.6">
      <c r="A510" s="193"/>
      <c r="B510" s="193"/>
      <c r="C510" s="193"/>
      <c r="D510" s="193"/>
      <c r="E510" s="193"/>
      <c r="F510" s="193"/>
      <c r="G510" s="193"/>
      <c r="H510" s="193"/>
      <c r="I510" s="193"/>
    </row>
    <row r="511" spans="1:9" ht="15.6">
      <c r="A511" s="193"/>
      <c r="B511" s="193"/>
      <c r="C511" s="193"/>
      <c r="D511" s="193"/>
      <c r="E511" s="193"/>
      <c r="F511" s="193"/>
      <c r="G511" s="193"/>
      <c r="H511" s="193"/>
      <c r="I511" s="193"/>
    </row>
    <row r="512" spans="1:9" ht="15.6">
      <c r="A512" s="193"/>
      <c r="B512" s="193"/>
      <c r="C512" s="193"/>
      <c r="D512" s="193"/>
      <c r="E512" s="193"/>
      <c r="F512" s="193"/>
      <c r="G512" s="193"/>
      <c r="H512" s="193"/>
      <c r="I512" s="193"/>
    </row>
    <row r="513" spans="1:9" ht="15.6">
      <c r="A513" s="193"/>
      <c r="B513" s="193"/>
      <c r="C513" s="193"/>
      <c r="D513" s="193"/>
      <c r="E513" s="193"/>
      <c r="F513" s="193"/>
      <c r="G513" s="193"/>
      <c r="H513" s="193"/>
      <c r="I513" s="193"/>
    </row>
    <row r="514" spans="1:9" ht="15.6">
      <c r="A514" s="193"/>
      <c r="B514" s="193"/>
      <c r="C514" s="193"/>
      <c r="D514" s="193"/>
      <c r="E514" s="193"/>
      <c r="F514" s="193"/>
      <c r="G514" s="193"/>
      <c r="H514" s="193"/>
      <c r="I514" s="193"/>
    </row>
    <row r="515" spans="1:9" ht="15.6">
      <c r="A515" s="193"/>
      <c r="B515" s="193"/>
      <c r="C515" s="193"/>
      <c r="D515" s="193"/>
      <c r="E515" s="193"/>
      <c r="F515" s="193"/>
      <c r="G515" s="193"/>
      <c r="H515" s="193"/>
      <c r="I515" s="193"/>
    </row>
    <row r="516" spans="1:9" ht="15.6">
      <c r="A516" s="193"/>
      <c r="B516" s="193"/>
      <c r="C516" s="193"/>
      <c r="D516" s="193"/>
      <c r="E516" s="193"/>
      <c r="F516" s="193"/>
      <c r="G516" s="193"/>
      <c r="H516" s="193"/>
      <c r="I516" s="193"/>
    </row>
    <row r="517" spans="1:9" ht="15.6">
      <c r="A517" s="193"/>
      <c r="B517" s="193"/>
      <c r="C517" s="193"/>
      <c r="D517" s="193"/>
      <c r="E517" s="193"/>
      <c r="F517" s="193"/>
      <c r="G517" s="193"/>
      <c r="H517" s="193"/>
      <c r="I517" s="193"/>
    </row>
    <row r="518" spans="1:9" ht="15.6">
      <c r="A518" s="193"/>
      <c r="B518" s="193"/>
      <c r="C518" s="193"/>
      <c r="D518" s="193"/>
      <c r="E518" s="193"/>
      <c r="F518" s="193"/>
      <c r="G518" s="193"/>
      <c r="H518" s="193"/>
      <c r="I518" s="193"/>
    </row>
    <row r="519" spans="1:9" ht="15.6">
      <c r="A519" s="193"/>
      <c r="B519" s="193"/>
      <c r="C519" s="193"/>
      <c r="D519" s="193"/>
      <c r="E519" s="193"/>
      <c r="F519" s="193"/>
      <c r="G519" s="193"/>
      <c r="H519" s="193"/>
      <c r="I519" s="193"/>
    </row>
    <row r="520" spans="1:9" ht="15.6">
      <c r="A520" s="193"/>
      <c r="B520" s="193"/>
      <c r="C520" s="193"/>
      <c r="D520" s="193"/>
      <c r="E520" s="193"/>
      <c r="F520" s="193"/>
      <c r="G520" s="193"/>
      <c r="H520" s="193"/>
      <c r="I520" s="193"/>
    </row>
    <row r="521" spans="1:9" ht="15.6">
      <c r="A521" s="193"/>
      <c r="B521" s="193"/>
      <c r="C521" s="193"/>
      <c r="D521" s="193"/>
      <c r="E521" s="193"/>
      <c r="F521" s="193"/>
      <c r="G521" s="193"/>
      <c r="H521" s="193"/>
      <c r="I521" s="193"/>
    </row>
    <row r="522" spans="1:9" ht="15.6">
      <c r="A522" s="193"/>
      <c r="B522" s="193"/>
      <c r="C522" s="193"/>
      <c r="D522" s="193"/>
      <c r="E522" s="193"/>
      <c r="F522" s="193"/>
      <c r="G522" s="193"/>
      <c r="H522" s="193"/>
      <c r="I522" s="193"/>
    </row>
    <row r="523" spans="1:9" ht="15.6">
      <c r="A523" s="193"/>
      <c r="B523" s="193"/>
      <c r="C523" s="193"/>
      <c r="D523" s="193"/>
      <c r="E523" s="193"/>
      <c r="F523" s="193"/>
      <c r="G523" s="193"/>
      <c r="H523" s="193"/>
      <c r="I523" s="193"/>
    </row>
    <row r="524" spans="1:9" ht="15.6">
      <c r="A524" s="193"/>
      <c r="B524" s="193"/>
      <c r="C524" s="193"/>
      <c r="D524" s="193"/>
      <c r="E524" s="193"/>
      <c r="F524" s="193"/>
      <c r="G524" s="193"/>
      <c r="H524" s="193"/>
      <c r="I524" s="193"/>
    </row>
    <row r="525" spans="1:9" ht="15.6">
      <c r="A525" s="193"/>
      <c r="B525" s="193"/>
      <c r="C525" s="193"/>
      <c r="D525" s="193"/>
      <c r="E525" s="193"/>
      <c r="F525" s="193"/>
      <c r="G525" s="193"/>
      <c r="H525" s="193"/>
      <c r="I525" s="193"/>
    </row>
    <row r="526" spans="1:9" ht="15.6">
      <c r="A526" s="193"/>
      <c r="B526" s="193"/>
      <c r="C526" s="193"/>
      <c r="D526" s="193"/>
      <c r="E526" s="193"/>
      <c r="F526" s="193"/>
      <c r="G526" s="193"/>
      <c r="H526" s="193"/>
      <c r="I526" s="193"/>
    </row>
    <row r="527" spans="1:9" ht="15.6">
      <c r="A527" s="193"/>
      <c r="B527" s="193"/>
      <c r="C527" s="193"/>
      <c r="D527" s="193"/>
      <c r="E527" s="193"/>
      <c r="F527" s="193"/>
      <c r="G527" s="193"/>
      <c r="H527" s="193"/>
      <c r="I527" s="193"/>
    </row>
    <row r="528" spans="1:9" ht="15.6">
      <c r="A528" s="193"/>
      <c r="B528" s="193"/>
      <c r="C528" s="193"/>
      <c r="D528" s="193"/>
      <c r="E528" s="193"/>
      <c r="F528" s="193"/>
      <c r="G528" s="193"/>
      <c r="H528" s="193"/>
      <c r="I528" s="193"/>
    </row>
    <row r="529" spans="1:9" ht="15.6">
      <c r="A529" s="193"/>
      <c r="B529" s="193"/>
      <c r="C529" s="193"/>
      <c r="D529" s="193"/>
      <c r="E529" s="193"/>
      <c r="F529" s="193"/>
      <c r="G529" s="193"/>
      <c r="H529" s="193"/>
      <c r="I529" s="193"/>
    </row>
    <row r="530" spans="1:9" ht="15.6">
      <c r="A530" s="193"/>
      <c r="B530" s="193"/>
      <c r="C530" s="193"/>
      <c r="D530" s="193"/>
      <c r="E530" s="193"/>
      <c r="F530" s="193"/>
      <c r="G530" s="193"/>
      <c r="H530" s="193"/>
      <c r="I530" s="193"/>
    </row>
    <row r="531" spans="1:9" ht="15.6">
      <c r="A531" s="193"/>
      <c r="B531" s="193"/>
      <c r="C531" s="193"/>
      <c r="D531" s="193"/>
      <c r="E531" s="193"/>
      <c r="F531" s="193"/>
      <c r="G531" s="193"/>
      <c r="H531" s="193"/>
      <c r="I531" s="193"/>
    </row>
    <row r="532" spans="1:9" ht="15.6">
      <c r="A532" s="193"/>
      <c r="B532" s="193"/>
      <c r="C532" s="193"/>
      <c r="D532" s="193"/>
      <c r="E532" s="193"/>
      <c r="F532" s="193"/>
      <c r="G532" s="193"/>
      <c r="H532" s="193"/>
      <c r="I532" s="193"/>
    </row>
    <row r="533" spans="1:9" ht="15.6">
      <c r="A533" s="193"/>
      <c r="B533" s="193"/>
      <c r="C533" s="193"/>
      <c r="D533" s="193"/>
      <c r="E533" s="193"/>
      <c r="F533" s="193"/>
      <c r="G533" s="193"/>
      <c r="H533" s="193"/>
      <c r="I533" s="193"/>
    </row>
    <row r="534" spans="1:9" ht="15.6">
      <c r="A534" s="193"/>
      <c r="B534" s="193"/>
      <c r="C534" s="193"/>
      <c r="D534" s="193"/>
      <c r="E534" s="193"/>
      <c r="F534" s="193"/>
      <c r="G534" s="193"/>
      <c r="H534" s="193"/>
      <c r="I534" s="193"/>
    </row>
    <row r="535" spans="1:9" ht="15.6">
      <c r="A535" s="193"/>
      <c r="B535" s="193"/>
      <c r="C535" s="193"/>
      <c r="D535" s="193"/>
      <c r="E535" s="193"/>
      <c r="F535" s="193"/>
      <c r="G535" s="193"/>
      <c r="H535" s="193"/>
      <c r="I535" s="193"/>
    </row>
    <row r="536" spans="1:9" ht="15.6">
      <c r="A536" s="193"/>
      <c r="B536" s="193"/>
      <c r="C536" s="193"/>
      <c r="D536" s="193"/>
      <c r="E536" s="193"/>
      <c r="F536" s="193"/>
      <c r="G536" s="193"/>
      <c r="H536" s="193"/>
      <c r="I536" s="193"/>
    </row>
    <row r="537" spans="1:9" ht="15.6">
      <c r="A537" s="193"/>
      <c r="B537" s="193"/>
      <c r="C537" s="193"/>
      <c r="D537" s="193"/>
      <c r="E537" s="193"/>
      <c r="F537" s="193"/>
      <c r="G537" s="193"/>
      <c r="H537" s="193"/>
      <c r="I537" s="193"/>
    </row>
    <row r="538" spans="1:9" ht="15.6">
      <c r="A538" s="193"/>
      <c r="B538" s="193"/>
      <c r="C538" s="193"/>
      <c r="D538" s="193"/>
      <c r="E538" s="193"/>
      <c r="F538" s="193"/>
      <c r="G538" s="193"/>
      <c r="H538" s="193"/>
      <c r="I538" s="193"/>
    </row>
    <row r="539" spans="1:9" ht="15.6">
      <c r="A539" s="193"/>
      <c r="B539" s="193"/>
      <c r="C539" s="193"/>
      <c r="D539" s="193"/>
      <c r="E539" s="193"/>
      <c r="F539" s="193"/>
      <c r="G539" s="193"/>
      <c r="H539" s="193"/>
      <c r="I539" s="193"/>
    </row>
    <row r="540" spans="1:9" ht="15.6">
      <c r="A540" s="193"/>
      <c r="B540" s="193"/>
      <c r="C540" s="193"/>
      <c r="D540" s="193"/>
      <c r="E540" s="193"/>
      <c r="F540" s="193"/>
      <c r="G540" s="193"/>
      <c r="H540" s="193"/>
      <c r="I540" s="193"/>
    </row>
    <row r="541" spans="1:9" ht="15.6">
      <c r="A541" s="193"/>
      <c r="B541" s="193"/>
      <c r="C541" s="193"/>
      <c r="D541" s="193"/>
      <c r="E541" s="193"/>
      <c r="F541" s="193"/>
      <c r="G541" s="193"/>
      <c r="H541" s="193"/>
      <c r="I541" s="193"/>
    </row>
    <row r="542" spans="1:9" ht="15.6">
      <c r="A542" s="193"/>
      <c r="B542" s="193"/>
      <c r="C542" s="193"/>
      <c r="D542" s="193"/>
      <c r="E542" s="193"/>
      <c r="F542" s="193"/>
      <c r="G542" s="193"/>
      <c r="H542" s="193"/>
      <c r="I542" s="193"/>
    </row>
    <row r="543" spans="1:9" ht="15.6">
      <c r="A543" s="193"/>
      <c r="B543" s="193"/>
      <c r="C543" s="193"/>
      <c r="D543" s="193"/>
      <c r="E543" s="193"/>
      <c r="F543" s="193"/>
      <c r="G543" s="193"/>
      <c r="H543" s="193"/>
      <c r="I543" s="193"/>
    </row>
    <row r="544" spans="1:9" ht="15.6">
      <c r="A544" s="193"/>
      <c r="B544" s="193"/>
      <c r="C544" s="193"/>
      <c r="D544" s="193"/>
      <c r="E544" s="193"/>
      <c r="F544" s="193"/>
      <c r="G544" s="193"/>
      <c r="H544" s="193"/>
      <c r="I544" s="193"/>
    </row>
    <row r="545" spans="1:9" ht="15.6">
      <c r="A545" s="193"/>
      <c r="B545" s="193"/>
      <c r="C545" s="193"/>
      <c r="D545" s="193"/>
      <c r="E545" s="193"/>
      <c r="F545" s="193"/>
      <c r="G545" s="193"/>
      <c r="H545" s="193"/>
      <c r="I545" s="193"/>
    </row>
    <row r="546" spans="1:9" ht="15.6">
      <c r="A546" s="193"/>
      <c r="B546" s="193"/>
      <c r="C546" s="193"/>
      <c r="D546" s="193"/>
      <c r="E546" s="193"/>
      <c r="F546" s="193"/>
      <c r="G546" s="193"/>
      <c r="H546" s="193"/>
      <c r="I546" s="193"/>
    </row>
    <row r="547" spans="1:9" ht="15.6">
      <c r="A547" s="193"/>
      <c r="B547" s="193"/>
      <c r="C547" s="193"/>
      <c r="D547" s="193"/>
      <c r="E547" s="193"/>
      <c r="F547" s="193"/>
      <c r="G547" s="193"/>
      <c r="H547" s="193"/>
      <c r="I547" s="193"/>
    </row>
    <row r="548" spans="1:9" ht="15.6">
      <c r="A548" s="193"/>
      <c r="B548" s="193"/>
      <c r="C548" s="193"/>
      <c r="D548" s="193"/>
      <c r="E548" s="193"/>
      <c r="F548" s="193"/>
      <c r="G548" s="193"/>
      <c r="H548" s="193"/>
      <c r="I548" s="193"/>
    </row>
    <row r="549" spans="1:9" ht="15.6">
      <c r="A549" s="193"/>
      <c r="B549" s="193"/>
      <c r="C549" s="193"/>
      <c r="D549" s="193"/>
      <c r="E549" s="193"/>
      <c r="F549" s="193"/>
      <c r="G549" s="193"/>
      <c r="H549" s="193"/>
      <c r="I549" s="193"/>
    </row>
    <row r="550" spans="1:9" ht="15.6">
      <c r="A550" s="193"/>
      <c r="B550" s="193"/>
      <c r="C550" s="193"/>
      <c r="D550" s="193"/>
      <c r="E550" s="193"/>
      <c r="F550" s="193"/>
      <c r="G550" s="193"/>
      <c r="H550" s="193"/>
      <c r="I550" s="193"/>
    </row>
    <row r="551" spans="1:9" ht="15.6">
      <c r="A551" s="193"/>
      <c r="B551" s="193"/>
      <c r="C551" s="193"/>
      <c r="D551" s="193"/>
      <c r="E551" s="193"/>
      <c r="F551" s="193"/>
      <c r="G551" s="193"/>
      <c r="H551" s="193"/>
      <c r="I551" s="193"/>
    </row>
    <row r="552" spans="1:9" ht="15.6">
      <c r="A552" s="193"/>
      <c r="B552" s="193"/>
      <c r="C552" s="193"/>
      <c r="D552" s="193"/>
      <c r="E552" s="193"/>
      <c r="F552" s="193"/>
      <c r="G552" s="193"/>
      <c r="H552" s="193"/>
      <c r="I552" s="193"/>
    </row>
    <row r="553" spans="1:9" ht="15.6">
      <c r="A553" s="193"/>
      <c r="B553" s="193"/>
      <c r="C553" s="193"/>
      <c r="D553" s="193"/>
      <c r="E553" s="193"/>
      <c r="F553" s="193"/>
      <c r="G553" s="193"/>
      <c r="H553" s="193"/>
      <c r="I553" s="193"/>
    </row>
    <row r="554" spans="1:9" ht="15.6">
      <c r="A554" s="193"/>
      <c r="B554" s="193"/>
      <c r="C554" s="193"/>
      <c r="D554" s="193"/>
      <c r="E554" s="193"/>
      <c r="F554" s="193"/>
      <c r="G554" s="193"/>
      <c r="H554" s="193"/>
      <c r="I554" s="193"/>
    </row>
    <row r="555" spans="1:9" ht="15.6">
      <c r="A555" s="193"/>
      <c r="B555" s="193"/>
      <c r="C555" s="193"/>
      <c r="D555" s="193"/>
      <c r="E555" s="193"/>
      <c r="F555" s="193"/>
      <c r="G555" s="193"/>
      <c r="H555" s="193"/>
      <c r="I555" s="193"/>
    </row>
    <row r="556" spans="1:9" ht="15.6">
      <c r="A556" s="193"/>
      <c r="B556" s="193"/>
      <c r="C556" s="193"/>
      <c r="D556" s="193"/>
      <c r="E556" s="193"/>
      <c r="F556" s="193"/>
      <c r="G556" s="193"/>
      <c r="H556" s="193"/>
      <c r="I556" s="193"/>
    </row>
    <row r="557" spans="1:9" ht="15.6">
      <c r="A557" s="193"/>
      <c r="B557" s="193"/>
      <c r="C557" s="193"/>
      <c r="D557" s="193"/>
      <c r="E557" s="193"/>
      <c r="F557" s="193"/>
      <c r="G557" s="193"/>
      <c r="H557" s="193"/>
      <c r="I557" s="193"/>
    </row>
    <row r="558" spans="1:9" ht="15.6">
      <c r="A558" s="193"/>
      <c r="B558" s="193"/>
      <c r="C558" s="193"/>
      <c r="D558" s="193"/>
      <c r="E558" s="193"/>
      <c r="F558" s="193"/>
      <c r="G558" s="193"/>
      <c r="H558" s="193"/>
      <c r="I558" s="193"/>
    </row>
    <row r="559" spans="1:9" ht="15.6">
      <c r="A559" s="193"/>
      <c r="B559" s="193"/>
      <c r="C559" s="193"/>
      <c r="D559" s="193"/>
      <c r="E559" s="193"/>
      <c r="F559" s="193"/>
      <c r="G559" s="193"/>
      <c r="H559" s="193"/>
      <c r="I559" s="193"/>
    </row>
    <row r="560" spans="1:9" ht="15.6">
      <c r="A560" s="193"/>
      <c r="B560" s="193"/>
      <c r="C560" s="193"/>
      <c r="D560" s="193"/>
      <c r="E560" s="193"/>
      <c r="F560" s="193"/>
      <c r="G560" s="193"/>
      <c r="H560" s="193"/>
      <c r="I560" s="193"/>
    </row>
    <row r="561" spans="1:9" ht="15.6">
      <c r="A561" s="193"/>
      <c r="B561" s="193"/>
      <c r="C561" s="193"/>
      <c r="D561" s="193"/>
      <c r="E561" s="193"/>
      <c r="F561" s="193"/>
      <c r="G561" s="193"/>
      <c r="H561" s="193"/>
      <c r="I561" s="193"/>
    </row>
    <row r="562" spans="1:9" ht="15.6">
      <c r="A562" s="193"/>
      <c r="B562" s="193"/>
      <c r="C562" s="193"/>
      <c r="D562" s="193"/>
      <c r="E562" s="193"/>
      <c r="F562" s="193"/>
      <c r="G562" s="193"/>
      <c r="H562" s="193"/>
      <c r="I562" s="193"/>
    </row>
    <row r="563" spans="1:9" ht="15.6">
      <c r="A563" s="193"/>
      <c r="B563" s="193"/>
      <c r="C563" s="193"/>
      <c r="D563" s="193"/>
      <c r="E563" s="193"/>
      <c r="F563" s="193"/>
      <c r="G563" s="193"/>
      <c r="H563" s="193"/>
      <c r="I563" s="193"/>
    </row>
    <row r="564" spans="1:9" ht="15.6">
      <c r="A564" s="193"/>
      <c r="B564" s="193"/>
      <c r="C564" s="193"/>
      <c r="D564" s="193"/>
      <c r="E564" s="193"/>
      <c r="F564" s="193"/>
      <c r="G564" s="193"/>
      <c r="H564" s="193"/>
      <c r="I564" s="193"/>
    </row>
    <row r="565" spans="1:9" ht="15.6">
      <c r="A565" s="193"/>
      <c r="B565" s="193"/>
      <c r="C565" s="193"/>
      <c r="D565" s="193"/>
      <c r="E565" s="193"/>
      <c r="F565" s="193"/>
      <c r="G565" s="193"/>
      <c r="H565" s="193"/>
      <c r="I565" s="193"/>
    </row>
    <row r="566" spans="1:9" ht="15.6">
      <c r="A566" s="193"/>
      <c r="B566" s="193"/>
      <c r="C566" s="193"/>
      <c r="D566" s="193"/>
      <c r="E566" s="193"/>
      <c r="F566" s="193"/>
      <c r="G566" s="193"/>
      <c r="H566" s="193"/>
      <c r="I566" s="193"/>
    </row>
    <row r="567" spans="1:9" ht="15.6">
      <c r="A567" s="193"/>
      <c r="B567" s="193"/>
      <c r="C567" s="193"/>
      <c r="D567" s="193"/>
      <c r="E567" s="193"/>
      <c r="F567" s="193"/>
      <c r="G567" s="193"/>
      <c r="H567" s="193"/>
      <c r="I567" s="193"/>
    </row>
    <row r="568" spans="1:9" ht="15.6">
      <c r="A568" s="193"/>
      <c r="B568" s="193"/>
      <c r="C568" s="193"/>
      <c r="D568" s="193"/>
      <c r="E568" s="193"/>
      <c r="F568" s="193"/>
      <c r="G568" s="193"/>
      <c r="H568" s="193"/>
      <c r="I568" s="193"/>
    </row>
    <row r="569" spans="1:9" ht="15.6">
      <c r="A569" s="193"/>
      <c r="B569" s="193"/>
      <c r="C569" s="193"/>
      <c r="D569" s="193"/>
      <c r="E569" s="193"/>
      <c r="F569" s="193"/>
      <c r="G569" s="193"/>
      <c r="H569" s="193"/>
      <c r="I569" s="193"/>
    </row>
    <row r="570" spans="1:9" ht="15.6">
      <c r="A570" s="193"/>
      <c r="B570" s="193"/>
      <c r="C570" s="193"/>
      <c r="D570" s="193"/>
      <c r="E570" s="193"/>
      <c r="F570" s="193"/>
      <c r="G570" s="193"/>
      <c r="H570" s="193"/>
      <c r="I570" s="193"/>
    </row>
    <row r="571" spans="1:9" ht="15.6">
      <c r="A571" s="193"/>
      <c r="B571" s="193"/>
      <c r="C571" s="193"/>
      <c r="D571" s="193"/>
      <c r="E571" s="193"/>
      <c r="F571" s="193"/>
      <c r="G571" s="193"/>
      <c r="H571" s="193"/>
      <c r="I571" s="193"/>
    </row>
    <row r="572" spans="1:9" ht="15.6">
      <c r="A572" s="193"/>
      <c r="B572" s="193"/>
      <c r="C572" s="193"/>
      <c r="D572" s="193"/>
      <c r="E572" s="193"/>
      <c r="F572" s="193"/>
      <c r="G572" s="193"/>
      <c r="H572" s="193"/>
      <c r="I572" s="193"/>
    </row>
    <row r="573" spans="1:9" ht="15.6">
      <c r="A573" s="193"/>
      <c r="B573" s="193"/>
      <c r="C573" s="193"/>
      <c r="D573" s="193"/>
      <c r="E573" s="193"/>
      <c r="F573" s="193"/>
      <c r="G573" s="193"/>
      <c r="H573" s="193"/>
      <c r="I573" s="193"/>
    </row>
    <row r="574" spans="1:9" ht="15.6">
      <c r="A574" s="193"/>
      <c r="B574" s="193"/>
      <c r="C574" s="193"/>
      <c r="D574" s="193"/>
      <c r="E574" s="193"/>
      <c r="F574" s="193"/>
      <c r="G574" s="193"/>
      <c r="H574" s="193"/>
      <c r="I574" s="193"/>
    </row>
    <row r="575" spans="1:9" ht="15.6">
      <c r="A575" s="193"/>
      <c r="B575" s="193"/>
      <c r="C575" s="193"/>
      <c r="D575" s="193"/>
      <c r="E575" s="193"/>
      <c r="F575" s="193"/>
      <c r="G575" s="193"/>
      <c r="H575" s="193"/>
      <c r="I575" s="193"/>
    </row>
    <row r="576" spans="1:9" ht="15.6">
      <c r="A576" s="193"/>
      <c r="B576" s="193"/>
      <c r="C576" s="193"/>
      <c r="D576" s="193"/>
      <c r="E576" s="193"/>
      <c r="F576" s="193"/>
      <c r="G576" s="193"/>
      <c r="H576" s="193"/>
      <c r="I576" s="193"/>
    </row>
    <row r="577" spans="1:9" ht="15.6">
      <c r="A577" s="193"/>
      <c r="B577" s="193"/>
      <c r="C577" s="193"/>
      <c r="D577" s="193"/>
      <c r="E577" s="193"/>
      <c r="F577" s="193"/>
      <c r="G577" s="193"/>
      <c r="H577" s="193"/>
      <c r="I577" s="193"/>
    </row>
    <row r="578" spans="1:9" ht="15.6">
      <c r="A578" s="193"/>
      <c r="B578" s="193"/>
      <c r="C578" s="193"/>
      <c r="D578" s="193"/>
      <c r="E578" s="193"/>
      <c r="F578" s="193"/>
      <c r="G578" s="193"/>
      <c r="H578" s="193"/>
      <c r="I578" s="193"/>
    </row>
    <row r="579" spans="1:9" ht="15.6">
      <c r="A579" s="193"/>
      <c r="B579" s="193"/>
      <c r="C579" s="193"/>
      <c r="D579" s="193"/>
      <c r="E579" s="193"/>
      <c r="F579" s="193"/>
      <c r="G579" s="193"/>
      <c r="H579" s="193"/>
      <c r="I579" s="193"/>
    </row>
    <row r="580" spans="1:9" ht="15.6">
      <c r="A580" s="193"/>
      <c r="B580" s="193"/>
      <c r="C580" s="193"/>
      <c r="D580" s="193"/>
      <c r="E580" s="193"/>
      <c r="F580" s="193"/>
      <c r="G580" s="193"/>
      <c r="H580" s="193"/>
      <c r="I580" s="193"/>
    </row>
    <row r="581" spans="1:9" ht="15.6">
      <c r="A581" s="193"/>
      <c r="B581" s="193"/>
      <c r="C581" s="193"/>
      <c r="D581" s="193"/>
      <c r="E581" s="193"/>
      <c r="F581" s="193"/>
      <c r="G581" s="193"/>
      <c r="H581" s="193"/>
      <c r="I581" s="193"/>
    </row>
    <row r="582" spans="1:9" ht="15.6">
      <c r="A582" s="193"/>
      <c r="B582" s="193"/>
      <c r="C582" s="193"/>
      <c r="D582" s="193"/>
      <c r="E582" s="193"/>
      <c r="F582" s="193"/>
      <c r="G582" s="193"/>
      <c r="H582" s="193"/>
      <c r="I582" s="193"/>
    </row>
    <row r="583" spans="1:9" ht="15.6">
      <c r="A583" s="193"/>
      <c r="B583" s="193"/>
      <c r="C583" s="193"/>
      <c r="D583" s="193"/>
      <c r="E583" s="193"/>
      <c r="F583" s="193"/>
      <c r="G583" s="193"/>
      <c r="H583" s="193"/>
      <c r="I583" s="193"/>
    </row>
    <row r="584" spans="1:9" ht="15.6">
      <c r="A584" s="193"/>
      <c r="B584" s="193"/>
      <c r="C584" s="193"/>
      <c r="D584" s="193"/>
      <c r="E584" s="193"/>
      <c r="F584" s="193"/>
      <c r="G584" s="193"/>
      <c r="H584" s="193"/>
      <c r="I584" s="193"/>
    </row>
    <row r="585" spans="1:9" ht="15.6">
      <c r="A585" s="193"/>
      <c r="B585" s="193"/>
      <c r="C585" s="193"/>
      <c r="D585" s="193"/>
      <c r="E585" s="193"/>
      <c r="F585" s="193"/>
      <c r="G585" s="193"/>
      <c r="H585" s="193"/>
      <c r="I585" s="193"/>
    </row>
    <row r="586" spans="1:9" ht="15.6">
      <c r="A586" s="193"/>
      <c r="B586" s="193"/>
      <c r="C586" s="193"/>
      <c r="D586" s="193"/>
      <c r="E586" s="193"/>
      <c r="F586" s="193"/>
      <c r="G586" s="193"/>
      <c r="H586" s="193"/>
      <c r="I586" s="193"/>
    </row>
    <row r="587" spans="1:9" ht="15.6">
      <c r="A587" s="193"/>
      <c r="B587" s="193"/>
      <c r="C587" s="193"/>
      <c r="D587" s="193"/>
      <c r="E587" s="193"/>
      <c r="F587" s="193"/>
      <c r="G587" s="193"/>
      <c r="H587" s="193"/>
      <c r="I587" s="193"/>
    </row>
    <row r="588" spans="1:9" ht="15.6">
      <c r="A588" s="193"/>
      <c r="B588" s="193"/>
      <c r="C588" s="193"/>
      <c r="D588" s="193"/>
      <c r="E588" s="193"/>
      <c r="F588" s="193"/>
      <c r="G588" s="193"/>
      <c r="H588" s="193"/>
      <c r="I588" s="193"/>
    </row>
    <row r="589" spans="1:9" ht="15.6">
      <c r="A589" s="193"/>
      <c r="B589" s="193"/>
      <c r="C589" s="193"/>
      <c r="D589" s="193"/>
      <c r="E589" s="193"/>
      <c r="F589" s="193"/>
      <c r="G589" s="193"/>
      <c r="H589" s="193"/>
      <c r="I589" s="193"/>
    </row>
    <row r="590" spans="1:9" ht="15.6">
      <c r="A590" s="193"/>
      <c r="B590" s="193"/>
      <c r="C590" s="193"/>
      <c r="D590" s="193"/>
      <c r="E590" s="193"/>
      <c r="F590" s="193"/>
      <c r="G590" s="193"/>
      <c r="H590" s="193"/>
      <c r="I590" s="193"/>
    </row>
    <row r="591" spans="1:9" ht="15.6">
      <c r="A591" s="193"/>
      <c r="B591" s="193"/>
      <c r="C591" s="193"/>
      <c r="D591" s="193"/>
      <c r="E591" s="193"/>
      <c r="F591" s="193"/>
      <c r="G591" s="193"/>
      <c r="H591" s="193"/>
      <c r="I591" s="193"/>
    </row>
    <row r="592" spans="1:9" ht="15.6">
      <c r="A592" s="193"/>
      <c r="B592" s="193"/>
      <c r="C592" s="193"/>
      <c r="D592" s="193"/>
      <c r="E592" s="193"/>
      <c r="F592" s="193"/>
      <c r="G592" s="193"/>
      <c r="H592" s="193"/>
      <c r="I592" s="193"/>
    </row>
    <row r="593" spans="1:9" ht="15.6">
      <c r="A593" s="193"/>
      <c r="B593" s="193"/>
      <c r="C593" s="193"/>
      <c r="D593" s="193"/>
      <c r="E593" s="193"/>
      <c r="F593" s="193"/>
      <c r="G593" s="193"/>
      <c r="H593" s="193"/>
      <c r="I593" s="193"/>
    </row>
    <row r="594" spans="1:9" ht="15.6">
      <c r="A594" s="193"/>
      <c r="B594" s="193"/>
      <c r="C594" s="193"/>
      <c r="D594" s="193"/>
      <c r="E594" s="193"/>
      <c r="F594" s="193"/>
      <c r="G594" s="193"/>
      <c r="H594" s="193"/>
      <c r="I594" s="193"/>
    </row>
    <row r="595" spans="1:9" ht="15.6">
      <c r="A595" s="193"/>
      <c r="B595" s="193"/>
      <c r="C595" s="193"/>
      <c r="D595" s="193"/>
      <c r="E595" s="193"/>
      <c r="F595" s="193"/>
      <c r="G595" s="193"/>
      <c r="H595" s="193"/>
      <c r="I595" s="193"/>
    </row>
    <row r="596" spans="1:9" ht="15.6">
      <c r="A596" s="193"/>
      <c r="B596" s="193"/>
      <c r="C596" s="193"/>
      <c r="D596" s="193"/>
      <c r="E596" s="193"/>
      <c r="F596" s="193"/>
      <c r="G596" s="193"/>
      <c r="H596" s="193"/>
      <c r="I596" s="193"/>
    </row>
    <row r="597" spans="1:9" ht="15.6">
      <c r="A597" s="193"/>
      <c r="B597" s="193"/>
      <c r="C597" s="193"/>
      <c r="D597" s="193"/>
      <c r="E597" s="193"/>
      <c r="F597" s="193"/>
      <c r="G597" s="193"/>
      <c r="H597" s="193"/>
      <c r="I597" s="193"/>
    </row>
    <row r="598" spans="1:9" ht="15.6">
      <c r="A598" s="193"/>
      <c r="B598" s="193"/>
      <c r="C598" s="193"/>
      <c r="D598" s="193"/>
      <c r="E598" s="193"/>
      <c r="F598" s="193"/>
      <c r="G598" s="193"/>
      <c r="H598" s="193"/>
      <c r="I598" s="193"/>
    </row>
    <row r="599" spans="1:9" ht="15.6">
      <c r="A599" s="193"/>
      <c r="B599" s="193"/>
      <c r="C599" s="193"/>
      <c r="D599" s="193"/>
      <c r="E599" s="193"/>
      <c r="F599" s="193"/>
      <c r="G599" s="193"/>
      <c r="H599" s="193"/>
      <c r="I599" s="193"/>
    </row>
    <row r="600" spans="1:9" ht="15.6">
      <c r="A600" s="193"/>
      <c r="B600" s="193"/>
      <c r="C600" s="193"/>
      <c r="D600" s="193"/>
      <c r="E600" s="193"/>
      <c r="F600" s="193"/>
      <c r="G600" s="193"/>
      <c r="H600" s="193"/>
      <c r="I600" s="193"/>
    </row>
    <row r="601" spans="1:9" ht="15.6">
      <c r="A601" s="193"/>
      <c r="B601" s="193"/>
      <c r="C601" s="193"/>
      <c r="D601" s="193"/>
      <c r="E601" s="193"/>
      <c r="F601" s="193"/>
      <c r="G601" s="193"/>
      <c r="H601" s="193"/>
      <c r="I601" s="193"/>
    </row>
    <row r="602" spans="1:9" ht="15.6">
      <c r="A602" s="193"/>
      <c r="B602" s="193"/>
      <c r="C602" s="193"/>
      <c r="D602" s="193"/>
      <c r="E602" s="193"/>
      <c r="F602" s="193"/>
      <c r="G602" s="193"/>
      <c r="H602" s="193"/>
      <c r="I602" s="193"/>
    </row>
    <row r="603" spans="1:9" ht="15.6">
      <c r="A603" s="193"/>
      <c r="B603" s="193"/>
      <c r="C603" s="193"/>
      <c r="D603" s="193"/>
      <c r="E603" s="193"/>
      <c r="F603" s="193"/>
      <c r="G603" s="193"/>
      <c r="H603" s="193"/>
      <c r="I603" s="193"/>
    </row>
    <row r="604" spans="1:9" ht="15.6">
      <c r="A604" s="193"/>
      <c r="B604" s="193"/>
      <c r="C604" s="193"/>
      <c r="D604" s="193"/>
      <c r="E604" s="193"/>
      <c r="F604" s="193"/>
      <c r="G604" s="193"/>
      <c r="H604" s="193"/>
      <c r="I604" s="193"/>
    </row>
    <row r="605" spans="1:9" ht="15.6">
      <c r="A605" s="193"/>
      <c r="B605" s="193"/>
      <c r="C605" s="193"/>
      <c r="D605" s="193"/>
      <c r="E605" s="193"/>
      <c r="F605" s="193"/>
      <c r="G605" s="193"/>
      <c r="H605" s="193"/>
      <c r="I605" s="193"/>
    </row>
    <row r="606" spans="1:9" ht="15.6">
      <c r="A606" s="193"/>
      <c r="B606" s="193"/>
      <c r="C606" s="193"/>
      <c r="D606" s="193"/>
      <c r="E606" s="193"/>
      <c r="F606" s="193"/>
      <c r="G606" s="193"/>
      <c r="H606" s="193"/>
      <c r="I606" s="193"/>
    </row>
    <row r="607" spans="1:9" ht="15.6">
      <c r="A607" s="193"/>
      <c r="B607" s="193"/>
      <c r="C607" s="193"/>
      <c r="D607" s="193"/>
      <c r="E607" s="193"/>
      <c r="F607" s="193"/>
      <c r="G607" s="193"/>
      <c r="H607" s="193"/>
      <c r="I607" s="193"/>
    </row>
    <row r="608" spans="1:9" ht="15.6">
      <c r="A608" s="193"/>
      <c r="B608" s="193"/>
      <c r="C608" s="193"/>
      <c r="D608" s="193"/>
      <c r="E608" s="193"/>
      <c r="F608" s="193"/>
      <c r="G608" s="193"/>
      <c r="H608" s="193"/>
      <c r="I608" s="193"/>
    </row>
    <row r="609" spans="1:9" ht="15.6">
      <c r="A609" s="193"/>
      <c r="B609" s="193"/>
      <c r="C609" s="193"/>
      <c r="D609" s="193"/>
      <c r="E609" s="193"/>
      <c r="F609" s="193"/>
      <c r="G609" s="193"/>
      <c r="H609" s="193"/>
      <c r="I609" s="193"/>
    </row>
    <row r="610" spans="1:9" ht="15.6">
      <c r="A610" s="193"/>
      <c r="B610" s="193"/>
      <c r="C610" s="193"/>
      <c r="D610" s="193"/>
      <c r="E610" s="193"/>
      <c r="F610" s="193"/>
      <c r="G610" s="193"/>
      <c r="H610" s="193"/>
      <c r="I610" s="193"/>
    </row>
    <row r="611" spans="1:9" ht="15.6">
      <c r="A611" s="193"/>
      <c r="B611" s="193"/>
      <c r="C611" s="193"/>
      <c r="D611" s="193"/>
      <c r="E611" s="193"/>
      <c r="F611" s="193"/>
      <c r="G611" s="193"/>
      <c r="H611" s="193"/>
      <c r="I611" s="193"/>
    </row>
    <row r="612" spans="1:9" ht="15.6">
      <c r="A612" s="193"/>
      <c r="B612" s="193"/>
      <c r="C612" s="193"/>
      <c r="D612" s="193"/>
      <c r="E612" s="193"/>
      <c r="F612" s="193"/>
      <c r="G612" s="193"/>
      <c r="H612" s="193"/>
      <c r="I612" s="193"/>
    </row>
    <row r="613" spans="1:9" ht="15.6">
      <c r="A613" s="193"/>
      <c r="B613" s="193"/>
      <c r="C613" s="193"/>
      <c r="D613" s="193"/>
      <c r="E613" s="193"/>
      <c r="F613" s="193"/>
      <c r="G613" s="193"/>
      <c r="H613" s="193"/>
      <c r="I613" s="193"/>
    </row>
    <row r="614" spans="1:9" ht="15.6">
      <c r="A614" s="193"/>
      <c r="B614" s="193"/>
      <c r="C614" s="193"/>
      <c r="D614" s="193"/>
      <c r="E614" s="193"/>
      <c r="F614" s="193"/>
      <c r="G614" s="193"/>
      <c r="H614" s="193"/>
      <c r="I614" s="193"/>
    </row>
    <row r="615" spans="1:9" ht="15.6">
      <c r="A615" s="193"/>
      <c r="B615" s="193"/>
      <c r="C615" s="193"/>
      <c r="D615" s="193"/>
      <c r="E615" s="193"/>
      <c r="F615" s="193"/>
      <c r="G615" s="193"/>
      <c r="H615" s="193"/>
      <c r="I615" s="193"/>
    </row>
    <row r="616" spans="1:9" ht="15.6">
      <c r="A616" s="193"/>
      <c r="B616" s="193"/>
      <c r="C616" s="193"/>
      <c r="D616" s="193"/>
      <c r="E616" s="193"/>
      <c r="F616" s="193"/>
      <c r="G616" s="193"/>
      <c r="H616" s="193"/>
      <c r="I616" s="193"/>
    </row>
    <row r="617" spans="1:9" ht="15.6">
      <c r="A617" s="193"/>
      <c r="B617" s="193"/>
      <c r="C617" s="193"/>
      <c r="D617" s="193"/>
      <c r="E617" s="193"/>
      <c r="F617" s="193"/>
      <c r="G617" s="193"/>
      <c r="H617" s="193"/>
      <c r="I617" s="193"/>
    </row>
    <row r="618" spans="1:9" ht="15.6">
      <c r="A618" s="193"/>
      <c r="B618" s="193"/>
      <c r="C618" s="193"/>
      <c r="D618" s="193"/>
      <c r="E618" s="193"/>
      <c r="F618" s="193"/>
      <c r="G618" s="193"/>
      <c r="H618" s="193"/>
      <c r="I618" s="193"/>
    </row>
    <row r="619" spans="1:9" ht="15.6">
      <c r="A619" s="193"/>
      <c r="B619" s="193"/>
      <c r="C619" s="193"/>
      <c r="D619" s="193"/>
      <c r="E619" s="193"/>
      <c r="F619" s="193"/>
      <c r="G619" s="193"/>
      <c r="H619" s="193"/>
      <c r="I619" s="193"/>
    </row>
    <row r="620" spans="1:9" ht="15.6">
      <c r="A620" s="193"/>
      <c r="B620" s="193"/>
      <c r="C620" s="193"/>
      <c r="D620" s="193"/>
      <c r="E620" s="193"/>
      <c r="F620" s="193"/>
      <c r="G620" s="193"/>
      <c r="H620" s="193"/>
      <c r="I620" s="193"/>
    </row>
    <row r="621" spans="1:9" ht="15.6">
      <c r="A621" s="193"/>
      <c r="B621" s="193"/>
      <c r="C621" s="193"/>
      <c r="D621" s="193"/>
      <c r="E621" s="193"/>
      <c r="F621" s="193"/>
      <c r="G621" s="193"/>
      <c r="H621" s="193"/>
      <c r="I621" s="193"/>
    </row>
    <row r="622" spans="1:9" ht="15.6">
      <c r="A622" s="193"/>
      <c r="B622" s="193"/>
      <c r="C622" s="193"/>
      <c r="D622" s="193"/>
      <c r="E622" s="193"/>
      <c r="F622" s="193"/>
      <c r="G622" s="193"/>
      <c r="H622" s="193"/>
      <c r="I622" s="193"/>
    </row>
    <row r="623" spans="1:9" ht="15.6">
      <c r="A623" s="193"/>
      <c r="B623" s="193"/>
      <c r="C623" s="193"/>
      <c r="D623" s="193"/>
      <c r="E623" s="193"/>
      <c r="F623" s="193"/>
      <c r="G623" s="193"/>
      <c r="H623" s="193"/>
      <c r="I623" s="193"/>
    </row>
    <row r="624" spans="1:9" ht="15.6">
      <c r="A624" s="193"/>
      <c r="B624" s="193"/>
      <c r="C624" s="193"/>
      <c r="D624" s="193"/>
      <c r="E624" s="193"/>
      <c r="F624" s="193"/>
      <c r="G624" s="193"/>
      <c r="H624" s="193"/>
      <c r="I624" s="193"/>
    </row>
    <row r="625" spans="1:9" ht="15.6">
      <c r="A625" s="193"/>
      <c r="B625" s="193"/>
      <c r="C625" s="193"/>
      <c r="D625" s="193"/>
      <c r="E625" s="193"/>
      <c r="F625" s="193"/>
      <c r="G625" s="193"/>
      <c r="H625" s="193"/>
      <c r="I625" s="193"/>
    </row>
    <row r="626" spans="1:9" ht="15.6">
      <c r="A626" s="193"/>
      <c r="B626" s="193"/>
      <c r="C626" s="193"/>
      <c r="D626" s="193"/>
      <c r="E626" s="193"/>
      <c r="F626" s="193"/>
      <c r="G626" s="193"/>
      <c r="H626" s="193"/>
      <c r="I626" s="193"/>
    </row>
    <row r="627" spans="1:9" ht="15.6">
      <c r="A627" s="193"/>
      <c r="B627" s="193"/>
      <c r="C627" s="193"/>
      <c r="D627" s="193"/>
      <c r="E627" s="193"/>
      <c r="F627" s="193"/>
      <c r="G627" s="193"/>
      <c r="H627" s="193"/>
      <c r="I627" s="193"/>
    </row>
    <row r="628" spans="1:9" ht="15.6">
      <c r="A628" s="193"/>
      <c r="B628" s="193"/>
      <c r="C628" s="193"/>
      <c r="D628" s="193"/>
      <c r="E628" s="193"/>
      <c r="F628" s="193"/>
      <c r="G628" s="193"/>
      <c r="H628" s="193"/>
      <c r="I628" s="193"/>
    </row>
    <row r="629" spans="1:9" ht="15.6">
      <c r="A629" s="193"/>
      <c r="B629" s="193"/>
      <c r="C629" s="193"/>
      <c r="D629" s="193"/>
      <c r="E629" s="193"/>
      <c r="F629" s="193"/>
      <c r="G629" s="193"/>
      <c r="H629" s="193"/>
      <c r="I629" s="193"/>
    </row>
    <row r="630" spans="1:9" ht="15.6">
      <c r="A630" s="193"/>
      <c r="B630" s="193"/>
      <c r="C630" s="193"/>
      <c r="D630" s="193"/>
      <c r="E630" s="193"/>
      <c r="F630" s="193"/>
      <c r="G630" s="193"/>
      <c r="H630" s="193"/>
      <c r="I630" s="193"/>
    </row>
    <row r="631" spans="1:9" ht="15.6">
      <c r="A631" s="193"/>
      <c r="B631" s="193"/>
      <c r="C631" s="193"/>
      <c r="D631" s="193"/>
      <c r="E631" s="193"/>
      <c r="F631" s="193"/>
      <c r="G631" s="193"/>
      <c r="H631" s="193"/>
      <c r="I631" s="193"/>
    </row>
    <row r="632" spans="1:9" ht="15.6">
      <c r="A632" s="193"/>
      <c r="B632" s="193"/>
      <c r="C632" s="193"/>
      <c r="D632" s="193"/>
      <c r="E632" s="193"/>
      <c r="F632" s="193"/>
      <c r="G632" s="193"/>
      <c r="H632" s="193"/>
      <c r="I632" s="193"/>
    </row>
    <row r="633" spans="1:9" ht="15.6">
      <c r="A633" s="193"/>
      <c r="B633" s="193"/>
      <c r="C633" s="193"/>
      <c r="D633" s="193"/>
      <c r="E633" s="193"/>
      <c r="F633" s="193"/>
      <c r="G633" s="193"/>
      <c r="H633" s="193"/>
      <c r="I633" s="193"/>
    </row>
    <row r="634" spans="1:9" ht="15.6">
      <c r="A634" s="193"/>
      <c r="B634" s="193"/>
      <c r="C634" s="193"/>
      <c r="D634" s="193"/>
      <c r="E634" s="193"/>
      <c r="F634" s="193"/>
      <c r="G634" s="193"/>
      <c r="H634" s="193"/>
      <c r="I634" s="193"/>
    </row>
    <row r="635" spans="1:9" ht="15.6">
      <c r="A635" s="193"/>
      <c r="B635" s="193"/>
      <c r="C635" s="193"/>
      <c r="D635" s="193"/>
      <c r="E635" s="193"/>
      <c r="F635" s="193"/>
      <c r="G635" s="193"/>
      <c r="H635" s="193"/>
      <c r="I635" s="193"/>
    </row>
    <row r="636" spans="1:9" ht="15.6">
      <c r="A636" s="193"/>
      <c r="B636" s="193"/>
      <c r="C636" s="193"/>
      <c r="D636" s="193"/>
      <c r="E636" s="193"/>
      <c r="F636" s="193"/>
      <c r="G636" s="193"/>
      <c r="H636" s="193"/>
      <c r="I636" s="193"/>
    </row>
    <row r="637" spans="1:9" ht="15.6">
      <c r="A637" s="193"/>
      <c r="B637" s="193"/>
      <c r="C637" s="193"/>
      <c r="D637" s="193"/>
      <c r="E637" s="193"/>
      <c r="F637" s="193"/>
      <c r="G637" s="193"/>
      <c r="H637" s="193"/>
      <c r="I637" s="193"/>
    </row>
    <row r="638" spans="1:9" ht="15.6">
      <c r="A638" s="193"/>
      <c r="B638" s="193"/>
      <c r="C638" s="193"/>
      <c r="D638" s="193"/>
      <c r="E638" s="193"/>
      <c r="F638" s="193"/>
      <c r="G638" s="193"/>
      <c r="H638" s="193"/>
      <c r="I638" s="193"/>
    </row>
    <row r="639" spans="1:9" ht="15.6">
      <c r="A639" s="193"/>
      <c r="B639" s="193"/>
      <c r="C639" s="193"/>
      <c r="D639" s="193"/>
      <c r="E639" s="193"/>
      <c r="F639" s="193"/>
      <c r="G639" s="193"/>
      <c r="H639" s="193"/>
      <c r="I639" s="193"/>
    </row>
    <row r="640" spans="1:9" ht="15.6">
      <c r="A640" s="193"/>
      <c r="B640" s="193"/>
      <c r="C640" s="193"/>
      <c r="D640" s="193"/>
      <c r="E640" s="193"/>
      <c r="F640" s="193"/>
      <c r="G640" s="193"/>
      <c r="H640" s="193"/>
      <c r="I640" s="193"/>
    </row>
    <row r="641" spans="1:9" ht="15.6">
      <c r="A641" s="193"/>
      <c r="B641" s="193"/>
      <c r="C641" s="193"/>
      <c r="D641" s="193"/>
      <c r="E641" s="193"/>
      <c r="F641" s="193"/>
      <c r="G641" s="193"/>
      <c r="H641" s="193"/>
      <c r="I641" s="193"/>
    </row>
    <row r="642" spans="1:9" ht="15.6">
      <c r="A642" s="193"/>
      <c r="B642" s="193"/>
      <c r="C642" s="193"/>
      <c r="D642" s="193"/>
      <c r="E642" s="193"/>
      <c r="F642" s="193"/>
      <c r="G642" s="193"/>
      <c r="H642" s="193"/>
      <c r="I642" s="193"/>
    </row>
    <row r="643" spans="1:9" ht="15.6">
      <c r="A643" s="193"/>
      <c r="B643" s="193"/>
      <c r="C643" s="193"/>
      <c r="D643" s="193"/>
      <c r="E643" s="193"/>
      <c r="F643" s="193"/>
      <c r="G643" s="193"/>
      <c r="H643" s="193"/>
      <c r="I643" s="193"/>
    </row>
    <row r="644" spans="1:9" ht="15.6">
      <c r="A644" s="193"/>
      <c r="B644" s="193"/>
      <c r="C644" s="193"/>
      <c r="D644" s="193"/>
      <c r="E644" s="193"/>
      <c r="F644" s="193"/>
      <c r="G644" s="193"/>
      <c r="H644" s="193"/>
      <c r="I644" s="193"/>
    </row>
    <row r="645" spans="1:9" ht="15.6">
      <c r="A645" s="193"/>
      <c r="B645" s="193"/>
      <c r="C645" s="193"/>
      <c r="D645" s="193"/>
      <c r="E645" s="193"/>
      <c r="F645" s="193"/>
      <c r="G645" s="193"/>
      <c r="H645" s="193"/>
      <c r="I645" s="193"/>
    </row>
    <row r="646" spans="1:9" ht="15.6">
      <c r="A646" s="193"/>
      <c r="B646" s="193"/>
      <c r="C646" s="193"/>
      <c r="D646" s="193"/>
      <c r="E646" s="193"/>
      <c r="F646" s="193"/>
      <c r="G646" s="193"/>
      <c r="H646" s="193"/>
      <c r="I646" s="193"/>
    </row>
    <row r="647" spans="1:9" ht="15.6">
      <c r="A647" s="193"/>
      <c r="B647" s="193"/>
      <c r="C647" s="193"/>
      <c r="D647" s="193"/>
      <c r="E647" s="193"/>
      <c r="F647" s="193"/>
      <c r="G647" s="193"/>
      <c r="H647" s="193"/>
      <c r="I647" s="193"/>
    </row>
    <row r="648" spans="1:9" ht="15.6">
      <c r="A648" s="193"/>
      <c r="B648" s="193"/>
      <c r="C648" s="193"/>
      <c r="D648" s="193"/>
      <c r="E648" s="193"/>
      <c r="F648" s="193"/>
      <c r="G648" s="193"/>
      <c r="H648" s="193"/>
      <c r="I648" s="193"/>
    </row>
    <row r="649" spans="1:9" ht="15.6">
      <c r="A649" s="193"/>
      <c r="B649" s="193"/>
      <c r="C649" s="193"/>
      <c r="D649" s="193"/>
      <c r="E649" s="193"/>
      <c r="F649" s="193"/>
      <c r="G649" s="193"/>
      <c r="H649" s="193"/>
      <c r="I649" s="193"/>
    </row>
    <row r="650" spans="1:9" ht="15.6">
      <c r="A650" s="193"/>
      <c r="B650" s="193"/>
      <c r="C650" s="193"/>
      <c r="D650" s="193"/>
      <c r="E650" s="193"/>
      <c r="F650" s="193"/>
      <c r="G650" s="193"/>
      <c r="H650" s="193"/>
      <c r="I650" s="193"/>
    </row>
    <row r="651" spans="1:9" ht="15.6">
      <c r="A651" s="193"/>
      <c r="B651" s="193"/>
      <c r="C651" s="193"/>
      <c r="D651" s="193"/>
      <c r="E651" s="193"/>
      <c r="F651" s="193"/>
      <c r="G651" s="193"/>
      <c r="H651" s="193"/>
      <c r="I651" s="193"/>
    </row>
    <row r="652" spans="1:9" ht="15.6">
      <c r="A652" s="193"/>
      <c r="B652" s="193"/>
      <c r="C652" s="193"/>
      <c r="D652" s="193"/>
      <c r="E652" s="193"/>
      <c r="F652" s="193"/>
      <c r="G652" s="193"/>
      <c r="H652" s="193"/>
      <c r="I652" s="193"/>
    </row>
    <row r="653" spans="1:9" ht="15.6">
      <c r="A653" s="193"/>
      <c r="B653" s="193"/>
      <c r="C653" s="193"/>
      <c r="D653" s="193"/>
      <c r="E653" s="193"/>
      <c r="F653" s="193"/>
      <c r="G653" s="193"/>
      <c r="H653" s="193"/>
      <c r="I653" s="193"/>
    </row>
    <row r="654" spans="1:9" ht="15.6">
      <c r="A654" s="193"/>
      <c r="B654" s="193"/>
      <c r="C654" s="193"/>
      <c r="D654" s="193"/>
      <c r="E654" s="193"/>
      <c r="F654" s="193"/>
      <c r="G654" s="193"/>
      <c r="H654" s="193"/>
      <c r="I654" s="193"/>
    </row>
    <row r="655" spans="1:9" ht="15.6">
      <c r="A655" s="193"/>
      <c r="B655" s="193"/>
      <c r="C655" s="193"/>
      <c r="D655" s="193"/>
      <c r="E655" s="193"/>
      <c r="F655" s="193"/>
      <c r="G655" s="193"/>
      <c r="H655" s="193"/>
      <c r="I655" s="193"/>
    </row>
    <row r="656" spans="1:9" ht="15.6">
      <c r="A656" s="193"/>
      <c r="B656" s="193"/>
      <c r="C656" s="193"/>
      <c r="D656" s="193"/>
      <c r="E656" s="193"/>
      <c r="F656" s="193"/>
      <c r="G656" s="193"/>
      <c r="H656" s="193"/>
      <c r="I656" s="193"/>
    </row>
    <row r="657" spans="1:9" ht="15.6">
      <c r="A657" s="193"/>
      <c r="B657" s="193"/>
      <c r="C657" s="193"/>
      <c r="D657" s="193"/>
      <c r="E657" s="193"/>
      <c r="F657" s="193"/>
      <c r="G657" s="193"/>
      <c r="H657" s="193"/>
      <c r="I657" s="193"/>
    </row>
    <row r="658" spans="1:9" ht="15.6">
      <c r="A658" s="193"/>
      <c r="B658" s="193"/>
      <c r="C658" s="193"/>
      <c r="D658" s="193"/>
      <c r="E658" s="193"/>
      <c r="F658" s="193"/>
      <c r="G658" s="193"/>
      <c r="H658" s="193"/>
      <c r="I658" s="193"/>
    </row>
    <row r="659" spans="1:9" ht="15.6">
      <c r="A659" s="193"/>
      <c r="B659" s="193"/>
      <c r="C659" s="193"/>
      <c r="D659" s="193"/>
      <c r="E659" s="193"/>
      <c r="F659" s="193"/>
      <c r="G659" s="193"/>
      <c r="H659" s="193"/>
      <c r="I659" s="193"/>
    </row>
    <row r="660" spans="1:9" ht="15.6">
      <c r="A660" s="193"/>
      <c r="B660" s="193"/>
      <c r="C660" s="193"/>
      <c r="D660" s="193"/>
      <c r="E660" s="193"/>
      <c r="F660" s="193"/>
      <c r="G660" s="193"/>
      <c r="H660" s="193"/>
      <c r="I660" s="193"/>
    </row>
    <row r="661" spans="1:9" ht="15.6">
      <c r="A661" s="193"/>
      <c r="B661" s="193"/>
      <c r="C661" s="193"/>
      <c r="D661" s="193"/>
      <c r="E661" s="193"/>
      <c r="F661" s="193"/>
      <c r="G661" s="193"/>
      <c r="H661" s="193"/>
      <c r="I661" s="193"/>
    </row>
    <row r="662" spans="1:9" ht="15.6">
      <c r="A662" s="193"/>
      <c r="B662" s="193"/>
      <c r="C662" s="193"/>
      <c r="D662" s="193"/>
      <c r="E662" s="193"/>
      <c r="F662" s="193"/>
      <c r="G662" s="193"/>
      <c r="H662" s="193"/>
      <c r="I662" s="193"/>
    </row>
    <row r="663" spans="1:9" ht="15.6">
      <c r="A663" s="193"/>
      <c r="B663" s="193"/>
      <c r="C663" s="193"/>
      <c r="D663" s="193"/>
      <c r="E663" s="193"/>
      <c r="F663" s="193"/>
      <c r="G663" s="193"/>
      <c r="H663" s="193"/>
      <c r="I663" s="193"/>
    </row>
    <row r="664" spans="1:9" ht="15.6">
      <c r="A664" s="193"/>
      <c r="B664" s="193"/>
      <c r="C664" s="193"/>
      <c r="D664" s="193"/>
      <c r="E664" s="193"/>
      <c r="F664" s="193"/>
      <c r="G664" s="193"/>
      <c r="H664" s="193"/>
      <c r="I664" s="193"/>
    </row>
    <row r="665" spans="1:9" ht="15.6">
      <c r="A665" s="193"/>
      <c r="B665" s="193"/>
      <c r="C665" s="193"/>
      <c r="D665" s="193"/>
      <c r="E665" s="193"/>
      <c r="F665" s="193"/>
      <c r="G665" s="193"/>
      <c r="H665" s="193"/>
      <c r="I665" s="193"/>
    </row>
    <row r="666" spans="1:9" ht="15.6">
      <c r="A666" s="193"/>
      <c r="B666" s="193"/>
      <c r="C666" s="193"/>
      <c r="D666" s="193"/>
      <c r="E666" s="193"/>
      <c r="F666" s="193"/>
      <c r="G666" s="193"/>
      <c r="H666" s="193"/>
      <c r="I666" s="193"/>
    </row>
    <row r="667" spans="1:9" ht="15.6">
      <c r="A667" s="193"/>
      <c r="B667" s="193"/>
      <c r="C667" s="193"/>
      <c r="D667" s="193"/>
      <c r="E667" s="193"/>
      <c r="F667" s="193"/>
      <c r="G667" s="193"/>
      <c r="H667" s="193"/>
      <c r="I667" s="193"/>
    </row>
    <row r="668" spans="1:9" ht="15.6">
      <c r="A668" s="193"/>
      <c r="B668" s="193"/>
      <c r="C668" s="193"/>
      <c r="D668" s="193"/>
      <c r="E668" s="193"/>
      <c r="F668" s="193"/>
      <c r="G668" s="193"/>
      <c r="H668" s="193"/>
      <c r="I668" s="193"/>
    </row>
    <row r="669" spans="1:9" ht="15.6">
      <c r="A669" s="193"/>
      <c r="B669" s="193"/>
      <c r="C669" s="193"/>
      <c r="D669" s="193"/>
      <c r="E669" s="193"/>
      <c r="F669" s="193"/>
      <c r="G669" s="193"/>
      <c r="H669" s="193"/>
      <c r="I669" s="193"/>
    </row>
    <row r="670" spans="1:9" ht="15.6">
      <c r="A670" s="193"/>
      <c r="B670" s="193"/>
      <c r="C670" s="193"/>
      <c r="D670" s="193"/>
      <c r="E670" s="193"/>
      <c r="F670" s="193"/>
      <c r="G670" s="193"/>
      <c r="H670" s="193"/>
      <c r="I670" s="193"/>
    </row>
    <row r="671" spans="1:9" ht="15.6">
      <c r="A671" s="193"/>
      <c r="B671" s="193"/>
      <c r="C671" s="193"/>
      <c r="D671" s="193"/>
      <c r="E671" s="193"/>
      <c r="F671" s="193"/>
      <c r="G671" s="193"/>
      <c r="H671" s="193"/>
      <c r="I671" s="193"/>
    </row>
    <row r="672" spans="1:9" ht="15.6">
      <c r="A672" s="193"/>
      <c r="B672" s="193"/>
      <c r="C672" s="193"/>
      <c r="D672" s="193"/>
      <c r="E672" s="193"/>
      <c r="F672" s="193"/>
      <c r="G672" s="193"/>
      <c r="H672" s="193"/>
      <c r="I672" s="193"/>
    </row>
    <row r="673" spans="1:9" ht="15.6">
      <c r="A673" s="193"/>
      <c r="B673" s="193"/>
      <c r="C673" s="193"/>
      <c r="D673" s="193"/>
      <c r="E673" s="193"/>
      <c r="F673" s="193"/>
      <c r="G673" s="193"/>
      <c r="H673" s="193"/>
      <c r="I673" s="193"/>
    </row>
    <row r="674" spans="1:9" ht="15.6">
      <c r="A674" s="193"/>
      <c r="B674" s="193"/>
      <c r="C674" s="193"/>
      <c r="D674" s="193"/>
      <c r="E674" s="193"/>
      <c r="F674" s="193"/>
      <c r="G674" s="193"/>
      <c r="H674" s="193"/>
      <c r="I674" s="193"/>
    </row>
    <row r="675" spans="1:9" ht="15.6">
      <c r="A675" s="193"/>
      <c r="B675" s="193"/>
      <c r="C675" s="193"/>
      <c r="D675" s="193"/>
      <c r="E675" s="193"/>
      <c r="F675" s="193"/>
      <c r="G675" s="193"/>
      <c r="H675" s="193"/>
      <c r="I675" s="193"/>
    </row>
    <row r="676" spans="1:9" ht="15.6">
      <c r="A676" s="193"/>
      <c r="B676" s="193"/>
      <c r="C676" s="193"/>
      <c r="D676" s="193"/>
      <c r="E676" s="193"/>
      <c r="F676" s="193"/>
      <c r="G676" s="193"/>
      <c r="H676" s="193"/>
      <c r="I676" s="193"/>
    </row>
    <row r="677" spans="1:9" ht="15.6">
      <c r="A677" s="193"/>
      <c r="B677" s="193"/>
      <c r="C677" s="193"/>
      <c r="D677" s="193"/>
      <c r="E677" s="193"/>
      <c r="F677" s="193"/>
      <c r="G677" s="193"/>
      <c r="H677" s="193"/>
      <c r="I677" s="193"/>
    </row>
    <row r="678" spans="1:9" ht="15.6">
      <c r="A678" s="193"/>
      <c r="B678" s="193"/>
      <c r="C678" s="193"/>
      <c r="D678" s="193"/>
      <c r="E678" s="193"/>
      <c r="F678" s="193"/>
      <c r="G678" s="193"/>
      <c r="H678" s="193"/>
      <c r="I678" s="193"/>
    </row>
    <row r="679" spans="1:9" ht="15.6">
      <c r="A679" s="193"/>
      <c r="B679" s="193"/>
      <c r="C679" s="193"/>
      <c r="D679" s="193"/>
      <c r="E679" s="193"/>
      <c r="F679" s="193"/>
      <c r="G679" s="193"/>
      <c r="H679" s="193"/>
      <c r="I679" s="193"/>
    </row>
    <row r="680" spans="1:9" ht="15.6">
      <c r="A680" s="193"/>
      <c r="B680" s="193"/>
      <c r="C680" s="193"/>
      <c r="D680" s="193"/>
      <c r="E680" s="193"/>
      <c r="F680" s="193"/>
      <c r="G680" s="193"/>
      <c r="H680" s="193"/>
      <c r="I680" s="193"/>
    </row>
    <row r="681" spans="1:9" ht="15.6">
      <c r="A681" s="193"/>
      <c r="B681" s="193"/>
      <c r="C681" s="193"/>
      <c r="D681" s="193"/>
      <c r="E681" s="193"/>
      <c r="F681" s="193"/>
      <c r="G681" s="193"/>
      <c r="H681" s="193"/>
      <c r="I681" s="193"/>
    </row>
    <row r="682" spans="1:9" ht="15.6">
      <c r="A682" s="193"/>
      <c r="B682" s="193"/>
      <c r="C682" s="193"/>
      <c r="D682" s="193"/>
      <c r="E682" s="193"/>
      <c r="F682" s="193"/>
      <c r="G682" s="193"/>
      <c r="H682" s="193"/>
      <c r="I682" s="193"/>
    </row>
    <row r="683" spans="1:9" ht="15.6">
      <c r="A683" s="193"/>
      <c r="B683" s="193"/>
      <c r="C683" s="193"/>
      <c r="D683" s="193"/>
      <c r="E683" s="193"/>
      <c r="F683" s="193"/>
      <c r="G683" s="193"/>
      <c r="H683" s="193"/>
      <c r="I683" s="193"/>
    </row>
    <row r="684" spans="1:9" ht="15.6">
      <c r="A684" s="193"/>
      <c r="B684" s="193"/>
      <c r="C684" s="193"/>
      <c r="D684" s="193"/>
      <c r="E684" s="193"/>
      <c r="F684" s="193"/>
      <c r="G684" s="193"/>
      <c r="H684" s="193"/>
      <c r="I684" s="193"/>
    </row>
    <row r="685" spans="1:9" ht="15.6">
      <c r="A685" s="193"/>
      <c r="B685" s="193"/>
      <c r="C685" s="193"/>
      <c r="D685" s="193"/>
      <c r="E685" s="193"/>
      <c r="F685" s="193"/>
      <c r="G685" s="193"/>
      <c r="H685" s="193"/>
      <c r="I685" s="193"/>
    </row>
    <row r="686" spans="1:9" ht="15.6">
      <c r="A686" s="193"/>
      <c r="B686" s="193"/>
      <c r="C686" s="193"/>
      <c r="D686" s="193"/>
      <c r="E686" s="193"/>
      <c r="F686" s="193"/>
      <c r="G686" s="193"/>
      <c r="H686" s="193"/>
      <c r="I686" s="193"/>
    </row>
    <row r="687" spans="1:9" ht="15.6">
      <c r="A687" s="193"/>
      <c r="B687" s="193"/>
      <c r="C687" s="193"/>
      <c r="D687" s="193"/>
      <c r="E687" s="193"/>
      <c r="F687" s="193"/>
      <c r="G687" s="193"/>
      <c r="H687" s="193"/>
      <c r="I687" s="193"/>
    </row>
    <row r="688" spans="1:9" ht="15.6">
      <c r="A688" s="193"/>
      <c r="B688" s="193"/>
      <c r="C688" s="193"/>
      <c r="D688" s="193"/>
      <c r="E688" s="193"/>
      <c r="F688" s="193"/>
      <c r="G688" s="193"/>
      <c r="H688" s="193"/>
      <c r="I688" s="193"/>
    </row>
    <row r="689" spans="1:9" ht="15.6">
      <c r="A689" s="193"/>
      <c r="B689" s="193"/>
      <c r="C689" s="193"/>
      <c r="D689" s="193"/>
      <c r="E689" s="193"/>
      <c r="F689" s="193"/>
      <c r="G689" s="193"/>
      <c r="H689" s="193"/>
      <c r="I689" s="193"/>
    </row>
    <row r="690" spans="1:9" ht="15.6">
      <c r="A690" s="193"/>
      <c r="B690" s="193"/>
      <c r="C690" s="193"/>
      <c r="D690" s="193"/>
      <c r="E690" s="193"/>
      <c r="F690" s="193"/>
      <c r="G690" s="193"/>
      <c r="H690" s="193"/>
      <c r="I690" s="193"/>
    </row>
    <row r="691" spans="1:9" ht="15.6">
      <c r="A691" s="193"/>
      <c r="B691" s="193"/>
      <c r="C691" s="193"/>
      <c r="D691" s="193"/>
      <c r="E691" s="193"/>
      <c r="F691" s="193"/>
      <c r="G691" s="193"/>
      <c r="H691" s="193"/>
      <c r="I691" s="193"/>
    </row>
    <row r="692" spans="1:9" ht="15.6">
      <c r="A692" s="193"/>
      <c r="B692" s="193"/>
      <c r="C692" s="193"/>
      <c r="D692" s="193"/>
      <c r="E692" s="193"/>
      <c r="F692" s="193"/>
      <c r="G692" s="193"/>
      <c r="H692" s="193"/>
      <c r="I692" s="193"/>
    </row>
    <row r="693" spans="1:9" ht="15.6">
      <c r="A693" s="193"/>
      <c r="B693" s="193"/>
      <c r="C693" s="193"/>
      <c r="D693" s="193"/>
      <c r="E693" s="193"/>
      <c r="F693" s="193"/>
      <c r="G693" s="193"/>
      <c r="H693" s="193"/>
      <c r="I693" s="193"/>
    </row>
    <row r="694" spans="1:9" ht="15.6">
      <c r="A694" s="193"/>
      <c r="B694" s="193"/>
      <c r="C694" s="193"/>
      <c r="D694" s="193"/>
      <c r="E694" s="193"/>
      <c r="F694" s="193"/>
      <c r="G694" s="193"/>
      <c r="H694" s="193"/>
      <c r="I694" s="193"/>
    </row>
    <row r="695" spans="1:9" ht="15.6">
      <c r="A695" s="193"/>
      <c r="B695" s="193"/>
      <c r="C695" s="193"/>
      <c r="D695" s="193"/>
      <c r="E695" s="193"/>
      <c r="F695" s="193"/>
      <c r="G695" s="193"/>
      <c r="H695" s="193"/>
      <c r="I695" s="193"/>
    </row>
    <row r="696" spans="1:9" ht="15.6">
      <c r="A696" s="193"/>
      <c r="B696" s="193"/>
      <c r="C696" s="193"/>
      <c r="D696" s="193"/>
      <c r="E696" s="193"/>
      <c r="F696" s="193"/>
      <c r="G696" s="193"/>
      <c r="H696" s="193"/>
      <c r="I696" s="193"/>
    </row>
    <row r="697" spans="1:9" ht="15.6">
      <c r="A697" s="193"/>
      <c r="B697" s="193"/>
      <c r="C697" s="193"/>
      <c r="D697" s="193"/>
      <c r="E697" s="193"/>
      <c r="F697" s="193"/>
      <c r="G697" s="193"/>
      <c r="H697" s="193"/>
      <c r="I697" s="193"/>
    </row>
    <row r="698" spans="1:9" ht="15.6">
      <c r="A698" s="193"/>
      <c r="B698" s="193"/>
      <c r="C698" s="193"/>
      <c r="D698" s="193"/>
      <c r="E698" s="193"/>
      <c r="F698" s="193"/>
      <c r="G698" s="193"/>
      <c r="H698" s="193"/>
      <c r="I698" s="193"/>
    </row>
    <row r="699" spans="1:9" ht="15.6">
      <c r="A699" s="193"/>
      <c r="B699" s="193"/>
      <c r="C699" s="193"/>
      <c r="D699" s="193"/>
      <c r="E699" s="193"/>
      <c r="F699" s="193"/>
      <c r="G699" s="193"/>
      <c r="H699" s="193"/>
      <c r="I699" s="193"/>
    </row>
    <row r="700" spans="1:9" ht="15.6">
      <c r="A700" s="193"/>
      <c r="B700" s="193"/>
      <c r="C700" s="193"/>
      <c r="D700" s="193"/>
      <c r="E700" s="193"/>
      <c r="F700" s="193"/>
      <c r="G700" s="193"/>
      <c r="H700" s="193"/>
      <c r="I700" s="193"/>
    </row>
    <row r="701" spans="1:9" ht="15.6">
      <c r="A701" s="193"/>
      <c r="B701" s="193"/>
      <c r="C701" s="193"/>
      <c r="D701" s="193"/>
      <c r="E701" s="193"/>
      <c r="F701" s="193"/>
      <c r="G701" s="193"/>
      <c r="H701" s="193"/>
      <c r="I701" s="193"/>
    </row>
    <row r="702" spans="1:9" ht="15.6">
      <c r="A702" s="193"/>
      <c r="B702" s="193"/>
      <c r="C702" s="193"/>
      <c r="D702" s="193"/>
      <c r="E702" s="193"/>
      <c r="F702" s="193"/>
      <c r="G702" s="193"/>
      <c r="H702" s="193"/>
      <c r="I702" s="193"/>
    </row>
    <row r="703" spans="1:9" ht="15.6">
      <c r="A703" s="193"/>
      <c r="B703" s="193"/>
      <c r="C703" s="193"/>
      <c r="D703" s="193"/>
      <c r="E703" s="193"/>
      <c r="F703" s="193"/>
      <c r="G703" s="193"/>
      <c r="H703" s="193"/>
      <c r="I703" s="193"/>
    </row>
    <row r="704" spans="1:9" ht="15.6">
      <c r="A704" s="193"/>
      <c r="B704" s="193"/>
      <c r="C704" s="193"/>
      <c r="D704" s="193"/>
      <c r="E704" s="193"/>
      <c r="F704" s="193"/>
      <c r="G704" s="193"/>
      <c r="H704" s="193"/>
      <c r="I704" s="193"/>
    </row>
    <row r="705" spans="1:9" ht="15.6">
      <c r="A705" s="193"/>
      <c r="B705" s="193"/>
      <c r="C705" s="193"/>
      <c r="D705" s="193"/>
      <c r="E705" s="193"/>
      <c r="F705" s="193"/>
      <c r="G705" s="193"/>
      <c r="H705" s="193"/>
      <c r="I705" s="193"/>
    </row>
    <row r="706" spans="1:9" ht="15.6">
      <c r="A706" s="193"/>
      <c r="B706" s="193"/>
      <c r="C706" s="193"/>
      <c r="D706" s="193"/>
      <c r="E706" s="193"/>
      <c r="F706" s="193"/>
      <c r="G706" s="193"/>
      <c r="H706" s="193"/>
      <c r="I706" s="193"/>
    </row>
    <row r="707" spans="1:9" ht="15.6">
      <c r="A707" s="193"/>
      <c r="B707" s="193"/>
      <c r="C707" s="193"/>
      <c r="D707" s="193"/>
      <c r="E707" s="193"/>
      <c r="F707" s="193"/>
      <c r="G707" s="193"/>
      <c r="H707" s="193"/>
      <c r="I707" s="193"/>
    </row>
    <row r="708" spans="1:9" ht="15.6">
      <c r="A708" s="193"/>
      <c r="B708" s="193"/>
      <c r="C708" s="193"/>
      <c r="D708" s="193"/>
      <c r="E708" s="193"/>
      <c r="F708" s="193"/>
      <c r="G708" s="193"/>
      <c r="H708" s="193"/>
      <c r="I708" s="193"/>
    </row>
    <row r="709" spans="1:9" ht="15.6">
      <c r="A709" s="193"/>
      <c r="B709" s="193"/>
      <c r="C709" s="193"/>
      <c r="D709" s="193"/>
      <c r="E709" s="193"/>
      <c r="F709" s="193"/>
      <c r="G709" s="193"/>
      <c r="H709" s="193"/>
      <c r="I709" s="193"/>
    </row>
    <row r="710" spans="1:9" ht="15.6">
      <c r="A710" s="193"/>
      <c r="B710" s="193"/>
      <c r="C710" s="193"/>
      <c r="D710" s="193"/>
      <c r="E710" s="193"/>
      <c r="F710" s="193"/>
      <c r="G710" s="193"/>
      <c r="H710" s="193"/>
      <c r="I710" s="193"/>
    </row>
    <row r="711" spans="1:9" ht="15.6">
      <c r="A711" s="193"/>
      <c r="B711" s="193"/>
      <c r="C711" s="193"/>
      <c r="D711" s="193"/>
      <c r="E711" s="193"/>
      <c r="F711" s="193"/>
      <c r="G711" s="193"/>
      <c r="H711" s="193"/>
      <c r="I711" s="193"/>
    </row>
    <row r="712" spans="1:9" ht="15.6">
      <c r="A712" s="193"/>
      <c r="B712" s="193"/>
      <c r="C712" s="193"/>
      <c r="D712" s="193"/>
      <c r="E712" s="193"/>
      <c r="F712" s="193"/>
      <c r="G712" s="193"/>
      <c r="H712" s="193"/>
      <c r="I712" s="193"/>
    </row>
    <row r="713" spans="1:9" ht="15.6">
      <c r="A713" s="193"/>
      <c r="B713" s="193"/>
      <c r="C713" s="193"/>
      <c r="D713" s="193"/>
      <c r="E713" s="193"/>
      <c r="F713" s="193"/>
      <c r="G713" s="193"/>
      <c r="H713" s="193"/>
      <c r="I713" s="193"/>
    </row>
    <row r="714" spans="1:9" ht="15.6">
      <c r="A714" s="193"/>
      <c r="B714" s="193"/>
      <c r="C714" s="193"/>
      <c r="D714" s="193"/>
      <c r="E714" s="193"/>
      <c r="F714" s="193"/>
      <c r="G714" s="193"/>
      <c r="H714" s="193"/>
      <c r="I714" s="193"/>
    </row>
    <row r="715" spans="1:9" ht="15.6">
      <c r="A715" s="193"/>
      <c r="B715" s="193"/>
      <c r="C715" s="193"/>
      <c r="D715" s="193"/>
      <c r="E715" s="193"/>
      <c r="F715" s="193"/>
      <c r="G715" s="193"/>
      <c r="H715" s="193"/>
      <c r="I715" s="193"/>
    </row>
    <row r="716" spans="1:9" ht="15.6">
      <c r="A716" s="193"/>
      <c r="B716" s="193"/>
      <c r="C716" s="193"/>
      <c r="D716" s="193"/>
      <c r="E716" s="193"/>
      <c r="F716" s="193"/>
      <c r="G716" s="193"/>
      <c r="H716" s="193"/>
      <c r="I716" s="193"/>
    </row>
    <row r="717" spans="1:9" ht="15.6">
      <c r="A717" s="193"/>
      <c r="B717" s="193"/>
      <c r="C717" s="193"/>
      <c r="D717" s="193"/>
      <c r="E717" s="193"/>
      <c r="F717" s="193"/>
      <c r="G717" s="193"/>
      <c r="H717" s="193"/>
      <c r="I717" s="193"/>
    </row>
    <row r="718" spans="1:9" ht="15.6">
      <c r="A718" s="193"/>
      <c r="B718" s="193"/>
      <c r="C718" s="193"/>
      <c r="D718" s="193"/>
      <c r="E718" s="193"/>
      <c r="F718" s="193"/>
      <c r="G718" s="193"/>
      <c r="H718" s="193"/>
      <c r="I718" s="193"/>
    </row>
    <row r="719" spans="1:9" ht="15.6">
      <c r="A719" s="193"/>
      <c r="B719" s="193"/>
      <c r="C719" s="193"/>
      <c r="D719" s="193"/>
      <c r="E719" s="193"/>
      <c r="F719" s="193"/>
      <c r="G719" s="193"/>
      <c r="H719" s="193"/>
      <c r="I719" s="193"/>
    </row>
    <row r="720" spans="1:9" ht="15.6">
      <c r="A720" s="193"/>
      <c r="B720" s="193"/>
      <c r="C720" s="193"/>
      <c r="D720" s="193"/>
      <c r="E720" s="193"/>
      <c r="F720" s="193"/>
      <c r="G720" s="193"/>
      <c r="H720" s="193"/>
      <c r="I720" s="193"/>
    </row>
    <row r="721" spans="1:9" ht="15.6">
      <c r="A721" s="193"/>
      <c r="B721" s="193"/>
      <c r="C721" s="193"/>
      <c r="D721" s="193"/>
      <c r="E721" s="193"/>
      <c r="F721" s="193"/>
      <c r="G721" s="193"/>
      <c r="H721" s="193"/>
      <c r="I721" s="193"/>
    </row>
    <row r="722" spans="1:9" ht="15.6">
      <c r="A722" s="193"/>
      <c r="B722" s="193"/>
      <c r="C722" s="193"/>
      <c r="D722" s="193"/>
      <c r="E722" s="193"/>
      <c r="F722" s="193"/>
      <c r="G722" s="193"/>
      <c r="H722" s="193"/>
      <c r="I722" s="193"/>
    </row>
    <row r="723" spans="1:9" ht="15.6">
      <c r="A723" s="193"/>
      <c r="B723" s="193"/>
      <c r="C723" s="193"/>
      <c r="D723" s="193"/>
      <c r="E723" s="193"/>
      <c r="F723" s="193"/>
      <c r="G723" s="193"/>
      <c r="H723" s="193"/>
      <c r="I723" s="193"/>
    </row>
    <row r="724" spans="1:9" ht="15.6">
      <c r="A724" s="193"/>
      <c r="B724" s="193"/>
      <c r="C724" s="193"/>
      <c r="D724" s="193"/>
      <c r="E724" s="193"/>
      <c r="F724" s="193"/>
      <c r="G724" s="193"/>
      <c r="H724" s="193"/>
      <c r="I724" s="193"/>
    </row>
    <row r="725" spans="1:9" ht="15.6">
      <c r="A725" s="193"/>
      <c r="B725" s="193"/>
      <c r="C725" s="193"/>
      <c r="D725" s="193"/>
      <c r="E725" s="193"/>
      <c r="F725" s="193"/>
      <c r="G725" s="193"/>
      <c r="H725" s="193"/>
      <c r="I725" s="193"/>
    </row>
    <row r="726" spans="1:9" ht="15.6">
      <c r="A726" s="193"/>
      <c r="B726" s="193"/>
      <c r="C726" s="193"/>
      <c r="D726" s="193"/>
      <c r="E726" s="193"/>
      <c r="F726" s="193"/>
      <c r="G726" s="193"/>
      <c r="H726" s="193"/>
      <c r="I726" s="193"/>
    </row>
    <row r="727" spans="1:9" ht="15.6">
      <c r="A727" s="193"/>
      <c r="B727" s="193"/>
      <c r="C727" s="193"/>
      <c r="D727" s="193"/>
      <c r="E727" s="193"/>
      <c r="F727" s="193"/>
      <c r="G727" s="193"/>
      <c r="H727" s="193"/>
      <c r="I727" s="193"/>
    </row>
    <row r="728" spans="1:9" ht="15.6">
      <c r="A728" s="193"/>
      <c r="B728" s="193"/>
      <c r="C728" s="193"/>
      <c r="D728" s="193"/>
      <c r="E728" s="193"/>
      <c r="F728" s="193"/>
      <c r="G728" s="193"/>
      <c r="H728" s="193"/>
      <c r="I728" s="193"/>
    </row>
    <row r="729" spans="1:9" ht="15.6">
      <c r="A729" s="193"/>
      <c r="B729" s="193"/>
      <c r="C729" s="193"/>
      <c r="D729" s="193"/>
      <c r="E729" s="193"/>
      <c r="F729" s="193"/>
      <c r="G729" s="193"/>
      <c r="H729" s="193"/>
      <c r="I729" s="193"/>
    </row>
    <row r="730" spans="1:9" ht="15.6">
      <c r="A730" s="193"/>
      <c r="B730" s="193"/>
      <c r="C730" s="193"/>
      <c r="D730" s="193"/>
      <c r="E730" s="193"/>
      <c r="F730" s="193"/>
      <c r="G730" s="193"/>
      <c r="H730" s="193"/>
      <c r="I730" s="193"/>
    </row>
    <row r="731" spans="1:9" ht="15.6">
      <c r="A731" s="193"/>
      <c r="B731" s="193"/>
      <c r="C731" s="193"/>
      <c r="D731" s="193"/>
      <c r="E731" s="193"/>
      <c r="F731" s="193"/>
      <c r="G731" s="193"/>
      <c r="H731" s="193"/>
      <c r="I731" s="193"/>
    </row>
    <row r="732" spans="1:9" ht="15.6">
      <c r="A732" s="193"/>
      <c r="B732" s="193"/>
      <c r="C732" s="193"/>
      <c r="D732" s="193"/>
      <c r="E732" s="193"/>
      <c r="F732" s="193"/>
      <c r="G732" s="193"/>
      <c r="H732" s="193"/>
      <c r="I732" s="193"/>
    </row>
    <row r="733" spans="1:9" ht="15.6">
      <c r="A733" s="193"/>
      <c r="B733" s="193"/>
      <c r="C733" s="193"/>
      <c r="D733" s="193"/>
      <c r="E733" s="193"/>
      <c r="F733" s="193"/>
      <c r="G733" s="193"/>
      <c r="H733" s="193"/>
      <c r="I733" s="193"/>
    </row>
    <row r="734" spans="1:9" ht="15.6">
      <c r="A734" s="193"/>
      <c r="B734" s="193"/>
      <c r="C734" s="193"/>
      <c r="D734" s="193"/>
      <c r="E734" s="193"/>
      <c r="F734" s="193"/>
      <c r="G734" s="193"/>
      <c r="H734" s="193"/>
      <c r="I734" s="193"/>
    </row>
    <row r="735" spans="1:9" ht="15.6">
      <c r="A735" s="193"/>
      <c r="B735" s="193"/>
      <c r="C735" s="193"/>
      <c r="D735" s="193"/>
      <c r="E735" s="193"/>
      <c r="F735" s="193"/>
      <c r="G735" s="193"/>
      <c r="H735" s="193"/>
      <c r="I735" s="193"/>
    </row>
    <row r="736" spans="1:9" ht="15.6">
      <c r="A736" s="193"/>
      <c r="B736" s="193"/>
      <c r="C736" s="193"/>
      <c r="D736" s="193"/>
      <c r="E736" s="193"/>
      <c r="F736" s="193"/>
      <c r="G736" s="193"/>
      <c r="H736" s="193"/>
      <c r="I736" s="193"/>
    </row>
    <row r="737" spans="1:9" ht="15.6">
      <c r="A737" s="193"/>
      <c r="B737" s="193"/>
      <c r="C737" s="193"/>
      <c r="D737" s="193"/>
      <c r="E737" s="193"/>
      <c r="F737" s="193"/>
      <c r="G737" s="193"/>
      <c r="H737" s="193"/>
      <c r="I737" s="193"/>
    </row>
    <row r="738" spans="1:9" ht="15.6">
      <c r="A738" s="193"/>
      <c r="B738" s="193"/>
      <c r="C738" s="193"/>
      <c r="D738" s="193"/>
      <c r="E738" s="193"/>
      <c r="F738" s="193"/>
      <c r="G738" s="193"/>
      <c r="H738" s="193"/>
      <c r="I738" s="193"/>
    </row>
    <row r="739" spans="1:9" ht="15.6">
      <c r="A739" s="193"/>
      <c r="B739" s="193"/>
      <c r="C739" s="193"/>
      <c r="D739" s="193"/>
      <c r="E739" s="193"/>
      <c r="F739" s="193"/>
      <c r="G739" s="193"/>
      <c r="H739" s="193"/>
      <c r="I739" s="193"/>
    </row>
    <row r="740" spans="1:9" ht="15.6">
      <c r="A740" s="193"/>
      <c r="B740" s="193"/>
      <c r="C740" s="193"/>
      <c r="D740" s="193"/>
      <c r="E740" s="193"/>
      <c r="F740" s="193"/>
      <c r="G740" s="193"/>
      <c r="H740" s="193"/>
      <c r="I740" s="193"/>
    </row>
    <row r="741" spans="1:9" ht="15.6">
      <c r="A741" s="193"/>
      <c r="B741" s="193"/>
      <c r="C741" s="193"/>
      <c r="D741" s="193"/>
      <c r="E741" s="193"/>
      <c r="F741" s="193"/>
      <c r="G741" s="193"/>
      <c r="H741" s="193"/>
      <c r="I741" s="193"/>
    </row>
    <row r="742" spans="1:9" ht="15.6">
      <c r="A742" s="193"/>
      <c r="B742" s="193"/>
      <c r="C742" s="193"/>
      <c r="D742" s="193"/>
      <c r="E742" s="193"/>
      <c r="F742" s="193"/>
      <c r="G742" s="193"/>
      <c r="H742" s="193"/>
      <c r="I742" s="193"/>
    </row>
    <row r="743" spans="1:9" ht="15.6">
      <c r="A743" s="193"/>
      <c r="B743" s="193"/>
      <c r="C743" s="193"/>
      <c r="D743" s="193"/>
      <c r="E743" s="193"/>
      <c r="F743" s="193"/>
      <c r="G743" s="193"/>
      <c r="H743" s="193"/>
      <c r="I743" s="193"/>
    </row>
    <row r="744" spans="1:9" ht="15.6">
      <c r="A744" s="193"/>
      <c r="B744" s="193"/>
      <c r="C744" s="193"/>
      <c r="D744" s="193"/>
      <c r="E744" s="193"/>
      <c r="F744" s="193"/>
      <c r="G744" s="193"/>
      <c r="H744" s="193"/>
      <c r="I744" s="193"/>
    </row>
    <row r="745" spans="1:9" ht="15.6">
      <c r="A745" s="193"/>
      <c r="B745" s="193"/>
      <c r="C745" s="193"/>
      <c r="D745" s="193"/>
      <c r="E745" s="193"/>
      <c r="F745" s="193"/>
      <c r="G745" s="193"/>
      <c r="H745" s="193"/>
      <c r="I745" s="193"/>
    </row>
    <row r="746" spans="1:9" ht="15.6">
      <c r="A746" s="193"/>
      <c r="B746" s="193"/>
      <c r="C746" s="193"/>
      <c r="D746" s="193"/>
      <c r="E746" s="193"/>
      <c r="F746" s="193"/>
      <c r="G746" s="193"/>
      <c r="H746" s="193"/>
      <c r="I746" s="193"/>
    </row>
    <row r="747" spans="1:9" ht="15.6">
      <c r="A747" s="193"/>
      <c r="B747" s="193"/>
      <c r="C747" s="193"/>
      <c r="D747" s="193"/>
      <c r="E747" s="193"/>
      <c r="F747" s="193"/>
      <c r="G747" s="193"/>
      <c r="H747" s="193"/>
      <c r="I747" s="193"/>
    </row>
    <row r="748" spans="1:9" ht="15.6">
      <c r="A748" s="193"/>
      <c r="B748" s="193"/>
      <c r="C748" s="193"/>
      <c r="D748" s="193"/>
      <c r="E748" s="193"/>
      <c r="F748" s="193"/>
      <c r="G748" s="193"/>
      <c r="H748" s="193"/>
      <c r="I748" s="193"/>
    </row>
    <row r="749" spans="1:9" ht="15.6">
      <c r="A749" s="193"/>
      <c r="B749" s="193"/>
      <c r="C749" s="193"/>
      <c r="D749" s="193"/>
      <c r="E749" s="193"/>
      <c r="F749" s="193"/>
      <c r="G749" s="193"/>
      <c r="H749" s="193"/>
      <c r="I749" s="193"/>
    </row>
    <row r="750" spans="1:9" ht="15.6">
      <c r="A750" s="193"/>
      <c r="B750" s="193"/>
      <c r="C750" s="193"/>
      <c r="D750" s="193"/>
      <c r="E750" s="193"/>
      <c r="F750" s="193"/>
      <c r="G750" s="193"/>
      <c r="H750" s="193"/>
      <c r="I750" s="193"/>
    </row>
    <row r="751" spans="1:9" ht="15.6">
      <c r="A751" s="193"/>
      <c r="B751" s="193"/>
      <c r="C751" s="193"/>
      <c r="D751" s="193"/>
      <c r="E751" s="193"/>
      <c r="F751" s="193"/>
      <c r="G751" s="193"/>
      <c r="H751" s="193"/>
      <c r="I751" s="193"/>
    </row>
    <row r="752" spans="1:9" ht="15.6">
      <c r="A752" s="193"/>
      <c r="B752" s="193"/>
      <c r="C752" s="193"/>
      <c r="D752" s="193"/>
      <c r="E752" s="193"/>
      <c r="F752" s="193"/>
      <c r="G752" s="193"/>
      <c r="H752" s="193"/>
      <c r="I752" s="193"/>
    </row>
    <row r="753" spans="1:9" ht="15.6">
      <c r="A753" s="193"/>
      <c r="B753" s="193"/>
      <c r="C753" s="193"/>
      <c r="D753" s="193"/>
      <c r="E753" s="193"/>
      <c r="F753" s="193"/>
      <c r="G753" s="193"/>
      <c r="H753" s="193"/>
      <c r="I753" s="193"/>
    </row>
    <row r="754" spans="1:9" ht="15.6">
      <c r="A754" s="193"/>
      <c r="B754" s="193"/>
      <c r="C754" s="193"/>
      <c r="D754" s="193"/>
      <c r="E754" s="193"/>
      <c r="F754" s="193"/>
      <c r="G754" s="193"/>
      <c r="H754" s="193"/>
      <c r="I754" s="193"/>
    </row>
    <row r="755" spans="1:9" ht="15.6">
      <c r="A755" s="193"/>
      <c r="B755" s="193"/>
      <c r="C755" s="193"/>
      <c r="D755" s="193"/>
      <c r="E755" s="193"/>
      <c r="F755" s="193"/>
      <c r="G755" s="193"/>
      <c r="H755" s="193"/>
      <c r="I755" s="193"/>
    </row>
    <row r="756" spans="1:9" ht="15.6">
      <c r="A756" s="193"/>
      <c r="B756" s="193"/>
      <c r="C756" s="193"/>
      <c r="D756" s="193"/>
      <c r="E756" s="193"/>
      <c r="F756" s="193"/>
      <c r="G756" s="193"/>
      <c r="H756" s="193"/>
      <c r="I756" s="193"/>
    </row>
    <row r="757" spans="1:9" ht="15.6">
      <c r="A757" s="193"/>
      <c r="B757" s="193"/>
      <c r="C757" s="193"/>
      <c r="D757" s="193"/>
      <c r="E757" s="193"/>
      <c r="F757" s="193"/>
      <c r="G757" s="193"/>
      <c r="H757" s="193"/>
      <c r="I757" s="193"/>
    </row>
    <row r="758" spans="1:9" ht="15.6">
      <c r="A758" s="193"/>
      <c r="B758" s="193"/>
      <c r="C758" s="193"/>
      <c r="D758" s="193"/>
      <c r="E758" s="193"/>
      <c r="F758" s="193"/>
      <c r="G758" s="193"/>
      <c r="H758" s="193"/>
      <c r="I758" s="193"/>
    </row>
    <row r="759" spans="1:9" ht="15.6">
      <c r="A759" s="193"/>
      <c r="B759" s="193"/>
      <c r="C759" s="193"/>
      <c r="D759" s="193"/>
      <c r="E759" s="193"/>
      <c r="F759" s="193"/>
      <c r="G759" s="193"/>
      <c r="H759" s="193"/>
      <c r="I759" s="193"/>
    </row>
    <row r="760" spans="1:9" ht="15.6">
      <c r="A760" s="193"/>
      <c r="B760" s="193"/>
      <c r="C760" s="193"/>
      <c r="D760" s="193"/>
      <c r="E760" s="193"/>
      <c r="F760" s="193"/>
      <c r="G760" s="193"/>
      <c r="H760" s="193"/>
      <c r="I760" s="193"/>
    </row>
    <row r="761" spans="1:9" ht="15.6">
      <c r="A761" s="193"/>
      <c r="B761" s="193"/>
      <c r="C761" s="193"/>
      <c r="D761" s="193"/>
      <c r="E761" s="193"/>
      <c r="F761" s="193"/>
      <c r="G761" s="193"/>
      <c r="H761" s="193"/>
      <c r="I761" s="193"/>
    </row>
    <row r="762" spans="1:9" ht="15.6">
      <c r="A762" s="193"/>
      <c r="B762" s="193"/>
      <c r="C762" s="193"/>
      <c r="D762" s="193"/>
      <c r="E762" s="193"/>
      <c r="F762" s="193"/>
      <c r="G762" s="193"/>
      <c r="H762" s="193"/>
      <c r="I762" s="193"/>
    </row>
    <row r="763" spans="1:9" ht="15.6">
      <c r="A763" s="193"/>
      <c r="B763" s="193"/>
      <c r="C763" s="193"/>
      <c r="D763" s="193"/>
      <c r="E763" s="193"/>
      <c r="F763" s="193"/>
      <c r="G763" s="193"/>
      <c r="H763" s="193"/>
      <c r="I763" s="193"/>
    </row>
    <row r="764" spans="1:9" ht="15.6">
      <c r="A764" s="193"/>
      <c r="B764" s="193"/>
      <c r="C764" s="193"/>
      <c r="D764" s="193"/>
      <c r="E764" s="193"/>
      <c r="F764" s="193"/>
      <c r="G764" s="193"/>
      <c r="H764" s="193"/>
      <c r="I764" s="193"/>
    </row>
    <row r="765" spans="1:9" ht="15.6">
      <c r="A765" s="193"/>
      <c r="B765" s="193"/>
      <c r="C765" s="193"/>
      <c r="D765" s="193"/>
      <c r="E765" s="193"/>
      <c r="F765" s="193"/>
      <c r="G765" s="193"/>
      <c r="H765" s="193"/>
      <c r="I765" s="193"/>
    </row>
    <row r="766" spans="1:9" ht="15.6">
      <c r="A766" s="193"/>
      <c r="B766" s="193"/>
      <c r="C766" s="193"/>
      <c r="D766" s="193"/>
      <c r="E766" s="193"/>
      <c r="F766" s="193"/>
      <c r="G766" s="193"/>
      <c r="H766" s="193"/>
      <c r="I766" s="193"/>
    </row>
    <row r="767" spans="1:9" ht="15.6">
      <c r="A767" s="193"/>
      <c r="B767" s="193"/>
      <c r="C767" s="193"/>
      <c r="D767" s="193"/>
      <c r="E767" s="193"/>
      <c r="F767" s="193"/>
      <c r="G767" s="193"/>
      <c r="H767" s="193"/>
      <c r="I767" s="193"/>
    </row>
    <row r="768" spans="1:9" ht="15.6">
      <c r="A768" s="193"/>
      <c r="B768" s="193"/>
      <c r="C768" s="193"/>
      <c r="D768" s="193"/>
      <c r="E768" s="193"/>
      <c r="F768" s="193"/>
      <c r="G768" s="193"/>
      <c r="H768" s="193"/>
      <c r="I768" s="193"/>
    </row>
    <row r="769" spans="1:9" ht="15.6">
      <c r="A769" s="193"/>
      <c r="B769" s="193"/>
      <c r="C769" s="193"/>
      <c r="D769" s="193"/>
      <c r="E769" s="193"/>
      <c r="F769" s="193"/>
      <c r="G769" s="193"/>
      <c r="H769" s="193"/>
      <c r="I769" s="193"/>
    </row>
    <row r="770" spans="1:9" ht="15.6">
      <c r="A770" s="193"/>
      <c r="B770" s="193"/>
      <c r="C770" s="193"/>
      <c r="D770" s="193"/>
      <c r="E770" s="193"/>
      <c r="F770" s="193"/>
      <c r="G770" s="193"/>
      <c r="H770" s="193"/>
      <c r="I770" s="193"/>
    </row>
    <row r="771" spans="1:9" ht="15.6">
      <c r="A771" s="193"/>
      <c r="B771" s="193"/>
      <c r="C771" s="193"/>
      <c r="D771" s="193"/>
      <c r="E771" s="193"/>
      <c r="F771" s="193"/>
      <c r="G771" s="193"/>
      <c r="H771" s="193"/>
      <c r="I771" s="193"/>
    </row>
    <row r="772" spans="1:9" ht="15.6">
      <c r="A772" s="193"/>
      <c r="B772" s="193"/>
      <c r="C772" s="193"/>
      <c r="D772" s="193"/>
      <c r="E772" s="193"/>
      <c r="F772" s="193"/>
      <c r="G772" s="193"/>
      <c r="H772" s="193"/>
      <c r="I772" s="193"/>
    </row>
    <row r="773" spans="1:9" ht="15.6">
      <c r="A773" s="193"/>
      <c r="B773" s="193"/>
      <c r="C773" s="193"/>
      <c r="D773" s="193"/>
      <c r="E773" s="193"/>
      <c r="F773" s="193"/>
      <c r="G773" s="193"/>
      <c r="H773" s="193"/>
      <c r="I773" s="193"/>
    </row>
    <row r="774" spans="1:9" ht="15.6">
      <c r="A774" s="193"/>
      <c r="B774" s="193"/>
      <c r="C774" s="193"/>
      <c r="D774" s="193"/>
      <c r="E774" s="193"/>
      <c r="F774" s="193"/>
      <c r="G774" s="193"/>
      <c r="H774" s="193"/>
      <c r="I774" s="193"/>
    </row>
    <row r="775" spans="1:9" ht="15.6">
      <c r="A775" s="193"/>
      <c r="B775" s="193"/>
      <c r="C775" s="193"/>
      <c r="D775" s="193"/>
      <c r="E775" s="193"/>
      <c r="F775" s="193"/>
      <c r="G775" s="193"/>
      <c r="H775" s="193"/>
      <c r="I775" s="193"/>
    </row>
    <row r="776" spans="1:9" ht="15.6">
      <c r="A776" s="193"/>
      <c r="B776" s="193"/>
      <c r="C776" s="193"/>
      <c r="D776" s="193"/>
      <c r="E776" s="193"/>
      <c r="F776" s="193"/>
      <c r="G776" s="193"/>
      <c r="H776" s="193"/>
      <c r="I776" s="193"/>
    </row>
    <row r="777" spans="1:9" ht="15.6">
      <c r="A777" s="193"/>
      <c r="B777" s="193"/>
      <c r="C777" s="193"/>
      <c r="D777" s="193"/>
      <c r="E777" s="193"/>
      <c r="F777" s="193"/>
      <c r="G777" s="193"/>
      <c r="H777" s="193"/>
      <c r="I777" s="193"/>
    </row>
    <row r="778" spans="1:9" ht="15.6">
      <c r="A778" s="193"/>
      <c r="B778" s="193"/>
      <c r="C778" s="193"/>
      <c r="D778" s="193"/>
      <c r="E778" s="193"/>
      <c r="F778" s="193"/>
      <c r="G778" s="193"/>
      <c r="H778" s="193"/>
      <c r="I778" s="193"/>
    </row>
    <row r="779" spans="1:9" ht="15.6">
      <c r="A779" s="193"/>
      <c r="B779" s="193"/>
      <c r="C779" s="193"/>
      <c r="D779" s="193"/>
      <c r="E779" s="193"/>
      <c r="F779" s="193"/>
      <c r="G779" s="193"/>
      <c r="H779" s="193"/>
      <c r="I779" s="193"/>
    </row>
    <row r="780" spans="1:9" ht="15.6">
      <c r="A780" s="193"/>
      <c r="B780" s="193"/>
      <c r="C780" s="193"/>
      <c r="D780" s="193"/>
      <c r="E780" s="193"/>
      <c r="F780" s="193"/>
      <c r="G780" s="193"/>
      <c r="H780" s="193"/>
      <c r="I780" s="193"/>
    </row>
    <row r="781" spans="1:9" ht="15.6">
      <c r="A781" s="193"/>
      <c r="B781" s="193"/>
      <c r="C781" s="193"/>
      <c r="D781" s="193"/>
      <c r="E781" s="193"/>
      <c r="F781" s="193"/>
      <c r="G781" s="193"/>
      <c r="H781" s="193"/>
      <c r="I781" s="193"/>
    </row>
    <row r="782" spans="1:9" ht="15.6">
      <c r="A782" s="193"/>
      <c r="B782" s="193"/>
      <c r="C782" s="193"/>
      <c r="D782" s="193"/>
      <c r="E782" s="193"/>
      <c r="F782" s="193"/>
      <c r="G782" s="193"/>
      <c r="H782" s="193"/>
      <c r="I782" s="193"/>
    </row>
    <row r="783" spans="1:9" ht="15.6">
      <c r="A783" s="193"/>
      <c r="B783" s="193"/>
      <c r="C783" s="193"/>
      <c r="D783" s="193"/>
      <c r="E783" s="193"/>
      <c r="F783" s="193"/>
      <c r="G783" s="193"/>
      <c r="H783" s="193"/>
      <c r="I783" s="193"/>
    </row>
    <row r="784" spans="1:9" ht="15.6">
      <c r="A784" s="193"/>
      <c r="B784" s="193"/>
      <c r="C784" s="193"/>
      <c r="D784" s="193"/>
      <c r="E784" s="193"/>
      <c r="F784" s="193"/>
      <c r="G784" s="193"/>
      <c r="H784" s="193"/>
      <c r="I784" s="193"/>
    </row>
    <row r="785" spans="1:9" ht="15.6">
      <c r="A785" s="193"/>
      <c r="B785" s="193"/>
      <c r="C785" s="193"/>
      <c r="D785" s="193"/>
      <c r="E785" s="193"/>
      <c r="F785" s="193"/>
      <c r="G785" s="193"/>
      <c r="H785" s="193"/>
      <c r="I785" s="193"/>
    </row>
    <row r="786" spans="1:9" ht="15.6">
      <c r="A786" s="193"/>
      <c r="B786" s="193"/>
      <c r="C786" s="193"/>
      <c r="D786" s="193"/>
      <c r="E786" s="193"/>
      <c r="F786" s="193"/>
      <c r="G786" s="193"/>
      <c r="H786" s="193"/>
      <c r="I786" s="193"/>
    </row>
    <row r="787" spans="1:9" ht="15.6">
      <c r="A787" s="193"/>
      <c r="B787" s="193"/>
      <c r="C787" s="193"/>
      <c r="D787" s="193"/>
      <c r="E787" s="193"/>
      <c r="F787" s="193"/>
      <c r="G787" s="193"/>
      <c r="H787" s="193"/>
      <c r="I787" s="193"/>
    </row>
    <row r="788" spans="1:9" ht="15.6">
      <c r="A788" s="193"/>
      <c r="B788" s="193"/>
      <c r="C788" s="193"/>
      <c r="D788" s="193"/>
      <c r="E788" s="193"/>
      <c r="F788" s="193"/>
      <c r="G788" s="193"/>
      <c r="H788" s="193"/>
      <c r="I788" s="193"/>
    </row>
    <row r="789" spans="1:9" ht="15.6">
      <c r="A789" s="193"/>
      <c r="B789" s="193"/>
      <c r="C789" s="193"/>
      <c r="D789" s="193"/>
      <c r="E789" s="193"/>
      <c r="F789" s="193"/>
      <c r="G789" s="193"/>
      <c r="H789" s="193"/>
      <c r="I789" s="193"/>
    </row>
    <row r="790" spans="1:9" ht="15.6">
      <c r="A790" s="193"/>
      <c r="B790" s="193"/>
      <c r="C790" s="193"/>
      <c r="D790" s="193"/>
      <c r="E790" s="193"/>
      <c r="F790" s="193"/>
      <c r="G790" s="193"/>
      <c r="H790" s="193"/>
      <c r="I790" s="193"/>
    </row>
    <row r="791" spans="1:9" ht="15.6">
      <c r="A791" s="193"/>
      <c r="B791" s="193"/>
      <c r="C791" s="193"/>
      <c r="D791" s="193"/>
      <c r="E791" s="193"/>
      <c r="F791" s="193"/>
      <c r="G791" s="193"/>
      <c r="H791" s="193"/>
      <c r="I791" s="193"/>
    </row>
    <row r="792" spans="1:9" ht="15.6">
      <c r="A792" s="193"/>
      <c r="B792" s="193"/>
      <c r="C792" s="193"/>
      <c r="D792" s="193"/>
      <c r="E792" s="193"/>
      <c r="F792" s="193"/>
      <c r="G792" s="193"/>
      <c r="H792" s="193"/>
      <c r="I792" s="193"/>
    </row>
    <row r="793" spans="1:9" ht="15.6">
      <c r="A793" s="193"/>
      <c r="B793" s="193"/>
      <c r="C793" s="193"/>
      <c r="D793" s="193"/>
      <c r="E793" s="193"/>
      <c r="F793" s="193"/>
      <c r="G793" s="193"/>
      <c r="H793" s="193"/>
      <c r="I793" s="193"/>
    </row>
    <row r="794" spans="1:9" ht="15.6">
      <c r="A794" s="193"/>
      <c r="B794" s="193"/>
      <c r="C794" s="193"/>
      <c r="D794" s="193"/>
      <c r="E794" s="193"/>
      <c r="F794" s="193"/>
      <c r="G794" s="193"/>
      <c r="H794" s="193"/>
      <c r="I794" s="193"/>
    </row>
    <row r="795" spans="1:9" ht="15.6">
      <c r="A795" s="193"/>
      <c r="B795" s="193"/>
      <c r="C795" s="193"/>
      <c r="D795" s="193"/>
      <c r="E795" s="193"/>
      <c r="F795" s="193"/>
      <c r="G795" s="193"/>
      <c r="H795" s="193"/>
      <c r="I795" s="193"/>
    </row>
    <row r="796" spans="1:9" ht="15.6">
      <c r="A796" s="193"/>
      <c r="B796" s="193"/>
      <c r="C796" s="193"/>
      <c r="D796" s="193"/>
      <c r="E796" s="193"/>
      <c r="F796" s="193"/>
      <c r="G796" s="193"/>
      <c r="H796" s="193"/>
      <c r="I796" s="193"/>
    </row>
    <row r="797" spans="1:9" ht="15.6">
      <c r="A797" s="193"/>
      <c r="B797" s="193"/>
      <c r="C797" s="193"/>
      <c r="D797" s="193"/>
      <c r="E797" s="193"/>
      <c r="F797" s="193"/>
      <c r="G797" s="193"/>
      <c r="H797" s="193"/>
      <c r="I797" s="193"/>
    </row>
    <row r="798" spans="1:9" ht="15.6">
      <c r="A798" s="193"/>
      <c r="B798" s="193"/>
      <c r="C798" s="193"/>
      <c r="D798" s="193"/>
      <c r="E798" s="193"/>
      <c r="F798" s="193"/>
      <c r="G798" s="193"/>
      <c r="H798" s="193"/>
      <c r="I798" s="193"/>
    </row>
    <row r="799" spans="1:9" ht="15.6">
      <c r="A799" s="193"/>
      <c r="B799" s="193"/>
      <c r="C799" s="193"/>
      <c r="D799" s="193"/>
      <c r="E799" s="193"/>
      <c r="F799" s="193"/>
      <c r="G799" s="193"/>
      <c r="H799" s="193"/>
      <c r="I799" s="193"/>
    </row>
    <row r="800" spans="1:9" ht="15.6">
      <c r="A800" s="193"/>
      <c r="B800" s="193"/>
      <c r="C800" s="193"/>
      <c r="D800" s="193"/>
      <c r="E800" s="193"/>
      <c r="F800" s="193"/>
      <c r="G800" s="193"/>
      <c r="H800" s="193"/>
      <c r="I800" s="193"/>
    </row>
    <row r="801" spans="1:9" ht="15.6">
      <c r="A801" s="193"/>
      <c r="B801" s="193"/>
      <c r="C801" s="193"/>
      <c r="D801" s="193"/>
      <c r="E801" s="193"/>
      <c r="F801" s="193"/>
      <c r="G801" s="193"/>
      <c r="H801" s="193"/>
      <c r="I801" s="193"/>
    </row>
    <row r="802" spans="1:9" ht="15.6">
      <c r="A802" s="193"/>
      <c r="B802" s="193"/>
      <c r="C802" s="193"/>
      <c r="D802" s="193"/>
      <c r="E802" s="193"/>
      <c r="F802" s="193"/>
      <c r="G802" s="193"/>
      <c r="H802" s="193"/>
      <c r="I802" s="193"/>
    </row>
    <row r="803" spans="1:9" ht="15.6">
      <c r="A803" s="193"/>
      <c r="B803" s="193"/>
      <c r="C803" s="193"/>
      <c r="D803" s="193"/>
      <c r="E803" s="193"/>
      <c r="F803" s="193"/>
      <c r="G803" s="193"/>
      <c r="H803" s="193"/>
      <c r="I803" s="193"/>
    </row>
    <row r="804" spans="1:9" ht="15.6">
      <c r="A804" s="193"/>
      <c r="B804" s="193"/>
      <c r="C804" s="193"/>
      <c r="D804" s="193"/>
      <c r="E804" s="193"/>
      <c r="F804" s="193"/>
      <c r="G804" s="193"/>
      <c r="H804" s="193"/>
      <c r="I804" s="193"/>
    </row>
    <row r="805" spans="1:9" ht="15.6">
      <c r="A805" s="193"/>
      <c r="B805" s="193"/>
      <c r="C805" s="193"/>
      <c r="D805" s="193"/>
      <c r="E805" s="193"/>
      <c r="F805" s="193"/>
      <c r="G805" s="193"/>
      <c r="H805" s="193"/>
      <c r="I805" s="193"/>
    </row>
    <row r="806" spans="1:9" ht="15.6">
      <c r="A806" s="193"/>
      <c r="B806" s="193"/>
      <c r="C806" s="193"/>
      <c r="D806" s="193"/>
      <c r="E806" s="193"/>
      <c r="F806" s="193"/>
      <c r="G806" s="193"/>
      <c r="H806" s="193"/>
      <c r="I806" s="193"/>
    </row>
    <row r="807" spans="1:9" ht="15.6">
      <c r="A807" s="193"/>
      <c r="B807" s="193"/>
      <c r="C807" s="193"/>
      <c r="D807" s="193"/>
      <c r="E807" s="193"/>
      <c r="F807" s="193"/>
      <c r="G807" s="193"/>
      <c r="H807" s="193"/>
      <c r="I807" s="193"/>
    </row>
    <row r="808" spans="1:9" ht="15.6">
      <c r="A808" s="193"/>
      <c r="B808" s="193"/>
      <c r="C808" s="193"/>
      <c r="D808" s="193"/>
      <c r="E808" s="193"/>
      <c r="F808" s="193"/>
      <c r="G808" s="193"/>
      <c r="H808" s="193"/>
      <c r="I808" s="193"/>
    </row>
    <row r="809" spans="1:9" ht="15.6">
      <c r="A809" s="193"/>
      <c r="B809" s="193"/>
      <c r="C809" s="193"/>
      <c r="D809" s="193"/>
      <c r="E809" s="193"/>
      <c r="F809" s="193"/>
      <c r="G809" s="193"/>
      <c r="H809" s="193"/>
      <c r="I809" s="193"/>
    </row>
    <row r="810" spans="1:9" ht="15.6">
      <c r="A810" s="193"/>
      <c r="B810" s="193"/>
      <c r="C810" s="193"/>
      <c r="D810" s="193"/>
      <c r="E810" s="193"/>
      <c r="F810" s="193"/>
      <c r="G810" s="193"/>
      <c r="H810" s="193"/>
      <c r="I810" s="193"/>
    </row>
    <row r="811" spans="1:9" ht="15.6">
      <c r="A811" s="193"/>
      <c r="B811" s="193"/>
      <c r="C811" s="193"/>
      <c r="D811" s="193"/>
      <c r="E811" s="193"/>
      <c r="F811" s="193"/>
      <c r="G811" s="193"/>
      <c r="H811" s="193"/>
      <c r="I811" s="193"/>
    </row>
    <row r="812" spans="1:9" ht="15.6">
      <c r="A812" s="193"/>
      <c r="B812" s="193"/>
      <c r="C812" s="193"/>
      <c r="D812" s="193"/>
      <c r="E812" s="193"/>
      <c r="F812" s="193"/>
      <c r="G812" s="193"/>
      <c r="H812" s="193"/>
      <c r="I812" s="193"/>
    </row>
    <row r="813" spans="1:9" ht="15.6">
      <c r="A813" s="193"/>
      <c r="B813" s="193"/>
      <c r="C813" s="193"/>
      <c r="D813" s="193"/>
      <c r="E813" s="193"/>
      <c r="F813" s="193"/>
      <c r="G813" s="193"/>
      <c r="H813" s="193"/>
      <c r="I813" s="193"/>
    </row>
    <row r="814" spans="1:9" ht="15.6">
      <c r="A814" s="193"/>
      <c r="B814" s="193"/>
      <c r="C814" s="193"/>
      <c r="D814" s="193"/>
      <c r="E814" s="193"/>
      <c r="F814" s="193"/>
      <c r="G814" s="193"/>
      <c r="H814" s="193"/>
      <c r="I814" s="193"/>
    </row>
    <row r="815" spans="1:9" ht="15.6">
      <c r="A815" s="193"/>
      <c r="B815" s="193"/>
      <c r="C815" s="193"/>
      <c r="D815" s="193"/>
      <c r="E815" s="193"/>
      <c r="F815" s="193"/>
      <c r="G815" s="193"/>
      <c r="H815" s="193"/>
      <c r="I815" s="193"/>
    </row>
    <row r="816" spans="1:9" ht="15.6">
      <c r="A816" s="193"/>
      <c r="B816" s="193"/>
      <c r="C816" s="193"/>
      <c r="D816" s="193"/>
      <c r="E816" s="193"/>
      <c r="F816" s="193"/>
      <c r="G816" s="193"/>
      <c r="H816" s="193"/>
      <c r="I816" s="193"/>
    </row>
    <row r="817" spans="1:9" ht="15.6">
      <c r="A817" s="193"/>
      <c r="B817" s="193"/>
      <c r="C817" s="193"/>
      <c r="D817" s="193"/>
      <c r="E817" s="193"/>
      <c r="F817" s="193"/>
      <c r="G817" s="193"/>
      <c r="H817" s="193"/>
      <c r="I817" s="193"/>
    </row>
    <row r="818" spans="1:9" ht="15.6">
      <c r="A818" s="193"/>
      <c r="B818" s="193"/>
      <c r="C818" s="193"/>
      <c r="D818" s="193"/>
      <c r="E818" s="193"/>
      <c r="F818" s="193"/>
      <c r="G818" s="193"/>
      <c r="H818" s="193"/>
      <c r="I818" s="193"/>
    </row>
    <row r="819" spans="1:9" ht="15.6">
      <c r="A819" s="193"/>
      <c r="B819" s="193"/>
      <c r="C819" s="193"/>
      <c r="D819" s="193"/>
      <c r="E819" s="193"/>
      <c r="F819" s="193"/>
      <c r="G819" s="193"/>
      <c r="H819" s="193"/>
      <c r="I819" s="193"/>
    </row>
    <row r="820" spans="1:9" ht="15.6">
      <c r="A820" s="193"/>
      <c r="B820" s="193"/>
      <c r="C820" s="193"/>
      <c r="D820" s="193"/>
      <c r="E820" s="193"/>
      <c r="F820" s="193"/>
      <c r="G820" s="193"/>
      <c r="H820" s="193"/>
      <c r="I820" s="193"/>
    </row>
    <row r="821" spans="1:9" ht="15.6">
      <c r="A821" s="193"/>
      <c r="B821" s="193"/>
      <c r="C821" s="193"/>
      <c r="D821" s="193"/>
      <c r="E821" s="193"/>
      <c r="F821" s="193"/>
      <c r="G821" s="193"/>
      <c r="H821" s="193"/>
      <c r="I821" s="193"/>
    </row>
    <row r="822" spans="1:9" ht="15.6">
      <c r="A822" s="193"/>
      <c r="B822" s="193"/>
      <c r="C822" s="193"/>
      <c r="D822" s="193"/>
      <c r="E822" s="193"/>
      <c r="F822" s="193"/>
      <c r="G822" s="193"/>
      <c r="H822" s="193"/>
      <c r="I822" s="193"/>
    </row>
    <row r="823" spans="1:9" ht="15.6">
      <c r="A823" s="193"/>
      <c r="B823" s="193"/>
      <c r="C823" s="193"/>
      <c r="D823" s="193"/>
      <c r="E823" s="193"/>
      <c r="F823" s="193"/>
      <c r="G823" s="193"/>
      <c r="H823" s="193"/>
      <c r="I823" s="193"/>
    </row>
    <row r="824" spans="1:9" ht="15.6">
      <c r="A824" s="193"/>
      <c r="B824" s="193"/>
      <c r="C824" s="193"/>
      <c r="D824" s="193"/>
      <c r="E824" s="193"/>
      <c r="F824" s="193"/>
      <c r="G824" s="193"/>
      <c r="H824" s="193"/>
      <c r="I824" s="193"/>
    </row>
    <row r="825" spans="1:9" ht="15.6">
      <c r="A825" s="193"/>
      <c r="B825" s="193"/>
      <c r="C825" s="193"/>
      <c r="D825" s="193"/>
      <c r="E825" s="193"/>
      <c r="F825" s="193"/>
      <c r="G825" s="193"/>
      <c r="H825" s="193"/>
      <c r="I825" s="193"/>
    </row>
    <row r="826" spans="1:9" ht="15.6">
      <c r="A826" s="193"/>
      <c r="B826" s="193"/>
      <c r="C826" s="193"/>
      <c r="D826" s="193"/>
      <c r="E826" s="193"/>
      <c r="F826" s="193"/>
      <c r="G826" s="193"/>
      <c r="H826" s="193"/>
      <c r="I826" s="193"/>
    </row>
    <row r="827" spans="1:9" ht="15.6">
      <c r="A827" s="193"/>
      <c r="B827" s="193"/>
      <c r="C827" s="193"/>
      <c r="D827" s="193"/>
      <c r="E827" s="193"/>
      <c r="F827" s="193"/>
      <c r="G827" s="193"/>
      <c r="H827" s="193"/>
      <c r="I827" s="193"/>
    </row>
    <row r="828" spans="1:9" ht="15.6">
      <c r="A828" s="193"/>
      <c r="B828" s="193"/>
      <c r="C828" s="193"/>
      <c r="D828" s="193"/>
      <c r="E828" s="193"/>
      <c r="F828" s="193"/>
      <c r="G828" s="193"/>
      <c r="H828" s="193"/>
      <c r="I828" s="193"/>
    </row>
    <row r="829" spans="1:9" ht="15.6">
      <c r="A829" s="193"/>
      <c r="B829" s="193"/>
      <c r="C829" s="193"/>
      <c r="D829" s="193"/>
      <c r="E829" s="193"/>
      <c r="F829" s="193"/>
      <c r="G829" s="193"/>
      <c r="H829" s="193"/>
      <c r="I829" s="193"/>
    </row>
    <row r="830" spans="1:9" ht="15.6">
      <c r="A830" s="193"/>
      <c r="B830" s="193"/>
      <c r="C830" s="193"/>
      <c r="D830" s="193"/>
      <c r="E830" s="193"/>
      <c r="F830" s="193"/>
      <c r="G830" s="193"/>
      <c r="H830" s="193"/>
      <c r="I830" s="193"/>
    </row>
    <row r="831" spans="1:9" ht="15.6">
      <c r="A831" s="193"/>
      <c r="B831" s="193"/>
      <c r="C831" s="193"/>
      <c r="D831" s="193"/>
      <c r="E831" s="193"/>
      <c r="F831" s="193"/>
      <c r="G831" s="193"/>
      <c r="H831" s="193"/>
      <c r="I831" s="193"/>
    </row>
    <row r="832" spans="1:9" ht="15.6">
      <c r="A832" s="193"/>
      <c r="B832" s="193"/>
      <c r="C832" s="193"/>
      <c r="D832" s="193"/>
      <c r="E832" s="193"/>
      <c r="F832" s="193"/>
      <c r="G832" s="193"/>
      <c r="H832" s="193"/>
      <c r="I832" s="193"/>
    </row>
    <row r="833" spans="1:9" ht="15.6">
      <c r="A833" s="193"/>
      <c r="B833" s="193"/>
      <c r="C833" s="193"/>
      <c r="D833" s="193"/>
      <c r="E833" s="193"/>
      <c r="F833" s="193"/>
      <c r="G833" s="193"/>
      <c r="H833" s="193"/>
      <c r="I833" s="193"/>
    </row>
    <row r="834" spans="1:9" ht="15.6">
      <c r="A834" s="193"/>
      <c r="B834" s="193"/>
      <c r="C834" s="193"/>
      <c r="D834" s="193"/>
      <c r="E834" s="193"/>
      <c r="F834" s="193"/>
      <c r="G834" s="193"/>
      <c r="H834" s="193"/>
      <c r="I834" s="193"/>
    </row>
    <row r="835" spans="1:9" ht="15.6">
      <c r="A835" s="193"/>
      <c r="B835" s="193"/>
      <c r="C835" s="193"/>
      <c r="D835" s="193"/>
      <c r="E835" s="193"/>
      <c r="F835" s="193"/>
      <c r="G835" s="193"/>
      <c r="H835" s="193"/>
      <c r="I835" s="193"/>
    </row>
    <row r="836" spans="1:9" ht="15.6">
      <c r="A836" s="193"/>
      <c r="B836" s="193"/>
      <c r="C836" s="193"/>
      <c r="D836" s="193"/>
      <c r="E836" s="193"/>
      <c r="F836" s="193"/>
      <c r="G836" s="193"/>
      <c r="H836" s="193"/>
      <c r="I836" s="193"/>
    </row>
    <row r="837" spans="1:9" ht="15.6">
      <c r="A837" s="193"/>
      <c r="B837" s="193"/>
      <c r="C837" s="193"/>
      <c r="D837" s="193"/>
      <c r="E837" s="193"/>
      <c r="F837" s="193"/>
      <c r="G837" s="193"/>
      <c r="H837" s="193"/>
      <c r="I837" s="193"/>
    </row>
    <row r="838" spans="1:9" ht="15.6">
      <c r="A838" s="193"/>
      <c r="B838" s="193"/>
      <c r="C838" s="193"/>
      <c r="D838" s="193"/>
      <c r="E838" s="193"/>
      <c r="F838" s="193"/>
      <c r="G838" s="193"/>
      <c r="H838" s="193"/>
      <c r="I838" s="193"/>
    </row>
    <row r="839" spans="1:9" ht="15.6">
      <c r="A839" s="193"/>
      <c r="B839" s="193"/>
      <c r="C839" s="193"/>
      <c r="D839" s="193"/>
      <c r="E839" s="193"/>
      <c r="F839" s="193"/>
      <c r="G839" s="193"/>
      <c r="H839" s="193"/>
      <c r="I839" s="193"/>
    </row>
    <row r="840" spans="1:9" ht="15.6">
      <c r="A840" s="193"/>
      <c r="B840" s="193"/>
      <c r="C840" s="193"/>
      <c r="D840" s="193"/>
      <c r="E840" s="193"/>
      <c r="F840" s="193"/>
      <c r="G840" s="193"/>
      <c r="H840" s="193"/>
      <c r="I840" s="193"/>
    </row>
    <row r="841" spans="1:9" ht="15.6">
      <c r="A841" s="193"/>
      <c r="B841" s="193"/>
      <c r="C841" s="193"/>
      <c r="D841" s="193"/>
      <c r="E841" s="193"/>
      <c r="F841" s="193"/>
      <c r="G841" s="193"/>
      <c r="H841" s="193"/>
      <c r="I841" s="193"/>
    </row>
    <row r="842" spans="1:9" ht="15.6">
      <c r="A842" s="193"/>
      <c r="B842" s="193"/>
      <c r="C842" s="193"/>
      <c r="D842" s="193"/>
      <c r="E842" s="193"/>
      <c r="F842" s="193"/>
      <c r="G842" s="193"/>
      <c r="H842" s="193"/>
      <c r="I842" s="193"/>
    </row>
    <row r="843" spans="1:9" ht="15.6">
      <c r="A843" s="193"/>
      <c r="B843" s="193"/>
      <c r="C843" s="193"/>
      <c r="D843" s="193"/>
      <c r="E843" s="193"/>
      <c r="F843" s="193"/>
      <c r="G843" s="193"/>
      <c r="H843" s="193"/>
      <c r="I843" s="193"/>
    </row>
    <row r="844" spans="1:9" ht="15.6">
      <c r="A844" s="193"/>
      <c r="B844" s="193"/>
      <c r="C844" s="193"/>
      <c r="D844" s="193"/>
      <c r="E844" s="193"/>
      <c r="F844" s="193"/>
      <c r="G844" s="193"/>
      <c r="H844" s="193"/>
      <c r="I844" s="193"/>
    </row>
    <row r="845" spans="1:9" ht="15.6">
      <c r="A845" s="193"/>
      <c r="B845" s="193"/>
      <c r="C845" s="193"/>
      <c r="D845" s="193"/>
      <c r="E845" s="193"/>
      <c r="F845" s="193"/>
      <c r="G845" s="193"/>
      <c r="H845" s="193"/>
      <c r="I845" s="193"/>
    </row>
    <row r="846" spans="1:9" ht="15.6">
      <c r="A846" s="193"/>
      <c r="B846" s="193"/>
      <c r="C846" s="193"/>
      <c r="D846" s="193"/>
      <c r="E846" s="193"/>
      <c r="F846" s="193"/>
      <c r="G846" s="193"/>
      <c r="H846" s="193"/>
      <c r="I846" s="193"/>
    </row>
    <row r="847" spans="1:9" ht="15.6">
      <c r="A847" s="193"/>
      <c r="B847" s="193"/>
      <c r="C847" s="193"/>
      <c r="D847" s="193"/>
      <c r="E847" s="193"/>
      <c r="F847" s="193"/>
      <c r="G847" s="193"/>
      <c r="H847" s="193"/>
      <c r="I847" s="193"/>
    </row>
    <row r="848" spans="1:9" ht="15.6">
      <c r="A848" s="193"/>
      <c r="B848" s="193"/>
      <c r="C848" s="193"/>
      <c r="D848" s="193"/>
      <c r="E848" s="193"/>
      <c r="F848" s="193"/>
      <c r="G848" s="193"/>
      <c r="H848" s="193"/>
      <c r="I848" s="193"/>
    </row>
    <row r="849" spans="1:9" ht="15.6">
      <c r="A849" s="193"/>
      <c r="B849" s="193"/>
      <c r="C849" s="193"/>
      <c r="D849" s="193"/>
      <c r="E849" s="193"/>
      <c r="F849" s="193"/>
      <c r="G849" s="193"/>
      <c r="H849" s="193"/>
      <c r="I849" s="193"/>
    </row>
    <row r="850" spans="1:9" ht="15.6">
      <c r="A850" s="193"/>
      <c r="B850" s="193"/>
      <c r="C850" s="193"/>
      <c r="D850" s="193"/>
      <c r="E850" s="193"/>
      <c r="F850" s="193"/>
      <c r="G850" s="193"/>
      <c r="H850" s="193"/>
      <c r="I850" s="193"/>
    </row>
    <row r="851" spans="1:9" ht="15.6">
      <c r="A851" s="193"/>
      <c r="B851" s="193"/>
      <c r="C851" s="193"/>
      <c r="D851" s="193"/>
      <c r="E851" s="193"/>
      <c r="F851" s="193"/>
      <c r="G851" s="193"/>
      <c r="H851" s="193"/>
      <c r="I851" s="193"/>
    </row>
    <row r="852" spans="1:9" ht="15.6">
      <c r="A852" s="193"/>
      <c r="B852" s="193"/>
      <c r="C852" s="193"/>
      <c r="D852" s="193"/>
      <c r="E852" s="193"/>
      <c r="F852" s="193"/>
      <c r="G852" s="193"/>
      <c r="H852" s="193"/>
      <c r="I852" s="193"/>
    </row>
    <row r="853" spans="1:9" ht="15.6">
      <c r="A853" s="193"/>
      <c r="B853" s="193"/>
      <c r="C853" s="193"/>
      <c r="D853" s="193"/>
      <c r="E853" s="193"/>
      <c r="F853" s="193"/>
      <c r="G853" s="193"/>
      <c r="H853" s="193"/>
      <c r="I853" s="193"/>
    </row>
    <row r="854" spans="1:9" ht="15.6">
      <c r="A854" s="193"/>
      <c r="B854" s="193"/>
      <c r="C854" s="193"/>
      <c r="D854" s="193"/>
      <c r="E854" s="193"/>
      <c r="F854" s="193"/>
      <c r="G854" s="193"/>
      <c r="H854" s="193"/>
      <c r="I854" s="193"/>
    </row>
    <row r="855" spans="1:9" ht="15.6">
      <c r="A855" s="193"/>
      <c r="B855" s="193"/>
      <c r="C855" s="193"/>
      <c r="D855" s="193"/>
      <c r="E855" s="193"/>
      <c r="F855" s="193"/>
      <c r="G855" s="193"/>
      <c r="H855" s="193"/>
      <c r="I855" s="193"/>
    </row>
    <row r="856" spans="1:9" ht="15.6">
      <c r="A856" s="193"/>
      <c r="B856" s="193"/>
      <c r="C856" s="193"/>
      <c r="D856" s="193"/>
      <c r="E856" s="193"/>
      <c r="F856" s="193"/>
      <c r="G856" s="193"/>
      <c r="H856" s="193"/>
      <c r="I856" s="193"/>
    </row>
    <row r="857" spans="1:9" ht="15.6">
      <c r="A857" s="193"/>
      <c r="B857" s="193"/>
      <c r="C857" s="193"/>
      <c r="D857" s="193"/>
      <c r="E857" s="193"/>
      <c r="F857" s="193"/>
      <c r="G857" s="193"/>
      <c r="H857" s="193"/>
      <c r="I857" s="193"/>
    </row>
    <row r="858" spans="1:9" ht="15.6">
      <c r="A858" s="193"/>
      <c r="B858" s="193"/>
      <c r="C858" s="193"/>
      <c r="D858" s="193"/>
      <c r="E858" s="193"/>
      <c r="F858" s="193"/>
      <c r="G858" s="193"/>
      <c r="H858" s="193"/>
      <c r="I858" s="193"/>
    </row>
    <row r="859" spans="1:9" ht="15.6">
      <c r="A859" s="193"/>
      <c r="B859" s="193"/>
      <c r="C859" s="193"/>
      <c r="D859" s="193"/>
      <c r="E859" s="193"/>
      <c r="F859" s="193"/>
      <c r="G859" s="193"/>
      <c r="H859" s="193"/>
      <c r="I859" s="193"/>
    </row>
    <row r="860" spans="1:9" ht="15.6">
      <c r="A860" s="193"/>
      <c r="B860" s="193"/>
      <c r="C860" s="193"/>
      <c r="D860" s="193"/>
      <c r="E860" s="193"/>
      <c r="F860" s="193"/>
      <c r="G860" s="193"/>
      <c r="H860" s="193"/>
      <c r="I860" s="193"/>
    </row>
    <row r="861" spans="1:9" ht="15.6">
      <c r="A861" s="193"/>
      <c r="B861" s="193"/>
      <c r="C861" s="193"/>
      <c r="D861" s="193"/>
      <c r="E861" s="193"/>
      <c r="F861" s="193"/>
      <c r="G861" s="193"/>
      <c r="H861" s="193"/>
      <c r="I861" s="193"/>
    </row>
    <row r="862" spans="1:9" ht="15.6">
      <c r="A862" s="193"/>
      <c r="B862" s="193"/>
      <c r="C862" s="193"/>
      <c r="D862" s="193"/>
      <c r="E862" s="193"/>
      <c r="F862" s="193"/>
      <c r="G862" s="193"/>
      <c r="H862" s="193"/>
      <c r="I862" s="193"/>
    </row>
    <row r="863" spans="1:9" ht="15.6">
      <c r="A863" s="193"/>
      <c r="B863" s="193"/>
      <c r="C863" s="193"/>
      <c r="D863" s="193"/>
      <c r="E863" s="193"/>
      <c r="F863" s="193"/>
      <c r="G863" s="193"/>
      <c r="H863" s="193"/>
      <c r="I863" s="193"/>
    </row>
    <row r="864" spans="1:9" ht="15.6">
      <c r="A864" s="193"/>
      <c r="B864" s="193"/>
      <c r="C864" s="193"/>
      <c r="D864" s="193"/>
      <c r="E864" s="193"/>
      <c r="F864" s="193"/>
      <c r="G864" s="193"/>
      <c r="H864" s="193"/>
      <c r="I864" s="193"/>
    </row>
    <row r="865" spans="1:9" ht="15.6">
      <c r="A865" s="193"/>
      <c r="B865" s="193"/>
      <c r="C865" s="193"/>
      <c r="D865" s="193"/>
      <c r="E865" s="193"/>
      <c r="F865" s="193"/>
      <c r="G865" s="193"/>
      <c r="H865" s="193"/>
      <c r="I865" s="193"/>
    </row>
    <row r="866" spans="1:9" ht="15.6">
      <c r="A866" s="193"/>
      <c r="B866" s="193"/>
      <c r="C866" s="193"/>
      <c r="D866" s="193"/>
      <c r="E866" s="193"/>
      <c r="F866" s="193"/>
      <c r="G866" s="193"/>
      <c r="H866" s="193"/>
      <c r="I866" s="193"/>
    </row>
    <row r="867" spans="1:9" ht="15.6">
      <c r="A867" s="193"/>
      <c r="B867" s="193"/>
      <c r="C867" s="193"/>
      <c r="D867" s="193"/>
      <c r="E867" s="193"/>
      <c r="F867" s="193"/>
      <c r="G867" s="193"/>
      <c r="H867" s="193"/>
      <c r="I867" s="193"/>
    </row>
    <row r="868" spans="1:9" ht="15.6">
      <c r="A868" s="193"/>
      <c r="B868" s="193"/>
      <c r="C868" s="193"/>
      <c r="D868" s="193"/>
      <c r="E868" s="193"/>
      <c r="F868" s="193"/>
      <c r="G868" s="193"/>
      <c r="H868" s="193"/>
      <c r="I868" s="193"/>
    </row>
    <row r="869" spans="1:9" ht="15.6">
      <c r="A869" s="193"/>
      <c r="B869" s="193"/>
      <c r="C869" s="193"/>
      <c r="D869" s="193"/>
      <c r="E869" s="193"/>
      <c r="F869" s="193"/>
      <c r="G869" s="193"/>
      <c r="H869" s="193"/>
      <c r="I869" s="193"/>
    </row>
    <row r="870" spans="1:9" ht="15.6">
      <c r="A870" s="193"/>
      <c r="B870" s="193"/>
      <c r="C870" s="193"/>
      <c r="D870" s="193"/>
      <c r="E870" s="193"/>
      <c r="F870" s="193"/>
      <c r="G870" s="193"/>
      <c r="H870" s="193"/>
      <c r="I870" s="193"/>
    </row>
    <row r="871" spans="1:9" ht="15.6">
      <c r="A871" s="193"/>
      <c r="B871" s="193"/>
      <c r="C871" s="193"/>
      <c r="D871" s="193"/>
      <c r="E871" s="193"/>
      <c r="F871" s="193"/>
      <c r="G871" s="193"/>
      <c r="H871" s="193"/>
      <c r="I871" s="193"/>
    </row>
    <row r="872" spans="1:9" ht="15.6">
      <c r="A872" s="193"/>
      <c r="B872" s="193"/>
      <c r="C872" s="193"/>
      <c r="D872" s="193"/>
      <c r="E872" s="193"/>
      <c r="F872" s="193"/>
      <c r="G872" s="193"/>
      <c r="H872" s="193"/>
      <c r="I872" s="193"/>
    </row>
    <row r="873" spans="1:9" ht="15.6">
      <c r="A873" s="193"/>
      <c r="B873" s="193"/>
      <c r="C873" s="193"/>
      <c r="D873" s="193"/>
      <c r="E873" s="193"/>
      <c r="F873" s="193"/>
      <c r="G873" s="193"/>
      <c r="H873" s="193"/>
      <c r="I873" s="193"/>
    </row>
    <row r="874" spans="1:9" ht="15.6">
      <c r="A874" s="193"/>
      <c r="B874" s="193"/>
      <c r="C874" s="193"/>
      <c r="D874" s="193"/>
      <c r="E874" s="193"/>
      <c r="F874" s="193"/>
      <c r="G874" s="193"/>
      <c r="H874" s="193"/>
      <c r="I874" s="193"/>
    </row>
    <row r="875" spans="1:9" ht="15.6">
      <c r="A875" s="193"/>
      <c r="B875" s="193"/>
      <c r="C875" s="193"/>
      <c r="D875" s="193"/>
      <c r="E875" s="193"/>
      <c r="F875" s="193"/>
      <c r="G875" s="193"/>
      <c r="H875" s="193"/>
      <c r="I875" s="193"/>
    </row>
    <row r="876" spans="1:9" ht="15.6">
      <c r="A876" s="193"/>
      <c r="B876" s="193"/>
      <c r="C876" s="193"/>
      <c r="D876" s="193"/>
      <c r="E876" s="193"/>
      <c r="F876" s="193"/>
      <c r="G876" s="193"/>
      <c r="H876" s="193"/>
      <c r="I876" s="193"/>
    </row>
    <row r="877" spans="1:9" ht="15.6">
      <c r="A877" s="193"/>
      <c r="B877" s="193"/>
      <c r="C877" s="193"/>
      <c r="D877" s="193"/>
      <c r="E877" s="193"/>
      <c r="F877" s="193"/>
      <c r="G877" s="193"/>
      <c r="H877" s="193"/>
      <c r="I877" s="193"/>
    </row>
    <row r="878" spans="1:9" ht="15.6">
      <c r="A878" s="193"/>
      <c r="B878" s="193"/>
      <c r="C878" s="193"/>
      <c r="D878" s="193"/>
      <c r="E878" s="193"/>
      <c r="F878" s="193"/>
      <c r="G878" s="193"/>
      <c r="H878" s="193"/>
      <c r="I878" s="193"/>
    </row>
  </sheetData>
  <mergeCells count="11">
    <mergeCell ref="B1:H1"/>
    <mergeCell ref="B3:H3"/>
    <mergeCell ref="E4:G4"/>
    <mergeCell ref="E44:G44"/>
    <mergeCell ref="C53:I53"/>
    <mergeCell ref="B43:H43"/>
    <mergeCell ref="C51:I51"/>
    <mergeCell ref="C52:I52"/>
    <mergeCell ref="C39:I39"/>
    <mergeCell ref="C40:I40"/>
    <mergeCell ref="C41:I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695"/>
  <sheetViews>
    <sheetView workbookViewId="0">
      <selection activeCell="M6" sqref="M6"/>
    </sheetView>
  </sheetViews>
  <sheetFormatPr defaultColWidth="12.7109375" defaultRowHeight="15.75" customHeight="1"/>
  <cols>
    <col min="2" max="2" width="6.7109375" customWidth="1"/>
    <col min="3" max="3" width="2.28515625" customWidth="1"/>
    <col min="4" max="4" width="39.28515625" customWidth="1"/>
    <col min="5" max="7" width="7.28515625" customWidth="1"/>
    <col min="15" max="15" width="5.140625" customWidth="1"/>
    <col min="16" max="16" width="9.140625" customWidth="1"/>
    <col min="17" max="24" width="8.42578125" customWidth="1"/>
  </cols>
  <sheetData>
    <row r="1" spans="1:28" ht="15.75" customHeight="1">
      <c r="A1" s="9"/>
      <c r="B1" s="198"/>
      <c r="C1" s="198"/>
      <c r="D1" s="198"/>
      <c r="E1" s="11"/>
      <c r="F1" s="11"/>
      <c r="G1" s="11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</row>
    <row r="2" spans="1:28" ht="15.75" customHeight="1">
      <c r="A2" s="9"/>
      <c r="B2" s="198"/>
      <c r="C2" s="198"/>
      <c r="D2" s="198"/>
      <c r="E2" s="11"/>
      <c r="F2" s="11"/>
      <c r="G2" s="11"/>
      <c r="H2" s="11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</row>
    <row r="3" spans="1:28" ht="15.75" customHeight="1">
      <c r="A3" s="9">
        <v>5</v>
      </c>
      <c r="B3" s="286" t="s">
        <v>414</v>
      </c>
      <c r="C3" s="230"/>
      <c r="D3" s="230"/>
      <c r="E3" s="230"/>
      <c r="F3" s="230"/>
      <c r="G3" s="230"/>
      <c r="H3" s="230"/>
      <c r="I3" s="198">
        <f>AVERAGE(I6,I7,I8,I9,I10,I11,I12,I13,I14,I15,I16,I17,I18,I19,I20,I21,I22,I23,I24,I30,I35)</f>
        <v>2.5</v>
      </c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</row>
    <row r="4" spans="1:28" ht="15.75" customHeight="1">
      <c r="A4" s="9"/>
      <c r="B4" s="198"/>
      <c r="C4" s="195"/>
      <c r="D4" s="195"/>
      <c r="E4" s="255" t="s">
        <v>31</v>
      </c>
      <c r="F4" s="255"/>
      <c r="G4" s="255"/>
      <c r="H4" s="195"/>
      <c r="I4" s="198"/>
      <c r="J4" s="198"/>
      <c r="K4" s="198"/>
      <c r="L4" s="198"/>
      <c r="M4" s="198"/>
      <c r="N4" s="198"/>
      <c r="O4" s="288" t="s">
        <v>595</v>
      </c>
      <c r="P4" s="289"/>
      <c r="Q4" s="289"/>
      <c r="R4" s="289"/>
      <c r="S4" s="289"/>
      <c r="T4" s="289"/>
      <c r="U4" s="289"/>
      <c r="V4" s="289"/>
      <c r="W4" s="289"/>
      <c r="X4" s="290"/>
      <c r="Y4" s="198"/>
      <c r="Z4" s="198"/>
      <c r="AA4" s="198"/>
      <c r="AB4" s="198"/>
    </row>
    <row r="5" spans="1:28" ht="15.75" customHeight="1">
      <c r="A5" s="198"/>
      <c r="B5" s="9"/>
      <c r="C5" s="198"/>
      <c r="D5" s="198"/>
      <c r="E5" s="11" t="s">
        <v>596</v>
      </c>
      <c r="F5" s="11" t="s">
        <v>597</v>
      </c>
      <c r="G5" s="11" t="s">
        <v>598</v>
      </c>
      <c r="H5" s="11" t="s">
        <v>599</v>
      </c>
      <c r="I5" s="11"/>
      <c r="J5" s="198"/>
      <c r="K5" s="198"/>
      <c r="L5" s="198"/>
      <c r="M5" s="198"/>
      <c r="N5" s="198"/>
      <c r="O5" s="287" t="s">
        <v>600</v>
      </c>
      <c r="P5" s="287" t="s">
        <v>300</v>
      </c>
      <c r="Q5" s="287" t="s">
        <v>601</v>
      </c>
      <c r="R5" s="287"/>
      <c r="S5" s="287" t="s">
        <v>602</v>
      </c>
      <c r="T5" s="287"/>
      <c r="U5" s="287" t="s">
        <v>603</v>
      </c>
      <c r="V5" s="287"/>
      <c r="W5" s="287" t="s">
        <v>604</v>
      </c>
      <c r="X5" s="287"/>
      <c r="Y5" s="198"/>
      <c r="Z5" s="198"/>
      <c r="AA5" s="198"/>
      <c r="AB5" s="198"/>
    </row>
    <row r="6" spans="1:28" ht="15.75" customHeight="1">
      <c r="A6" s="198"/>
      <c r="B6" s="17" t="s">
        <v>605</v>
      </c>
      <c r="C6" s="198"/>
      <c r="D6" s="198" t="s">
        <v>541</v>
      </c>
      <c r="E6" s="18">
        <v>3</v>
      </c>
      <c r="F6" s="18">
        <v>3</v>
      </c>
      <c r="G6" s="18">
        <v>3</v>
      </c>
      <c r="H6" s="195"/>
      <c r="I6" s="11"/>
      <c r="J6" s="198"/>
      <c r="K6" s="198"/>
      <c r="L6" s="198"/>
      <c r="M6" s="198"/>
      <c r="N6" s="198"/>
      <c r="O6" s="291"/>
      <c r="P6" s="291"/>
      <c r="Q6" s="141" t="s">
        <v>606</v>
      </c>
      <c r="R6" s="141" t="s">
        <v>607</v>
      </c>
      <c r="S6" s="141" t="s">
        <v>606</v>
      </c>
      <c r="T6" s="141" t="s">
        <v>607</v>
      </c>
      <c r="U6" s="141" t="s">
        <v>606</v>
      </c>
      <c r="V6" s="141" t="s">
        <v>607</v>
      </c>
      <c r="W6" s="141" t="s">
        <v>606</v>
      </c>
      <c r="X6" s="141" t="s">
        <v>607</v>
      </c>
      <c r="Y6" s="198"/>
      <c r="Z6" s="198"/>
      <c r="AA6" s="198"/>
      <c r="AB6" s="198"/>
    </row>
    <row r="7" spans="1:28" ht="15.75" customHeight="1">
      <c r="A7" s="198"/>
      <c r="B7" s="17" t="s">
        <v>608</v>
      </c>
      <c r="C7" s="198"/>
      <c r="D7" s="198" t="s">
        <v>542</v>
      </c>
      <c r="E7" s="18"/>
      <c r="F7" s="18"/>
      <c r="G7" s="18"/>
      <c r="H7" s="195"/>
      <c r="I7" s="11"/>
      <c r="J7" s="198"/>
      <c r="K7" s="198"/>
      <c r="L7" s="198"/>
      <c r="M7" s="198"/>
      <c r="N7" s="198"/>
      <c r="O7" s="141">
        <v>1</v>
      </c>
      <c r="P7" s="142" t="s">
        <v>609</v>
      </c>
      <c r="Q7" s="142"/>
      <c r="R7" s="142"/>
      <c r="S7" s="142"/>
      <c r="T7" s="142"/>
      <c r="U7" s="142"/>
      <c r="V7" s="142"/>
      <c r="W7" s="142"/>
      <c r="X7" s="142"/>
      <c r="Y7" s="198"/>
      <c r="Z7" s="198"/>
      <c r="AA7" s="198"/>
      <c r="AB7" s="198"/>
    </row>
    <row r="8" spans="1:28" ht="15.75" customHeight="1">
      <c r="A8" s="198"/>
      <c r="B8" s="17" t="s">
        <v>610</v>
      </c>
      <c r="C8" s="198"/>
      <c r="D8" s="198" t="s">
        <v>543</v>
      </c>
      <c r="E8" s="18"/>
      <c r="F8" s="18"/>
      <c r="G8" s="18"/>
      <c r="H8" s="195"/>
      <c r="I8" s="11"/>
      <c r="J8" s="198"/>
      <c r="K8" s="198"/>
      <c r="L8" s="198"/>
      <c r="M8" s="198"/>
      <c r="N8" s="198"/>
      <c r="O8" s="141">
        <v>2</v>
      </c>
      <c r="P8" s="142" t="s">
        <v>611</v>
      </c>
      <c r="Q8" s="142"/>
      <c r="R8" s="142"/>
      <c r="S8" s="142"/>
      <c r="T8" s="142"/>
      <c r="U8" s="142"/>
      <c r="V8" s="142"/>
      <c r="W8" s="142"/>
      <c r="X8" s="142"/>
      <c r="Y8" s="198"/>
      <c r="Z8" s="198"/>
      <c r="AA8" s="198"/>
      <c r="AB8" s="198"/>
    </row>
    <row r="9" spans="1:28" ht="15.75" customHeight="1">
      <c r="A9" s="198"/>
      <c r="B9" s="17" t="s">
        <v>612</v>
      </c>
      <c r="C9" s="198"/>
      <c r="D9" s="198" t="s">
        <v>545</v>
      </c>
      <c r="E9" s="18"/>
      <c r="F9" s="18"/>
      <c r="G9" s="18"/>
      <c r="H9" s="195"/>
      <c r="I9" s="11"/>
      <c r="J9" s="198"/>
      <c r="K9" s="198"/>
      <c r="L9" s="198"/>
      <c r="M9" s="198"/>
      <c r="N9" s="198"/>
      <c r="O9" s="141">
        <v>3</v>
      </c>
      <c r="P9" s="142" t="s">
        <v>613</v>
      </c>
      <c r="Q9" s="142"/>
      <c r="R9" s="142"/>
      <c r="S9" s="142"/>
      <c r="T9" s="142"/>
      <c r="U9" s="142"/>
      <c r="V9" s="142"/>
      <c r="W9" s="142"/>
      <c r="X9" s="142"/>
      <c r="Y9" s="198"/>
      <c r="Z9" s="198"/>
      <c r="AA9" s="198"/>
      <c r="AB9" s="198"/>
    </row>
    <row r="10" spans="1:28" ht="15.75" customHeight="1">
      <c r="A10" s="198"/>
      <c r="B10" s="17" t="s">
        <v>614</v>
      </c>
      <c r="C10" s="198"/>
      <c r="D10" s="198" t="s">
        <v>547</v>
      </c>
      <c r="E10" s="18"/>
      <c r="F10" s="18"/>
      <c r="G10" s="18"/>
      <c r="H10" s="195"/>
      <c r="I10" s="11"/>
      <c r="J10" s="198"/>
      <c r="K10" s="198"/>
      <c r="L10" s="198"/>
      <c r="M10" s="198"/>
      <c r="N10" s="198"/>
      <c r="O10" s="141">
        <v>4</v>
      </c>
      <c r="P10" s="142" t="s">
        <v>615</v>
      </c>
      <c r="Q10" s="142"/>
      <c r="R10" s="142"/>
      <c r="S10" s="142"/>
      <c r="T10" s="142"/>
      <c r="U10" s="142"/>
      <c r="V10" s="142"/>
      <c r="W10" s="142"/>
      <c r="X10" s="142"/>
      <c r="Y10" s="198"/>
      <c r="Z10" s="198"/>
      <c r="AA10" s="198"/>
      <c r="AB10" s="198"/>
    </row>
    <row r="11" spans="1:28" ht="15.75" customHeight="1">
      <c r="A11" s="198"/>
      <c r="B11" s="17" t="s">
        <v>616</v>
      </c>
      <c r="C11" s="198"/>
      <c r="D11" s="198" t="s">
        <v>549</v>
      </c>
      <c r="E11" s="18"/>
      <c r="F11" s="18"/>
      <c r="G11" s="18"/>
      <c r="H11" s="195"/>
      <c r="I11" s="11"/>
      <c r="J11" s="198"/>
      <c r="K11" s="198"/>
      <c r="L11" s="198"/>
      <c r="M11" s="198"/>
      <c r="N11" s="198"/>
      <c r="O11" s="141">
        <v>5</v>
      </c>
      <c r="P11" s="142" t="s">
        <v>617</v>
      </c>
      <c r="Q11" s="142"/>
      <c r="R11" s="142"/>
      <c r="S11" s="142"/>
      <c r="T11" s="142"/>
      <c r="U11" s="142"/>
      <c r="V11" s="142"/>
      <c r="W11" s="142"/>
      <c r="X11" s="142"/>
      <c r="Y11" s="198"/>
      <c r="Z11" s="198"/>
      <c r="AA11" s="198"/>
      <c r="AB11" s="198"/>
    </row>
    <row r="12" spans="1:28" ht="15.75" customHeight="1">
      <c r="A12" s="198"/>
      <c r="B12" s="17" t="s">
        <v>618</v>
      </c>
      <c r="C12" s="198"/>
      <c r="D12" s="198" t="s">
        <v>551</v>
      </c>
      <c r="E12" s="18"/>
      <c r="F12" s="18"/>
      <c r="G12" s="18"/>
      <c r="H12" s="195"/>
      <c r="I12" s="11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</row>
    <row r="13" spans="1:28" ht="15.75" customHeight="1">
      <c r="A13" s="198"/>
      <c r="B13" s="17" t="s">
        <v>619</v>
      </c>
      <c r="C13" s="198"/>
      <c r="D13" s="198" t="s">
        <v>553</v>
      </c>
      <c r="E13" s="18"/>
      <c r="F13" s="18"/>
      <c r="G13" s="18"/>
      <c r="H13" s="195"/>
      <c r="I13" s="11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</row>
    <row r="14" spans="1:28" ht="15.75" customHeight="1">
      <c r="A14" s="198"/>
      <c r="B14" s="17" t="s">
        <v>620</v>
      </c>
      <c r="C14" s="198"/>
      <c r="D14" s="198" t="s">
        <v>555</v>
      </c>
      <c r="E14" s="18"/>
      <c r="F14" s="18"/>
      <c r="G14" s="18"/>
      <c r="H14" s="195"/>
      <c r="I14" s="11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</row>
    <row r="15" spans="1:28" ht="15.75" customHeight="1">
      <c r="A15" s="198"/>
      <c r="B15" s="17" t="s">
        <v>621</v>
      </c>
      <c r="C15" s="198"/>
      <c r="D15" s="198" t="s">
        <v>557</v>
      </c>
      <c r="E15" s="18"/>
      <c r="F15" s="18"/>
      <c r="G15" s="18"/>
      <c r="H15" s="195"/>
      <c r="I15" s="11"/>
      <c r="J15" s="198"/>
      <c r="K15" s="198"/>
      <c r="L15" s="198"/>
      <c r="M15" s="198"/>
      <c r="N15" s="198"/>
      <c r="O15" s="198"/>
      <c r="P15" s="195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</row>
    <row r="16" spans="1:28" ht="15.75" customHeight="1">
      <c r="A16" s="198"/>
      <c r="B16" s="17" t="s">
        <v>622</v>
      </c>
      <c r="C16" s="198"/>
      <c r="D16" s="198" t="s">
        <v>559</v>
      </c>
      <c r="E16" s="18"/>
      <c r="F16" s="18"/>
      <c r="G16" s="18"/>
      <c r="H16" s="195"/>
      <c r="I16" s="11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</row>
    <row r="17" spans="1:28" ht="14.45">
      <c r="A17" s="198"/>
      <c r="B17" s="17" t="s">
        <v>623</v>
      </c>
      <c r="C17" s="198"/>
      <c r="D17" s="198" t="s">
        <v>561</v>
      </c>
      <c r="E17" s="18"/>
      <c r="F17" s="18"/>
      <c r="G17" s="18"/>
      <c r="H17" s="195"/>
      <c r="I17" s="11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</row>
    <row r="18" spans="1:28" ht="14.45">
      <c r="A18" s="198"/>
      <c r="B18" s="17" t="s">
        <v>624</v>
      </c>
      <c r="C18" s="198"/>
      <c r="D18" s="198" t="s">
        <v>563</v>
      </c>
      <c r="E18" s="18"/>
      <c r="F18" s="18"/>
      <c r="G18" s="18"/>
      <c r="H18" s="195"/>
      <c r="I18" s="11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</row>
    <row r="19" spans="1:28" ht="14.45">
      <c r="A19" s="198"/>
      <c r="B19" s="17" t="s">
        <v>625</v>
      </c>
      <c r="C19" s="198"/>
      <c r="D19" s="198" t="s">
        <v>565</v>
      </c>
      <c r="E19" s="18"/>
      <c r="F19" s="18"/>
      <c r="G19" s="18"/>
      <c r="H19" s="195"/>
      <c r="I19" s="11"/>
      <c r="J19" s="198"/>
      <c r="K19" s="198"/>
      <c r="L19" s="198"/>
      <c r="M19" s="198"/>
      <c r="N19" s="198"/>
      <c r="O19" s="198"/>
      <c r="P19" s="195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</row>
    <row r="20" spans="1:28" ht="14.45">
      <c r="A20" s="198"/>
      <c r="B20" s="17" t="s">
        <v>626</v>
      </c>
      <c r="C20" s="198"/>
      <c r="D20" s="198" t="s">
        <v>567</v>
      </c>
      <c r="E20" s="18"/>
      <c r="F20" s="18"/>
      <c r="G20" s="18"/>
      <c r="H20" s="195"/>
      <c r="I20" s="11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</row>
    <row r="21" spans="1:28" ht="14.45">
      <c r="A21" s="198"/>
      <c r="B21" s="17" t="s">
        <v>627</v>
      </c>
      <c r="C21" s="198"/>
      <c r="D21" s="198" t="s">
        <v>569</v>
      </c>
      <c r="E21" s="18"/>
      <c r="F21" s="18"/>
      <c r="G21" s="18"/>
      <c r="H21" s="195"/>
      <c r="I21" s="11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</row>
    <row r="22" spans="1:28" ht="14.45">
      <c r="A22" s="198"/>
      <c r="B22" s="17" t="s">
        <v>628</v>
      </c>
      <c r="C22" s="198"/>
      <c r="D22" s="198" t="s">
        <v>571</v>
      </c>
      <c r="E22" s="18"/>
      <c r="F22" s="18"/>
      <c r="G22" s="18"/>
      <c r="H22" s="195"/>
      <c r="I22" s="11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</row>
    <row r="23" spans="1:28" ht="14.45">
      <c r="A23" s="198"/>
      <c r="B23" s="17" t="s">
        <v>629</v>
      </c>
      <c r="C23" s="198"/>
      <c r="D23" s="198" t="s">
        <v>573</v>
      </c>
      <c r="E23" s="18"/>
      <c r="F23" s="18"/>
      <c r="G23" s="18"/>
      <c r="H23" s="195"/>
      <c r="I23" s="11"/>
      <c r="J23" s="198"/>
      <c r="K23" s="198"/>
      <c r="L23" s="198"/>
      <c r="M23" s="198"/>
      <c r="N23" s="198"/>
      <c r="O23" s="198"/>
      <c r="P23" s="195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</row>
    <row r="24" spans="1:28" ht="14.45">
      <c r="A24" s="198"/>
      <c r="B24" s="17" t="s">
        <v>630</v>
      </c>
      <c r="C24" s="198"/>
      <c r="D24" s="198" t="s">
        <v>575</v>
      </c>
      <c r="E24" s="18"/>
      <c r="F24" s="18"/>
      <c r="G24" s="18"/>
      <c r="H24" s="195"/>
      <c r="I24" s="11">
        <f>AVERAGE(H26:H28)</f>
        <v>2.5</v>
      </c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</row>
    <row r="25" spans="1:28" ht="14.45">
      <c r="A25" s="198"/>
      <c r="B25" s="198"/>
      <c r="C25" s="198"/>
      <c r="D25" s="198"/>
      <c r="E25" s="11" t="s">
        <v>31</v>
      </c>
      <c r="F25" s="11" t="s">
        <v>10</v>
      </c>
      <c r="G25" s="11"/>
      <c r="H25" s="198" t="s">
        <v>306</v>
      </c>
      <c r="I25" s="195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</row>
    <row r="26" spans="1:28" ht="14.45">
      <c r="A26" s="198"/>
      <c r="B26" s="198"/>
      <c r="C26" s="198" t="s">
        <v>307</v>
      </c>
      <c r="D26" s="198" t="s">
        <v>576</v>
      </c>
      <c r="E26" s="11">
        <v>2</v>
      </c>
      <c r="F26" s="11">
        <v>3</v>
      </c>
      <c r="G26" s="11"/>
      <c r="H26" s="9">
        <f t="shared" ref="H26:H28" si="0">AVERAGE(E26:F26)</f>
        <v>2.5</v>
      </c>
      <c r="I26" s="195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</row>
    <row r="27" spans="1:28" ht="14.45">
      <c r="A27" s="198"/>
      <c r="B27" s="198"/>
      <c r="C27" s="198" t="s">
        <v>309</v>
      </c>
      <c r="D27" s="198" t="s">
        <v>577</v>
      </c>
      <c r="E27" s="11">
        <v>2</v>
      </c>
      <c r="F27" s="11">
        <v>3</v>
      </c>
      <c r="G27" s="11"/>
      <c r="H27" s="9">
        <f t="shared" si="0"/>
        <v>2.5</v>
      </c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</row>
    <row r="28" spans="1:28" ht="14.45">
      <c r="A28" s="198"/>
      <c r="B28" s="198"/>
      <c r="C28" s="198" t="s">
        <v>316</v>
      </c>
      <c r="D28" s="198" t="s">
        <v>578</v>
      </c>
      <c r="E28" s="11">
        <v>2</v>
      </c>
      <c r="F28" s="11">
        <v>3</v>
      </c>
      <c r="G28" s="11"/>
      <c r="H28" s="9">
        <f t="shared" si="0"/>
        <v>2.5</v>
      </c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</row>
    <row r="29" spans="1:28" ht="14.45">
      <c r="A29" s="198"/>
      <c r="B29" s="198"/>
      <c r="C29" s="198" t="s">
        <v>318</v>
      </c>
      <c r="D29" s="198" t="s">
        <v>579</v>
      </c>
      <c r="E29" s="11"/>
      <c r="F29" s="11"/>
      <c r="G29" s="11"/>
      <c r="H29" s="9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</row>
    <row r="30" spans="1:28" ht="14.45">
      <c r="A30" s="198"/>
      <c r="B30" s="17" t="s">
        <v>631</v>
      </c>
      <c r="C30" s="198"/>
      <c r="D30" s="198" t="s">
        <v>581</v>
      </c>
      <c r="E30" s="18"/>
      <c r="F30" s="18"/>
      <c r="G30" s="18"/>
      <c r="H30" s="195"/>
      <c r="I30" s="11">
        <f>AVERAGE(H32:H34)</f>
        <v>2.5</v>
      </c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</row>
    <row r="31" spans="1:28" ht="14.45">
      <c r="A31" s="198"/>
      <c r="B31" s="198"/>
      <c r="C31" s="198"/>
      <c r="D31" s="198"/>
      <c r="E31" s="11" t="s">
        <v>31</v>
      </c>
      <c r="F31" s="11" t="s">
        <v>10</v>
      </c>
      <c r="G31" s="11"/>
      <c r="H31" s="198" t="s">
        <v>306</v>
      </c>
      <c r="I31" s="195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</row>
    <row r="32" spans="1:28" ht="14.45">
      <c r="A32" s="198"/>
      <c r="B32" s="198"/>
      <c r="C32" s="198" t="s">
        <v>307</v>
      </c>
      <c r="D32" s="198" t="s">
        <v>582</v>
      </c>
      <c r="E32" s="11">
        <v>2</v>
      </c>
      <c r="F32" s="11">
        <v>3</v>
      </c>
      <c r="G32" s="11"/>
      <c r="H32" s="9">
        <f t="shared" ref="H32:H34" si="1">AVERAGE(E32:F32)</f>
        <v>2.5</v>
      </c>
      <c r="I32" s="195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</row>
    <row r="33" spans="1:28" ht="14.45">
      <c r="A33" s="198"/>
      <c r="B33" s="198"/>
      <c r="C33" s="198" t="s">
        <v>309</v>
      </c>
      <c r="D33" s="198" t="s">
        <v>583</v>
      </c>
      <c r="E33" s="11">
        <v>2</v>
      </c>
      <c r="F33" s="11">
        <v>3</v>
      </c>
      <c r="G33" s="11"/>
      <c r="H33" s="9">
        <f t="shared" si="1"/>
        <v>2.5</v>
      </c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</row>
    <row r="34" spans="1:28" ht="14.45">
      <c r="A34" s="198"/>
      <c r="B34" s="198"/>
      <c r="C34" s="198" t="s">
        <v>316</v>
      </c>
      <c r="D34" s="198" t="s">
        <v>433</v>
      </c>
      <c r="E34" s="11">
        <v>2</v>
      </c>
      <c r="F34" s="11">
        <v>3</v>
      </c>
      <c r="G34" s="11"/>
      <c r="H34" s="9">
        <f t="shared" si="1"/>
        <v>2.5</v>
      </c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spans="1:28" ht="14.45">
      <c r="A35" s="198"/>
      <c r="B35" s="17" t="s">
        <v>632</v>
      </c>
      <c r="C35" s="198"/>
      <c r="D35" s="198" t="s">
        <v>585</v>
      </c>
      <c r="E35" s="18"/>
      <c r="F35" s="18"/>
      <c r="G35" s="18"/>
      <c r="H35" s="195"/>
      <c r="I35" s="11">
        <f>AVERAGE(H37:H39)</f>
        <v>2.5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spans="1:28" ht="14.45">
      <c r="A36" s="198"/>
      <c r="B36" s="198"/>
      <c r="C36" s="198"/>
      <c r="D36" s="198"/>
      <c r="E36" s="11" t="s">
        <v>31</v>
      </c>
      <c r="F36" s="11" t="s">
        <v>10</v>
      </c>
      <c r="G36" s="11"/>
      <c r="H36" s="198" t="s">
        <v>306</v>
      </c>
      <c r="I36" s="195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spans="1:28" ht="14.45">
      <c r="A37" s="198"/>
      <c r="B37" s="198"/>
      <c r="C37" s="198" t="s">
        <v>307</v>
      </c>
      <c r="D37" s="198" t="s">
        <v>586</v>
      </c>
      <c r="E37" s="11">
        <v>2</v>
      </c>
      <c r="F37" s="11">
        <v>3</v>
      </c>
      <c r="G37" s="11"/>
      <c r="H37" s="9">
        <f t="shared" ref="H37:H39" si="2">AVERAGE(E37:F37)</f>
        <v>2.5</v>
      </c>
      <c r="I37" s="195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</row>
    <row r="38" spans="1:28" ht="14.45">
      <c r="A38" s="198"/>
      <c r="B38" s="198"/>
      <c r="C38" s="198" t="s">
        <v>309</v>
      </c>
      <c r="D38" s="198" t="s">
        <v>587</v>
      </c>
      <c r="E38" s="11">
        <v>2</v>
      </c>
      <c r="F38" s="11">
        <v>3</v>
      </c>
      <c r="G38" s="11"/>
      <c r="H38" s="9">
        <f t="shared" si="2"/>
        <v>2.5</v>
      </c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</row>
    <row r="39" spans="1:28" ht="14.45">
      <c r="A39" s="198"/>
      <c r="B39" s="198"/>
      <c r="C39" s="198" t="s">
        <v>316</v>
      </c>
      <c r="D39" s="198"/>
      <c r="E39" s="11">
        <v>2</v>
      </c>
      <c r="F39" s="11">
        <v>3</v>
      </c>
      <c r="G39" s="11"/>
      <c r="H39" s="9">
        <f t="shared" si="2"/>
        <v>2.5</v>
      </c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</row>
    <row r="40" spans="1:28" ht="14.45">
      <c r="A40" s="198"/>
      <c r="B40" s="198" t="s">
        <v>633</v>
      </c>
      <c r="C40" s="198" t="s">
        <v>282</v>
      </c>
      <c r="D40" s="198" t="s">
        <v>634</v>
      </c>
      <c r="E40" s="11"/>
      <c r="F40" s="11"/>
      <c r="G40" s="11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</row>
    <row r="41" spans="1:28" ht="14.45">
      <c r="A41" s="198"/>
      <c r="B41" s="198"/>
      <c r="C41" s="198"/>
      <c r="D41" s="198"/>
      <c r="E41" s="11"/>
      <c r="F41" s="11"/>
      <c r="G41" s="11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</row>
    <row r="42" spans="1:28" ht="14.45">
      <c r="A42" s="9">
        <v>7</v>
      </c>
      <c r="B42" s="286" t="s">
        <v>417</v>
      </c>
      <c r="C42" s="230"/>
      <c r="D42" s="230"/>
      <c r="E42" s="230"/>
      <c r="F42" s="230"/>
      <c r="G42" s="230"/>
      <c r="H42" s="230"/>
      <c r="I42" s="198">
        <f>AVERAGE(H45:H49)</f>
        <v>1</v>
      </c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spans="1:28" ht="14.45">
      <c r="A43" s="9"/>
      <c r="B43" s="198"/>
      <c r="C43" s="195"/>
      <c r="D43" s="195"/>
      <c r="E43" s="255" t="s">
        <v>31</v>
      </c>
      <c r="F43" s="255"/>
      <c r="G43" s="255"/>
      <c r="H43" s="195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spans="1:28" ht="14.45">
      <c r="A44" s="198"/>
      <c r="B44" s="9"/>
      <c r="C44" s="198"/>
      <c r="D44" s="198"/>
      <c r="E44" s="18" t="s">
        <v>635</v>
      </c>
      <c r="F44" s="18" t="s">
        <v>636</v>
      </c>
      <c r="G44" s="18" t="s">
        <v>637</v>
      </c>
      <c r="H44" s="18" t="s">
        <v>599</v>
      </c>
      <c r="I44" s="11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spans="1:28" ht="14.45">
      <c r="A45" s="198"/>
      <c r="B45" s="17" t="s">
        <v>638</v>
      </c>
      <c r="C45" s="198"/>
      <c r="D45" s="198" t="s">
        <v>590</v>
      </c>
      <c r="E45" s="18">
        <v>1</v>
      </c>
      <c r="F45" s="18">
        <v>1</v>
      </c>
      <c r="G45" s="18">
        <v>1</v>
      </c>
      <c r="H45" s="195">
        <f>AVERAGE(E45:G45)</f>
        <v>1</v>
      </c>
      <c r="I45" s="11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spans="1:28" ht="14.45">
      <c r="A46" s="198"/>
      <c r="B46" s="17" t="s">
        <v>639</v>
      </c>
      <c r="C46" s="198"/>
      <c r="D46" s="198" t="s">
        <v>591</v>
      </c>
      <c r="E46" s="18"/>
      <c r="F46" s="18"/>
      <c r="G46" s="18"/>
      <c r="H46" s="195"/>
      <c r="I46" s="11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spans="1:28" ht="14.45">
      <c r="A47" s="198"/>
      <c r="B47" s="17" t="s">
        <v>640</v>
      </c>
      <c r="C47" s="198"/>
      <c r="D47" s="198" t="s">
        <v>592</v>
      </c>
      <c r="E47" s="18"/>
      <c r="F47" s="18"/>
      <c r="G47" s="18"/>
      <c r="H47" s="195"/>
      <c r="I47" s="11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spans="1:28" ht="14.45">
      <c r="A48" s="198"/>
      <c r="B48" s="17" t="s">
        <v>641</v>
      </c>
      <c r="C48" s="198"/>
      <c r="D48" s="198" t="s">
        <v>593</v>
      </c>
      <c r="E48" s="18"/>
      <c r="F48" s="18"/>
      <c r="G48" s="18"/>
      <c r="H48" s="195"/>
      <c r="I48" s="11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</row>
    <row r="49" spans="1:28" ht="14.45">
      <c r="A49" s="198"/>
      <c r="B49" s="17" t="s">
        <v>642</v>
      </c>
      <c r="C49" s="198"/>
      <c r="D49" s="198" t="s">
        <v>594</v>
      </c>
      <c r="E49" s="18"/>
      <c r="F49" s="18"/>
      <c r="G49" s="18"/>
      <c r="H49" s="195"/>
      <c r="I49" s="11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</row>
    <row r="50" spans="1:28" ht="14.45">
      <c r="A50" s="198"/>
      <c r="B50" s="198" t="s">
        <v>633</v>
      </c>
      <c r="C50" s="198" t="s">
        <v>282</v>
      </c>
      <c r="D50" s="198" t="s">
        <v>634</v>
      </c>
      <c r="E50" s="11"/>
      <c r="F50" s="11"/>
      <c r="G50" s="11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</row>
    <row r="51" spans="1:28" ht="14.45">
      <c r="A51" s="198"/>
      <c r="B51" s="198"/>
      <c r="C51" s="198"/>
      <c r="D51" s="198"/>
      <c r="E51" s="11"/>
      <c r="F51" s="11"/>
      <c r="G51" s="11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</row>
    <row r="52" spans="1:28" ht="14.45">
      <c r="A52" s="198"/>
      <c r="B52" s="198"/>
      <c r="C52" s="198"/>
      <c r="D52" s="198"/>
      <c r="E52" s="11"/>
      <c r="F52" s="11"/>
      <c r="G52" s="11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</row>
    <row r="53" spans="1:28" ht="14.45">
      <c r="A53" s="198"/>
      <c r="B53" s="198"/>
      <c r="C53" s="198"/>
      <c r="D53" s="198"/>
      <c r="E53" s="11"/>
      <c r="F53" s="11"/>
      <c r="G53" s="11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spans="1:28" ht="14.45">
      <c r="A54" s="198"/>
      <c r="B54" s="198"/>
      <c r="C54" s="198"/>
      <c r="D54" s="198"/>
      <c r="E54" s="11"/>
      <c r="F54" s="11"/>
      <c r="G54" s="11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spans="1:28" ht="14.45">
      <c r="A55" s="198"/>
      <c r="B55" s="198"/>
      <c r="C55" s="198"/>
      <c r="D55" s="198"/>
      <c r="E55" s="11"/>
      <c r="F55" s="11"/>
      <c r="G55" s="11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spans="1:28" ht="14.45">
      <c r="A56" s="198"/>
      <c r="B56" s="198"/>
      <c r="C56" s="198"/>
      <c r="D56" s="198"/>
      <c r="E56" s="11"/>
      <c r="F56" s="11"/>
      <c r="G56" s="11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</row>
    <row r="57" spans="1:28" ht="14.45">
      <c r="A57" s="198"/>
      <c r="B57" s="198"/>
      <c r="C57" s="198"/>
      <c r="D57" s="198"/>
      <c r="E57" s="11"/>
      <c r="F57" s="11"/>
      <c r="G57" s="11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</row>
    <row r="58" spans="1:28" ht="14.45">
      <c r="A58" s="198"/>
      <c r="B58" s="198"/>
      <c r="C58" s="198"/>
      <c r="D58" s="198"/>
      <c r="E58" s="11"/>
      <c r="F58" s="11"/>
      <c r="G58" s="11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</row>
    <row r="59" spans="1:28" ht="14.45">
      <c r="A59" s="198"/>
      <c r="B59" s="198"/>
      <c r="C59" s="198"/>
      <c r="D59" s="198"/>
      <c r="E59" s="11"/>
      <c r="F59" s="11"/>
      <c r="G59" s="11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</row>
    <row r="60" spans="1:28" ht="14.45">
      <c r="A60" s="198"/>
      <c r="B60" s="198"/>
      <c r="C60" s="198"/>
      <c r="D60" s="198"/>
      <c r="E60" s="11"/>
      <c r="F60" s="11"/>
      <c r="G60" s="11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</row>
    <row r="61" spans="1:28" ht="14.45">
      <c r="A61" s="198"/>
      <c r="B61" s="198"/>
      <c r="C61" s="198"/>
      <c r="D61" s="198"/>
      <c r="E61" s="11"/>
      <c r="F61" s="11"/>
      <c r="G61" s="11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</row>
    <row r="62" spans="1:28" ht="14.45">
      <c r="A62" s="198"/>
      <c r="B62" s="198"/>
      <c r="C62" s="198"/>
      <c r="D62" s="198"/>
      <c r="E62" s="11"/>
      <c r="F62" s="11"/>
      <c r="G62" s="11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</row>
    <row r="63" spans="1:28" ht="14.45">
      <c r="A63" s="198"/>
      <c r="B63" s="198"/>
      <c r="C63" s="198"/>
      <c r="D63" s="198"/>
      <c r="E63" s="11"/>
      <c r="F63" s="11"/>
      <c r="G63" s="11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</row>
    <row r="64" spans="1:28" ht="14.45">
      <c r="A64" s="198"/>
      <c r="B64" s="198"/>
      <c r="C64" s="198"/>
      <c r="D64" s="198"/>
      <c r="E64" s="11"/>
      <c r="F64" s="11"/>
      <c r="G64" s="11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</row>
    <row r="65" spans="1:28" ht="14.45">
      <c r="A65" s="198"/>
      <c r="B65" s="198"/>
      <c r="C65" s="198"/>
      <c r="D65" s="198"/>
      <c r="E65" s="11"/>
      <c r="F65" s="11"/>
      <c r="G65" s="11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</row>
    <row r="66" spans="1:28" ht="14.45">
      <c r="A66" s="198"/>
      <c r="B66" s="198"/>
      <c r="C66" s="198"/>
      <c r="D66" s="198"/>
      <c r="E66" s="11"/>
      <c r="F66" s="11"/>
      <c r="G66" s="11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</row>
    <row r="67" spans="1:28" ht="14.45">
      <c r="A67" s="198"/>
      <c r="B67" s="198"/>
      <c r="C67" s="198"/>
      <c r="D67" s="198"/>
      <c r="E67" s="11"/>
      <c r="F67" s="11"/>
      <c r="G67" s="11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</row>
    <row r="68" spans="1:28" ht="14.45">
      <c r="A68" s="198"/>
      <c r="B68" s="198"/>
      <c r="C68" s="198"/>
      <c r="D68" s="198"/>
      <c r="E68" s="11"/>
      <c r="F68" s="11"/>
      <c r="G68" s="11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</row>
    <row r="69" spans="1:28" ht="14.45">
      <c r="A69" s="198"/>
      <c r="B69" s="198"/>
      <c r="C69" s="198"/>
      <c r="D69" s="198"/>
      <c r="E69" s="11"/>
      <c r="F69" s="11"/>
      <c r="G69" s="11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</row>
    <row r="70" spans="1:28" ht="14.45">
      <c r="A70" s="198"/>
      <c r="B70" s="198"/>
      <c r="C70" s="198"/>
      <c r="D70" s="198"/>
      <c r="E70" s="11"/>
      <c r="F70" s="11"/>
      <c r="G70" s="11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</row>
    <row r="71" spans="1:28" ht="14.45">
      <c r="A71" s="198"/>
      <c r="B71" s="198"/>
      <c r="C71" s="198"/>
      <c r="D71" s="198"/>
      <c r="E71" s="11"/>
      <c r="F71" s="11"/>
      <c r="G71" s="11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</row>
    <row r="72" spans="1:28" ht="14.45">
      <c r="A72" s="198"/>
      <c r="B72" s="198"/>
      <c r="C72" s="198"/>
      <c r="D72" s="198"/>
      <c r="E72" s="11"/>
      <c r="F72" s="11"/>
      <c r="G72" s="11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</row>
    <row r="73" spans="1:28" ht="14.45">
      <c r="A73" s="198"/>
      <c r="B73" s="198"/>
      <c r="C73" s="198"/>
      <c r="D73" s="198"/>
      <c r="E73" s="11"/>
      <c r="F73" s="11"/>
      <c r="G73" s="11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</row>
    <row r="74" spans="1:28" ht="14.45">
      <c r="A74" s="198"/>
      <c r="B74" s="198"/>
      <c r="C74" s="198"/>
      <c r="D74" s="198"/>
      <c r="E74" s="11"/>
      <c r="F74" s="11"/>
      <c r="G74" s="11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</row>
    <row r="75" spans="1:28" ht="14.45">
      <c r="A75" s="198"/>
      <c r="B75" s="198"/>
      <c r="C75" s="198"/>
      <c r="D75" s="198"/>
      <c r="E75" s="11"/>
      <c r="F75" s="11"/>
      <c r="G75" s="11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</row>
    <row r="76" spans="1:28" ht="14.45">
      <c r="A76" s="198"/>
      <c r="B76" s="198"/>
      <c r="C76" s="198"/>
      <c r="D76" s="198"/>
      <c r="E76" s="11"/>
      <c r="F76" s="11"/>
      <c r="G76" s="11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</row>
    <row r="77" spans="1:28" ht="14.45">
      <c r="A77" s="198"/>
      <c r="B77" s="198"/>
      <c r="C77" s="198"/>
      <c r="D77" s="198"/>
      <c r="E77" s="11"/>
      <c r="F77" s="11"/>
      <c r="G77" s="11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</row>
    <row r="78" spans="1:28" ht="14.45">
      <c r="A78" s="198"/>
      <c r="B78" s="198"/>
      <c r="C78" s="198"/>
      <c r="D78" s="198"/>
      <c r="E78" s="11"/>
      <c r="F78" s="11"/>
      <c r="G78" s="11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</row>
    <row r="79" spans="1:28" ht="14.45">
      <c r="A79" s="198"/>
      <c r="B79" s="198"/>
      <c r="C79" s="198"/>
      <c r="D79" s="198"/>
      <c r="E79" s="11"/>
      <c r="F79" s="11"/>
      <c r="G79" s="11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</row>
    <row r="80" spans="1:28" ht="14.45">
      <c r="A80" s="198"/>
      <c r="B80" s="198"/>
      <c r="C80" s="198"/>
      <c r="D80" s="198"/>
      <c r="E80" s="11"/>
      <c r="F80" s="11"/>
      <c r="G80" s="11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</row>
    <row r="81" spans="1:28" ht="14.45">
      <c r="A81" s="198"/>
      <c r="B81" s="198"/>
      <c r="C81" s="198"/>
      <c r="D81" s="198"/>
      <c r="E81" s="11"/>
      <c r="F81" s="11"/>
      <c r="G81" s="11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</row>
    <row r="82" spans="1:28" ht="14.45">
      <c r="A82" s="198"/>
      <c r="B82" s="198"/>
      <c r="C82" s="198"/>
      <c r="D82" s="198"/>
      <c r="E82" s="11"/>
      <c r="F82" s="11"/>
      <c r="G82" s="11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</row>
    <row r="83" spans="1:28" ht="14.45">
      <c r="A83" s="198"/>
      <c r="B83" s="198"/>
      <c r="C83" s="198"/>
      <c r="D83" s="198"/>
      <c r="E83" s="11"/>
      <c r="F83" s="11"/>
      <c r="G83" s="11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</row>
    <row r="84" spans="1:28" ht="14.45">
      <c r="A84" s="198"/>
      <c r="B84" s="198"/>
      <c r="C84" s="198"/>
      <c r="D84" s="198"/>
      <c r="E84" s="11"/>
      <c r="F84" s="11"/>
      <c r="G84" s="11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</row>
    <row r="85" spans="1:28" ht="14.45">
      <c r="A85" s="198"/>
      <c r="B85" s="198"/>
      <c r="C85" s="198"/>
      <c r="D85" s="198"/>
      <c r="E85" s="11"/>
      <c r="F85" s="11"/>
      <c r="G85" s="11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</row>
    <row r="86" spans="1:28" ht="14.45">
      <c r="A86" s="198"/>
      <c r="B86" s="198"/>
      <c r="C86" s="198"/>
      <c r="D86" s="198"/>
      <c r="E86" s="11"/>
      <c r="F86" s="11"/>
      <c r="G86" s="11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</row>
    <row r="87" spans="1:28" ht="14.45">
      <c r="A87" s="198"/>
      <c r="B87" s="198"/>
      <c r="C87" s="198"/>
      <c r="D87" s="198"/>
      <c r="E87" s="11"/>
      <c r="F87" s="11"/>
      <c r="G87" s="11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</row>
    <row r="88" spans="1:28" ht="14.45">
      <c r="A88" s="198"/>
      <c r="B88" s="198"/>
      <c r="C88" s="198"/>
      <c r="D88" s="198"/>
      <c r="E88" s="11"/>
      <c r="F88" s="11"/>
      <c r="G88" s="11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</row>
    <row r="89" spans="1:28" ht="14.45">
      <c r="A89" s="198"/>
      <c r="B89" s="198"/>
      <c r="C89" s="198"/>
      <c r="D89" s="198"/>
      <c r="E89" s="11"/>
      <c r="F89" s="11"/>
      <c r="G89" s="11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</row>
    <row r="90" spans="1:28" ht="14.45">
      <c r="A90" s="198"/>
      <c r="B90" s="198"/>
      <c r="C90" s="198"/>
      <c r="D90" s="198"/>
      <c r="E90" s="11"/>
      <c r="F90" s="11"/>
      <c r="G90" s="11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</row>
    <row r="91" spans="1:28" ht="14.45">
      <c r="A91" s="198"/>
      <c r="B91" s="198"/>
      <c r="C91" s="198"/>
      <c r="D91" s="198"/>
      <c r="E91" s="11"/>
      <c r="F91" s="11"/>
      <c r="G91" s="11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</row>
    <row r="92" spans="1:28" ht="14.45">
      <c r="A92" s="198"/>
      <c r="B92" s="198"/>
      <c r="C92" s="198"/>
      <c r="D92" s="198"/>
      <c r="E92" s="11"/>
      <c r="F92" s="11"/>
      <c r="G92" s="11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</row>
    <row r="93" spans="1:28" ht="14.45">
      <c r="A93" s="198"/>
      <c r="B93" s="198"/>
      <c r="C93" s="198"/>
      <c r="D93" s="198"/>
      <c r="E93" s="11"/>
      <c r="F93" s="11"/>
      <c r="G93" s="11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</row>
    <row r="94" spans="1:28" ht="14.45">
      <c r="A94" s="198"/>
      <c r="B94" s="198"/>
      <c r="C94" s="198"/>
      <c r="D94" s="198"/>
      <c r="E94" s="11"/>
      <c r="F94" s="11"/>
      <c r="G94" s="11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</row>
    <row r="95" spans="1:28" ht="14.45">
      <c r="A95" s="198"/>
      <c r="B95" s="198"/>
      <c r="C95" s="198"/>
      <c r="D95" s="198"/>
      <c r="E95" s="11"/>
      <c r="F95" s="11"/>
      <c r="G95" s="11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</row>
    <row r="96" spans="1:28" ht="14.45">
      <c r="A96" s="198"/>
      <c r="B96" s="198"/>
      <c r="C96" s="198"/>
      <c r="D96" s="198"/>
      <c r="E96" s="11"/>
      <c r="F96" s="11"/>
      <c r="G96" s="11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</row>
    <row r="97" spans="1:28" ht="14.45">
      <c r="A97" s="198"/>
      <c r="B97" s="198"/>
      <c r="C97" s="198"/>
      <c r="D97" s="198"/>
      <c r="E97" s="11"/>
      <c r="F97" s="11"/>
      <c r="G97" s="11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</row>
    <row r="98" spans="1:28" ht="14.45">
      <c r="A98" s="198"/>
      <c r="B98" s="198"/>
      <c r="C98" s="198"/>
      <c r="D98" s="198"/>
      <c r="E98" s="11"/>
      <c r="F98" s="11"/>
      <c r="G98" s="11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</row>
    <row r="99" spans="1:28" ht="14.45">
      <c r="A99" s="198"/>
      <c r="B99" s="198"/>
      <c r="C99" s="198"/>
      <c r="D99" s="198"/>
      <c r="E99" s="11"/>
      <c r="F99" s="11"/>
      <c r="G99" s="11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</row>
    <row r="100" spans="1:28" ht="14.45">
      <c r="A100" s="198"/>
      <c r="B100" s="198"/>
      <c r="C100" s="198"/>
      <c r="D100" s="198"/>
      <c r="E100" s="11"/>
      <c r="F100" s="11"/>
      <c r="G100" s="11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</row>
    <row r="101" spans="1:28" ht="14.45">
      <c r="A101" s="198"/>
      <c r="B101" s="198"/>
      <c r="C101" s="198"/>
      <c r="D101" s="198"/>
      <c r="E101" s="11"/>
      <c r="F101" s="11"/>
      <c r="G101" s="11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</row>
    <row r="102" spans="1:28" ht="14.45">
      <c r="A102" s="198"/>
      <c r="B102" s="198"/>
      <c r="C102" s="198"/>
      <c r="D102" s="198"/>
      <c r="E102" s="11"/>
      <c r="F102" s="11"/>
      <c r="G102" s="11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</row>
    <row r="103" spans="1:28" ht="14.45">
      <c r="A103" s="198"/>
      <c r="B103" s="198"/>
      <c r="C103" s="198"/>
      <c r="D103" s="198"/>
      <c r="E103" s="11"/>
      <c r="F103" s="11"/>
      <c r="G103" s="11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</row>
    <row r="104" spans="1:28" ht="14.45">
      <c r="A104" s="198"/>
      <c r="B104" s="198"/>
      <c r="C104" s="198"/>
      <c r="D104" s="198"/>
      <c r="E104" s="11"/>
      <c r="F104" s="11"/>
      <c r="G104" s="11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</row>
    <row r="105" spans="1:28" ht="14.45">
      <c r="A105" s="198"/>
      <c r="B105" s="198"/>
      <c r="C105" s="198"/>
      <c r="D105" s="198"/>
      <c r="E105" s="11"/>
      <c r="F105" s="11"/>
      <c r="G105" s="11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</row>
    <row r="106" spans="1:28" ht="14.45">
      <c r="A106" s="198"/>
      <c r="B106" s="198"/>
      <c r="C106" s="198"/>
      <c r="D106" s="198"/>
      <c r="E106" s="11"/>
      <c r="F106" s="11"/>
      <c r="G106" s="11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</row>
    <row r="107" spans="1:28" ht="14.45">
      <c r="A107" s="198"/>
      <c r="B107" s="198"/>
      <c r="C107" s="198"/>
      <c r="D107" s="198"/>
      <c r="E107" s="11"/>
      <c r="F107" s="11"/>
      <c r="G107" s="11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</row>
    <row r="108" spans="1:28" ht="14.45">
      <c r="A108" s="198"/>
      <c r="B108" s="198"/>
      <c r="C108" s="198"/>
      <c r="D108" s="198"/>
      <c r="E108" s="11"/>
      <c r="F108" s="11"/>
      <c r="G108" s="11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</row>
    <row r="109" spans="1:28" ht="14.45">
      <c r="A109" s="198"/>
      <c r="B109" s="198"/>
      <c r="C109" s="198"/>
      <c r="D109" s="198"/>
      <c r="E109" s="11"/>
      <c r="F109" s="11"/>
      <c r="G109" s="11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</row>
    <row r="110" spans="1:28" ht="14.45">
      <c r="A110" s="198"/>
      <c r="B110" s="198"/>
      <c r="C110" s="198"/>
      <c r="D110" s="198"/>
      <c r="E110" s="11"/>
      <c r="F110" s="11"/>
      <c r="G110" s="11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</row>
    <row r="111" spans="1:28" ht="14.45">
      <c r="A111" s="198"/>
      <c r="B111" s="198"/>
      <c r="C111" s="198"/>
      <c r="D111" s="198"/>
      <c r="E111" s="11"/>
      <c r="F111" s="11"/>
      <c r="G111" s="11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</row>
    <row r="112" spans="1:28" ht="14.45">
      <c r="A112" s="198"/>
      <c r="B112" s="198"/>
      <c r="C112" s="198"/>
      <c r="D112" s="198"/>
      <c r="E112" s="11"/>
      <c r="F112" s="11"/>
      <c r="G112" s="11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</row>
    <row r="113" spans="1:28" ht="14.45">
      <c r="A113" s="198"/>
      <c r="B113" s="198"/>
      <c r="C113" s="198"/>
      <c r="D113" s="198"/>
      <c r="E113" s="11"/>
      <c r="F113" s="11"/>
      <c r="G113" s="11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</row>
    <row r="114" spans="1:28" ht="14.45">
      <c r="A114" s="198"/>
      <c r="B114" s="198"/>
      <c r="C114" s="198"/>
      <c r="D114" s="198"/>
      <c r="E114" s="11"/>
      <c r="F114" s="11"/>
      <c r="G114" s="11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</row>
    <row r="115" spans="1:28" ht="14.45">
      <c r="A115" s="198"/>
      <c r="B115" s="198"/>
      <c r="C115" s="198"/>
      <c r="D115" s="198"/>
      <c r="E115" s="11"/>
      <c r="F115" s="11"/>
      <c r="G115" s="11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</row>
    <row r="116" spans="1:28" ht="14.45">
      <c r="A116" s="198"/>
      <c r="B116" s="198"/>
      <c r="C116" s="198"/>
      <c r="D116" s="198"/>
      <c r="E116" s="11"/>
      <c r="F116" s="11"/>
      <c r="G116" s="11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</row>
    <row r="117" spans="1:28" ht="14.45">
      <c r="A117" s="198"/>
      <c r="B117" s="198"/>
      <c r="C117" s="198"/>
      <c r="D117" s="198"/>
      <c r="E117" s="11"/>
      <c r="F117" s="11"/>
      <c r="G117" s="11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</row>
    <row r="118" spans="1:28" ht="14.45">
      <c r="A118" s="198"/>
      <c r="B118" s="198"/>
      <c r="C118" s="198"/>
      <c r="D118" s="198"/>
      <c r="E118" s="11"/>
      <c r="F118" s="11"/>
      <c r="G118" s="11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</row>
    <row r="119" spans="1:28" ht="14.45">
      <c r="A119" s="198"/>
      <c r="B119" s="198"/>
      <c r="C119" s="198"/>
      <c r="D119" s="198"/>
      <c r="E119" s="11"/>
      <c r="F119" s="11"/>
      <c r="G119" s="11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</row>
    <row r="120" spans="1:28" ht="14.45">
      <c r="A120" s="198"/>
      <c r="B120" s="198"/>
      <c r="C120" s="198"/>
      <c r="D120" s="198"/>
      <c r="E120" s="11"/>
      <c r="F120" s="11"/>
      <c r="G120" s="11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</row>
    <row r="121" spans="1:28" ht="14.45">
      <c r="A121" s="198"/>
      <c r="B121" s="198"/>
      <c r="C121" s="198"/>
      <c r="D121" s="198"/>
      <c r="E121" s="11"/>
      <c r="F121" s="11"/>
      <c r="G121" s="11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</row>
    <row r="122" spans="1:28" ht="14.45">
      <c r="A122" s="198"/>
      <c r="B122" s="198"/>
      <c r="C122" s="198"/>
      <c r="D122" s="198"/>
      <c r="E122" s="11"/>
      <c r="F122" s="11"/>
      <c r="G122" s="11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</row>
    <row r="123" spans="1:28" ht="14.45">
      <c r="A123" s="198"/>
      <c r="B123" s="198"/>
      <c r="C123" s="198"/>
      <c r="D123" s="198"/>
      <c r="E123" s="11"/>
      <c r="F123" s="11"/>
      <c r="G123" s="11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</row>
    <row r="124" spans="1:28" ht="14.45">
      <c r="A124" s="198"/>
      <c r="B124" s="198"/>
      <c r="C124" s="198"/>
      <c r="D124" s="198"/>
      <c r="E124" s="11"/>
      <c r="F124" s="11"/>
      <c r="G124" s="11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</row>
    <row r="125" spans="1:28" ht="14.45">
      <c r="A125" s="198"/>
      <c r="B125" s="198"/>
      <c r="C125" s="198"/>
      <c r="D125" s="198"/>
      <c r="E125" s="11"/>
      <c r="F125" s="11"/>
      <c r="G125" s="11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</row>
    <row r="126" spans="1:28" ht="14.45">
      <c r="A126" s="198"/>
      <c r="B126" s="198"/>
      <c r="C126" s="198"/>
      <c r="D126" s="198"/>
      <c r="E126" s="11"/>
      <c r="F126" s="11"/>
      <c r="G126" s="11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</row>
    <row r="127" spans="1:28" ht="14.45">
      <c r="A127" s="198"/>
      <c r="B127" s="198"/>
      <c r="C127" s="198"/>
      <c r="D127" s="198"/>
      <c r="E127" s="11"/>
      <c r="F127" s="11"/>
      <c r="G127" s="11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</row>
    <row r="128" spans="1:28" ht="14.45">
      <c r="A128" s="198"/>
      <c r="B128" s="198"/>
      <c r="C128" s="198"/>
      <c r="D128" s="198"/>
      <c r="E128" s="11"/>
      <c r="F128" s="11"/>
      <c r="G128" s="11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</row>
    <row r="129" spans="1:28" ht="14.45">
      <c r="A129" s="198"/>
      <c r="B129" s="198"/>
      <c r="C129" s="198"/>
      <c r="D129" s="198"/>
      <c r="E129" s="11"/>
      <c r="F129" s="11"/>
      <c r="G129" s="11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</row>
    <row r="130" spans="1:28" ht="14.45">
      <c r="A130" s="198"/>
      <c r="B130" s="198"/>
      <c r="C130" s="198"/>
      <c r="D130" s="198"/>
      <c r="E130" s="11"/>
      <c r="F130" s="11"/>
      <c r="G130" s="11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</row>
    <row r="131" spans="1:28" ht="14.45">
      <c r="A131" s="198"/>
      <c r="B131" s="198"/>
      <c r="C131" s="198"/>
      <c r="D131" s="198"/>
      <c r="E131" s="11"/>
      <c r="F131" s="11"/>
      <c r="G131" s="11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</row>
    <row r="132" spans="1:28" ht="14.45">
      <c r="A132" s="198"/>
      <c r="B132" s="198"/>
      <c r="C132" s="198"/>
      <c r="D132" s="198"/>
      <c r="E132" s="11"/>
      <c r="F132" s="11"/>
      <c r="G132" s="11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</row>
    <row r="133" spans="1:28" ht="14.45">
      <c r="A133" s="198"/>
      <c r="B133" s="198"/>
      <c r="C133" s="198"/>
      <c r="D133" s="198"/>
      <c r="E133" s="11"/>
      <c r="F133" s="11"/>
      <c r="G133" s="11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</row>
    <row r="134" spans="1:28" ht="14.45">
      <c r="A134" s="198"/>
      <c r="B134" s="198"/>
      <c r="C134" s="198"/>
      <c r="D134" s="198"/>
      <c r="E134" s="11"/>
      <c r="F134" s="11"/>
      <c r="G134" s="11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</row>
    <row r="135" spans="1:28" ht="14.45">
      <c r="A135" s="198"/>
      <c r="B135" s="198"/>
      <c r="C135" s="198"/>
      <c r="D135" s="198"/>
      <c r="E135" s="11"/>
      <c r="F135" s="11"/>
      <c r="G135" s="11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</row>
    <row r="136" spans="1:28" ht="14.45">
      <c r="A136" s="198"/>
      <c r="B136" s="198"/>
      <c r="C136" s="198"/>
      <c r="D136" s="198"/>
      <c r="E136" s="11"/>
      <c r="F136" s="11"/>
      <c r="G136" s="11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</row>
    <row r="137" spans="1:28" ht="14.45">
      <c r="A137" s="198"/>
      <c r="B137" s="198"/>
      <c r="C137" s="198"/>
      <c r="D137" s="198"/>
      <c r="E137" s="11"/>
      <c r="F137" s="11"/>
      <c r="G137" s="11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</row>
    <row r="138" spans="1:28" ht="14.45">
      <c r="A138" s="198"/>
      <c r="B138" s="198"/>
      <c r="C138" s="198"/>
      <c r="D138" s="198"/>
      <c r="E138" s="11"/>
      <c r="F138" s="11"/>
      <c r="G138" s="11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</row>
    <row r="139" spans="1:28" ht="14.45">
      <c r="A139" s="198"/>
      <c r="B139" s="198"/>
      <c r="C139" s="198"/>
      <c r="D139" s="198"/>
      <c r="E139" s="11"/>
      <c r="F139" s="11"/>
      <c r="G139" s="11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</row>
    <row r="140" spans="1:28" ht="14.45">
      <c r="A140" s="198"/>
      <c r="B140" s="198"/>
      <c r="C140" s="198"/>
      <c r="D140" s="198"/>
      <c r="E140" s="11"/>
      <c r="F140" s="11"/>
      <c r="G140" s="11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</row>
    <row r="141" spans="1:28" ht="14.45">
      <c r="A141" s="198"/>
      <c r="B141" s="198"/>
      <c r="C141" s="198"/>
      <c r="D141" s="198"/>
      <c r="E141" s="11"/>
      <c r="F141" s="11"/>
      <c r="G141" s="11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</row>
    <row r="142" spans="1:28" ht="14.45">
      <c r="A142" s="198"/>
      <c r="B142" s="198"/>
      <c r="C142" s="198"/>
      <c r="D142" s="198"/>
      <c r="E142" s="11"/>
      <c r="F142" s="11"/>
      <c r="G142" s="11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</row>
    <row r="143" spans="1:28" ht="14.45">
      <c r="A143" s="198"/>
      <c r="B143" s="198"/>
      <c r="C143" s="198"/>
      <c r="D143" s="198"/>
      <c r="E143" s="11"/>
      <c r="F143" s="11"/>
      <c r="G143" s="11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</row>
    <row r="144" spans="1:28" ht="14.45">
      <c r="A144" s="198"/>
      <c r="B144" s="198"/>
      <c r="C144" s="198"/>
      <c r="D144" s="198"/>
      <c r="E144" s="11"/>
      <c r="F144" s="11"/>
      <c r="G144" s="11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</row>
    <row r="145" spans="1:28" ht="14.45">
      <c r="A145" s="198"/>
      <c r="B145" s="198"/>
      <c r="C145" s="198"/>
      <c r="D145" s="198"/>
      <c r="E145" s="11"/>
      <c r="F145" s="11"/>
      <c r="G145" s="11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</row>
    <row r="146" spans="1:28" ht="14.45">
      <c r="A146" s="198"/>
      <c r="B146" s="198"/>
      <c r="C146" s="198"/>
      <c r="D146" s="198"/>
      <c r="E146" s="11"/>
      <c r="F146" s="11"/>
      <c r="G146" s="11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</row>
    <row r="147" spans="1:28" ht="14.45">
      <c r="A147" s="198"/>
      <c r="B147" s="198"/>
      <c r="C147" s="198"/>
      <c r="D147" s="198"/>
      <c r="E147" s="11"/>
      <c r="F147" s="11"/>
      <c r="G147" s="11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</row>
    <row r="148" spans="1:28" ht="14.45">
      <c r="A148" s="198"/>
      <c r="B148" s="198"/>
      <c r="C148" s="198"/>
      <c r="D148" s="198"/>
      <c r="E148" s="11"/>
      <c r="F148" s="11"/>
      <c r="G148" s="11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</row>
    <row r="149" spans="1:28" ht="14.45">
      <c r="A149" s="198"/>
      <c r="B149" s="198"/>
      <c r="C149" s="198"/>
      <c r="D149" s="198"/>
      <c r="E149" s="11"/>
      <c r="F149" s="11"/>
      <c r="G149" s="11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</row>
    <row r="150" spans="1:28" ht="14.45">
      <c r="A150" s="198"/>
      <c r="B150" s="198"/>
      <c r="C150" s="198"/>
      <c r="D150" s="198"/>
      <c r="E150" s="11"/>
      <c r="F150" s="11"/>
      <c r="G150" s="11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</row>
    <row r="151" spans="1:28" ht="14.45">
      <c r="A151" s="198"/>
      <c r="B151" s="198"/>
      <c r="C151" s="198"/>
      <c r="D151" s="198"/>
      <c r="E151" s="11"/>
      <c r="F151" s="11"/>
      <c r="G151" s="11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</row>
    <row r="152" spans="1:28" ht="14.45">
      <c r="A152" s="198"/>
      <c r="B152" s="198"/>
      <c r="C152" s="198"/>
      <c r="D152" s="198"/>
      <c r="E152" s="11"/>
      <c r="F152" s="11"/>
      <c r="G152" s="11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</row>
    <row r="153" spans="1:28" ht="14.45">
      <c r="A153" s="198"/>
      <c r="B153" s="198"/>
      <c r="C153" s="198"/>
      <c r="D153" s="198"/>
      <c r="E153" s="11"/>
      <c r="F153" s="11"/>
      <c r="G153" s="11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</row>
    <row r="154" spans="1:28" ht="14.45">
      <c r="A154" s="198"/>
      <c r="B154" s="198"/>
      <c r="C154" s="198"/>
      <c r="D154" s="198"/>
      <c r="E154" s="11"/>
      <c r="F154" s="11"/>
      <c r="G154" s="11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</row>
    <row r="155" spans="1:28" ht="14.45">
      <c r="A155" s="198"/>
      <c r="B155" s="198"/>
      <c r="C155" s="198"/>
      <c r="D155" s="198"/>
      <c r="E155" s="11"/>
      <c r="F155" s="11"/>
      <c r="G155" s="11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</row>
    <row r="156" spans="1:28" ht="14.45">
      <c r="A156" s="198"/>
      <c r="B156" s="198"/>
      <c r="C156" s="198"/>
      <c r="D156" s="198"/>
      <c r="E156" s="11"/>
      <c r="F156" s="11"/>
      <c r="G156" s="11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</row>
    <row r="157" spans="1:28" ht="14.45">
      <c r="A157" s="198"/>
      <c r="B157" s="198"/>
      <c r="C157" s="198"/>
      <c r="D157" s="198"/>
      <c r="E157" s="11"/>
      <c r="F157" s="11"/>
      <c r="G157" s="11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</row>
    <row r="158" spans="1:28" ht="14.45">
      <c r="A158" s="198"/>
      <c r="B158" s="198"/>
      <c r="C158" s="198"/>
      <c r="D158" s="198"/>
      <c r="E158" s="11"/>
      <c r="F158" s="11"/>
      <c r="G158" s="11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</row>
    <row r="159" spans="1:28" ht="14.45">
      <c r="A159" s="198"/>
      <c r="B159" s="198"/>
      <c r="C159" s="198"/>
      <c r="D159" s="198"/>
      <c r="E159" s="11"/>
      <c r="F159" s="11"/>
      <c r="G159" s="11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</row>
    <row r="160" spans="1:28" ht="14.45">
      <c r="A160" s="198"/>
      <c r="B160" s="198"/>
      <c r="C160" s="198"/>
      <c r="D160" s="198"/>
      <c r="E160" s="11"/>
      <c r="F160" s="11"/>
      <c r="G160" s="11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</row>
    <row r="161" spans="1:28" ht="14.45">
      <c r="A161" s="198"/>
      <c r="B161" s="198"/>
      <c r="C161" s="198"/>
      <c r="D161" s="198"/>
      <c r="E161" s="11"/>
      <c r="F161" s="11"/>
      <c r="G161" s="11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</row>
    <row r="162" spans="1:28" ht="14.45">
      <c r="A162" s="198"/>
      <c r="B162" s="198"/>
      <c r="C162" s="198"/>
      <c r="D162" s="198"/>
      <c r="E162" s="11"/>
      <c r="F162" s="11"/>
      <c r="G162" s="11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</row>
    <row r="163" spans="1:28" ht="14.45">
      <c r="A163" s="198"/>
      <c r="B163" s="198"/>
      <c r="C163" s="198"/>
      <c r="D163" s="198"/>
      <c r="E163" s="11"/>
      <c r="F163" s="11"/>
      <c r="G163" s="11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</row>
    <row r="164" spans="1:28" ht="14.45">
      <c r="A164" s="198"/>
      <c r="B164" s="198"/>
      <c r="C164" s="198"/>
      <c r="D164" s="198"/>
      <c r="E164" s="11"/>
      <c r="F164" s="11"/>
      <c r="G164" s="11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</row>
    <row r="165" spans="1:28" ht="14.45">
      <c r="A165" s="198"/>
      <c r="B165" s="198"/>
      <c r="C165" s="198"/>
      <c r="D165" s="198"/>
      <c r="E165" s="11"/>
      <c r="F165" s="11"/>
      <c r="G165" s="11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</row>
    <row r="166" spans="1:28" ht="14.45">
      <c r="A166" s="198"/>
      <c r="B166" s="198"/>
      <c r="C166" s="198"/>
      <c r="D166" s="198"/>
      <c r="E166" s="11"/>
      <c r="F166" s="11"/>
      <c r="G166" s="11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</row>
    <row r="167" spans="1:28" ht="14.45">
      <c r="A167" s="198"/>
      <c r="B167" s="198"/>
      <c r="C167" s="198"/>
      <c r="D167" s="198"/>
      <c r="E167" s="11"/>
      <c r="F167" s="11"/>
      <c r="G167" s="11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</row>
    <row r="168" spans="1:28" ht="14.45">
      <c r="A168" s="198"/>
      <c r="B168" s="198"/>
      <c r="C168" s="198"/>
      <c r="D168" s="198"/>
      <c r="E168" s="11"/>
      <c r="F168" s="11"/>
      <c r="G168" s="11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</row>
    <row r="169" spans="1:28" ht="14.45">
      <c r="A169" s="198"/>
      <c r="B169" s="198"/>
      <c r="C169" s="198"/>
      <c r="D169" s="198"/>
      <c r="E169" s="11"/>
      <c r="F169" s="11"/>
      <c r="G169" s="11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</row>
    <row r="170" spans="1:28" ht="14.45">
      <c r="A170" s="198"/>
      <c r="B170" s="198"/>
      <c r="C170" s="198"/>
      <c r="D170" s="198"/>
      <c r="E170" s="11"/>
      <c r="F170" s="11"/>
      <c r="G170" s="11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</row>
    <row r="171" spans="1:28" ht="14.45">
      <c r="A171" s="198"/>
      <c r="B171" s="198"/>
      <c r="C171" s="198"/>
      <c r="D171" s="198"/>
      <c r="E171" s="11"/>
      <c r="F171" s="11"/>
      <c r="G171" s="11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</row>
    <row r="172" spans="1:28" ht="14.45">
      <c r="A172" s="198"/>
      <c r="B172" s="198"/>
      <c r="C172" s="198"/>
      <c r="D172" s="198"/>
      <c r="E172" s="11"/>
      <c r="F172" s="11"/>
      <c r="G172" s="11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</row>
    <row r="173" spans="1:28" ht="14.45">
      <c r="A173" s="198"/>
      <c r="B173" s="198"/>
      <c r="C173" s="198"/>
      <c r="D173" s="198"/>
      <c r="E173" s="11"/>
      <c r="F173" s="11"/>
      <c r="G173" s="11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</row>
    <row r="174" spans="1:28" ht="14.45">
      <c r="A174" s="198"/>
      <c r="B174" s="198"/>
      <c r="C174" s="198"/>
      <c r="D174" s="198"/>
      <c r="E174" s="11"/>
      <c r="F174" s="11"/>
      <c r="G174" s="11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</row>
    <row r="175" spans="1:28" ht="14.45">
      <c r="A175" s="198"/>
      <c r="B175" s="198"/>
      <c r="C175" s="198"/>
      <c r="D175" s="198"/>
      <c r="E175" s="11"/>
      <c r="F175" s="11"/>
      <c r="G175" s="11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</row>
    <row r="176" spans="1:28" ht="14.45">
      <c r="A176" s="198"/>
      <c r="B176" s="198"/>
      <c r="C176" s="198"/>
      <c r="D176" s="198"/>
      <c r="E176" s="11"/>
      <c r="F176" s="11"/>
      <c r="G176" s="11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</row>
    <row r="177" spans="1:28" ht="14.45">
      <c r="A177" s="198"/>
      <c r="B177" s="198"/>
      <c r="C177" s="198"/>
      <c r="D177" s="198"/>
      <c r="E177" s="11"/>
      <c r="F177" s="11"/>
      <c r="G177" s="11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</row>
    <row r="178" spans="1:28" ht="14.45">
      <c r="A178" s="198"/>
      <c r="B178" s="198"/>
      <c r="C178" s="198"/>
      <c r="D178" s="198"/>
      <c r="E178" s="11"/>
      <c r="F178" s="11"/>
      <c r="G178" s="11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</row>
    <row r="179" spans="1:28" ht="14.45">
      <c r="A179" s="198"/>
      <c r="B179" s="198"/>
      <c r="C179" s="198"/>
      <c r="D179" s="198"/>
      <c r="E179" s="11"/>
      <c r="F179" s="11"/>
      <c r="G179" s="11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</row>
    <row r="180" spans="1:28" ht="14.45">
      <c r="A180" s="198"/>
      <c r="B180" s="198"/>
      <c r="C180" s="198"/>
      <c r="D180" s="198"/>
      <c r="E180" s="11"/>
      <c r="F180" s="11"/>
      <c r="G180" s="11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</row>
    <row r="181" spans="1:28" ht="14.45">
      <c r="A181" s="198"/>
      <c r="B181" s="198"/>
      <c r="C181" s="198"/>
      <c r="D181" s="198"/>
      <c r="E181" s="11"/>
      <c r="F181" s="11"/>
      <c r="G181" s="11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</row>
    <row r="182" spans="1:28" ht="14.45">
      <c r="A182" s="198"/>
      <c r="B182" s="198"/>
      <c r="C182" s="198"/>
      <c r="D182" s="198"/>
      <c r="E182" s="11"/>
      <c r="F182" s="11"/>
      <c r="G182" s="11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</row>
    <row r="183" spans="1:28" ht="14.45">
      <c r="A183" s="198"/>
      <c r="B183" s="198"/>
      <c r="C183" s="198"/>
      <c r="D183" s="198"/>
      <c r="E183" s="11"/>
      <c r="F183" s="11"/>
      <c r="G183" s="11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</row>
    <row r="184" spans="1:28" ht="14.45">
      <c r="A184" s="198"/>
      <c r="B184" s="198"/>
      <c r="C184" s="198"/>
      <c r="D184" s="198"/>
      <c r="E184" s="11"/>
      <c r="F184" s="11"/>
      <c r="G184" s="11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</row>
    <row r="185" spans="1:28" ht="14.45">
      <c r="A185" s="198"/>
      <c r="B185" s="198"/>
      <c r="C185" s="198"/>
      <c r="D185" s="198"/>
      <c r="E185" s="11"/>
      <c r="F185" s="11"/>
      <c r="G185" s="11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</row>
    <row r="186" spans="1:28" ht="14.45">
      <c r="A186" s="198"/>
      <c r="B186" s="198"/>
      <c r="C186" s="198"/>
      <c r="D186" s="198"/>
      <c r="E186" s="11"/>
      <c r="F186" s="11"/>
      <c r="G186" s="11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</row>
    <row r="187" spans="1:28" ht="14.45">
      <c r="A187" s="198"/>
      <c r="B187" s="198"/>
      <c r="C187" s="198"/>
      <c r="D187" s="198"/>
      <c r="E187" s="11"/>
      <c r="F187" s="11"/>
      <c r="G187" s="11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</row>
    <row r="188" spans="1:28" ht="14.45">
      <c r="A188" s="198"/>
      <c r="B188" s="198"/>
      <c r="C188" s="198"/>
      <c r="D188" s="198"/>
      <c r="E188" s="11"/>
      <c r="F188" s="11"/>
      <c r="G188" s="11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</row>
    <row r="189" spans="1:28" ht="14.45">
      <c r="A189" s="198"/>
      <c r="B189" s="198"/>
      <c r="C189" s="198"/>
      <c r="D189" s="198"/>
      <c r="E189" s="11"/>
      <c r="F189" s="11"/>
      <c r="G189" s="11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</row>
    <row r="190" spans="1:28" ht="14.45">
      <c r="A190" s="198"/>
      <c r="B190" s="198"/>
      <c r="C190" s="198"/>
      <c r="D190" s="198"/>
      <c r="E190" s="11"/>
      <c r="F190" s="11"/>
      <c r="G190" s="11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</row>
    <row r="191" spans="1:28" ht="14.45">
      <c r="A191" s="198"/>
      <c r="B191" s="198"/>
      <c r="C191" s="198"/>
      <c r="D191" s="198"/>
      <c r="E191" s="11"/>
      <c r="F191" s="11"/>
      <c r="G191" s="11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</row>
    <row r="192" spans="1:28" ht="14.45">
      <c r="A192" s="198"/>
      <c r="B192" s="198"/>
      <c r="C192" s="198"/>
      <c r="D192" s="198"/>
      <c r="E192" s="11"/>
      <c r="F192" s="11"/>
      <c r="G192" s="11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</row>
    <row r="193" spans="1:28" ht="14.45">
      <c r="A193" s="198"/>
      <c r="B193" s="198"/>
      <c r="C193" s="198"/>
      <c r="D193" s="198"/>
      <c r="E193" s="11"/>
      <c r="F193" s="11"/>
      <c r="G193" s="11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</row>
    <row r="194" spans="1:28" ht="14.45">
      <c r="A194" s="198"/>
      <c r="B194" s="198"/>
      <c r="C194" s="198"/>
      <c r="D194" s="198"/>
      <c r="E194" s="11"/>
      <c r="F194" s="11"/>
      <c r="G194" s="11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</row>
    <row r="195" spans="1:28" ht="14.45">
      <c r="A195" s="198"/>
      <c r="B195" s="198"/>
      <c r="C195" s="198"/>
      <c r="D195" s="198"/>
      <c r="E195" s="11"/>
      <c r="F195" s="11"/>
      <c r="G195" s="11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</row>
    <row r="196" spans="1:28" ht="14.45">
      <c r="A196" s="198"/>
      <c r="B196" s="198"/>
      <c r="C196" s="198"/>
      <c r="D196" s="198"/>
      <c r="E196" s="11"/>
      <c r="F196" s="11"/>
      <c r="G196" s="11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</row>
    <row r="197" spans="1:28" ht="14.45">
      <c r="A197" s="198"/>
      <c r="B197" s="198"/>
      <c r="C197" s="198"/>
      <c r="D197" s="198"/>
      <c r="E197" s="11"/>
      <c r="F197" s="11"/>
      <c r="G197" s="11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</row>
    <row r="198" spans="1:28" ht="14.45">
      <c r="A198" s="198"/>
      <c r="B198" s="198"/>
      <c r="C198" s="198"/>
      <c r="D198" s="198"/>
      <c r="E198" s="11"/>
      <c r="F198" s="11"/>
      <c r="G198" s="11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</row>
    <row r="199" spans="1:28" ht="14.45">
      <c r="A199" s="198"/>
      <c r="B199" s="198"/>
      <c r="C199" s="198"/>
      <c r="D199" s="198"/>
      <c r="E199" s="11"/>
      <c r="F199" s="11"/>
      <c r="G199" s="11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</row>
    <row r="200" spans="1:28" ht="14.45">
      <c r="A200" s="198"/>
      <c r="B200" s="198"/>
      <c r="C200" s="198"/>
      <c r="D200" s="198"/>
      <c r="E200" s="11"/>
      <c r="F200" s="11"/>
      <c r="G200" s="11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</row>
    <row r="201" spans="1:28" ht="14.45">
      <c r="A201" s="198"/>
      <c r="B201" s="198"/>
      <c r="C201" s="198"/>
      <c r="D201" s="198"/>
      <c r="E201" s="11"/>
      <c r="F201" s="11"/>
      <c r="G201" s="11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</row>
    <row r="202" spans="1:28" ht="14.45">
      <c r="A202" s="198"/>
      <c r="B202" s="198"/>
      <c r="C202" s="198"/>
      <c r="D202" s="198"/>
      <c r="E202" s="11"/>
      <c r="F202" s="11"/>
      <c r="G202" s="11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</row>
    <row r="203" spans="1:28" ht="14.45">
      <c r="A203" s="198"/>
      <c r="B203" s="198"/>
      <c r="C203" s="198"/>
      <c r="D203" s="198"/>
      <c r="E203" s="11"/>
      <c r="F203" s="11"/>
      <c r="G203" s="11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</row>
    <row r="204" spans="1:28" ht="14.45">
      <c r="A204" s="198"/>
      <c r="B204" s="198"/>
      <c r="C204" s="198"/>
      <c r="D204" s="198"/>
      <c r="E204" s="11"/>
      <c r="F204" s="11"/>
      <c r="G204" s="11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</row>
    <row r="205" spans="1:28" ht="14.45">
      <c r="A205" s="198"/>
      <c r="B205" s="198"/>
      <c r="C205" s="198"/>
      <c r="D205" s="198"/>
      <c r="E205" s="11"/>
      <c r="F205" s="11"/>
      <c r="G205" s="11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</row>
    <row r="206" spans="1:28" ht="14.45">
      <c r="A206" s="198"/>
      <c r="B206" s="198"/>
      <c r="C206" s="198"/>
      <c r="D206" s="198"/>
      <c r="E206" s="11"/>
      <c r="F206" s="11"/>
      <c r="G206" s="11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</row>
    <row r="207" spans="1:28" ht="14.45">
      <c r="A207" s="198"/>
      <c r="B207" s="198"/>
      <c r="C207" s="198"/>
      <c r="D207" s="198"/>
      <c r="E207" s="11"/>
      <c r="F207" s="11"/>
      <c r="G207" s="11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</row>
    <row r="208" spans="1:28" ht="14.45">
      <c r="A208" s="198"/>
      <c r="B208" s="198"/>
      <c r="C208" s="198"/>
      <c r="D208" s="198"/>
      <c r="E208" s="11"/>
      <c r="F208" s="11"/>
      <c r="G208" s="11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</row>
    <row r="209" spans="1:28" ht="14.45">
      <c r="A209" s="198"/>
      <c r="B209" s="198"/>
      <c r="C209" s="198"/>
      <c r="D209" s="198"/>
      <c r="E209" s="11"/>
      <c r="F209" s="11"/>
      <c r="G209" s="11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</row>
    <row r="210" spans="1:28" ht="14.45">
      <c r="A210" s="198"/>
      <c r="B210" s="198"/>
      <c r="C210" s="198"/>
      <c r="D210" s="198"/>
      <c r="E210" s="11"/>
      <c r="F210" s="11"/>
      <c r="G210" s="11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</row>
    <row r="211" spans="1:28" ht="14.45">
      <c r="A211" s="198"/>
      <c r="B211" s="198"/>
      <c r="C211" s="198"/>
      <c r="D211" s="198"/>
      <c r="E211" s="11"/>
      <c r="F211" s="11"/>
      <c r="G211" s="11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</row>
    <row r="212" spans="1:28" ht="14.45">
      <c r="A212" s="198"/>
      <c r="B212" s="198"/>
      <c r="C212" s="198"/>
      <c r="D212" s="198"/>
      <c r="E212" s="11"/>
      <c r="F212" s="11"/>
      <c r="G212" s="11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</row>
    <row r="213" spans="1:28" ht="14.45">
      <c r="A213" s="198"/>
      <c r="B213" s="198"/>
      <c r="C213" s="198"/>
      <c r="D213" s="198"/>
      <c r="E213" s="11"/>
      <c r="F213" s="11"/>
      <c r="G213" s="11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</row>
    <row r="214" spans="1:28" ht="14.45">
      <c r="A214" s="198"/>
      <c r="B214" s="198"/>
      <c r="C214" s="198"/>
      <c r="D214" s="198"/>
      <c r="E214" s="11"/>
      <c r="F214" s="11"/>
      <c r="G214" s="11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</row>
    <row r="215" spans="1:28" ht="14.45">
      <c r="A215" s="198"/>
      <c r="B215" s="198"/>
      <c r="C215" s="198"/>
      <c r="D215" s="198"/>
      <c r="E215" s="11"/>
      <c r="F215" s="11"/>
      <c r="G215" s="11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</row>
    <row r="216" spans="1:28" ht="14.45">
      <c r="A216" s="198"/>
      <c r="B216" s="198"/>
      <c r="C216" s="198"/>
      <c r="D216" s="198"/>
      <c r="E216" s="11"/>
      <c r="F216" s="11"/>
      <c r="G216" s="11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</row>
    <row r="217" spans="1:28" ht="14.45">
      <c r="A217" s="198"/>
      <c r="B217" s="198"/>
      <c r="C217" s="198"/>
      <c r="D217" s="198"/>
      <c r="E217" s="11"/>
      <c r="F217" s="11"/>
      <c r="G217" s="11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</row>
    <row r="218" spans="1:28" ht="14.45">
      <c r="A218" s="198"/>
      <c r="B218" s="198"/>
      <c r="C218" s="198"/>
      <c r="D218" s="198"/>
      <c r="E218" s="11"/>
      <c r="F218" s="11"/>
      <c r="G218" s="11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</row>
    <row r="219" spans="1:28" ht="14.45">
      <c r="A219" s="198"/>
      <c r="B219" s="198"/>
      <c r="C219" s="198"/>
      <c r="D219" s="198"/>
      <c r="E219" s="11"/>
      <c r="F219" s="11"/>
      <c r="G219" s="11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</row>
    <row r="220" spans="1:28" ht="14.45">
      <c r="A220" s="198"/>
      <c r="B220" s="198"/>
      <c r="C220" s="198"/>
      <c r="D220" s="198"/>
      <c r="E220" s="11"/>
      <c r="F220" s="11"/>
      <c r="G220" s="11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</row>
    <row r="221" spans="1:28" ht="14.45">
      <c r="A221" s="198"/>
      <c r="B221" s="198"/>
      <c r="C221" s="198"/>
      <c r="D221" s="198"/>
      <c r="E221" s="11"/>
      <c r="F221" s="11"/>
      <c r="G221" s="11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</row>
    <row r="222" spans="1:28" ht="14.45">
      <c r="A222" s="198"/>
      <c r="B222" s="198"/>
      <c r="C222" s="198"/>
      <c r="D222" s="198"/>
      <c r="E222" s="11"/>
      <c r="F222" s="11"/>
      <c r="G222" s="11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</row>
    <row r="223" spans="1:28" ht="14.45">
      <c r="A223" s="198"/>
      <c r="B223" s="198"/>
      <c r="C223" s="198"/>
      <c r="D223" s="198"/>
      <c r="E223" s="11"/>
      <c r="F223" s="11"/>
      <c r="G223" s="11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</row>
    <row r="224" spans="1:28" ht="14.45">
      <c r="A224" s="198"/>
      <c r="B224" s="198"/>
      <c r="C224" s="198"/>
      <c r="D224" s="198"/>
      <c r="E224" s="11"/>
      <c r="F224" s="11"/>
      <c r="G224" s="11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</row>
    <row r="225" spans="1:28" ht="14.45">
      <c r="A225" s="198"/>
      <c r="B225" s="198"/>
      <c r="C225" s="198"/>
      <c r="D225" s="198"/>
      <c r="E225" s="11"/>
      <c r="F225" s="11"/>
      <c r="G225" s="11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</row>
    <row r="226" spans="1:28" ht="14.45">
      <c r="A226" s="198"/>
      <c r="B226" s="198"/>
      <c r="C226" s="198"/>
      <c r="D226" s="198"/>
      <c r="E226" s="11"/>
      <c r="F226" s="11"/>
      <c r="G226" s="11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</row>
    <row r="227" spans="1:28" ht="14.45">
      <c r="A227" s="198"/>
      <c r="B227" s="198"/>
      <c r="C227" s="198"/>
      <c r="D227" s="198"/>
      <c r="E227" s="11"/>
      <c r="F227" s="11"/>
      <c r="G227" s="11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</row>
    <row r="228" spans="1:28" ht="14.45">
      <c r="A228" s="198"/>
      <c r="B228" s="198"/>
      <c r="C228" s="198"/>
      <c r="D228" s="198"/>
      <c r="E228" s="11"/>
      <c r="F228" s="11"/>
      <c r="G228" s="11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</row>
    <row r="229" spans="1:28" ht="14.45">
      <c r="A229" s="198"/>
      <c r="B229" s="198"/>
      <c r="C229" s="198"/>
      <c r="D229" s="198"/>
      <c r="E229" s="11"/>
      <c r="F229" s="11"/>
      <c r="G229" s="11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</row>
    <row r="230" spans="1:28" ht="14.45">
      <c r="A230" s="198"/>
      <c r="B230" s="198"/>
      <c r="C230" s="198"/>
      <c r="D230" s="198"/>
      <c r="E230" s="11"/>
      <c r="F230" s="11"/>
      <c r="G230" s="11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</row>
    <row r="231" spans="1:28" ht="14.45">
      <c r="A231" s="198"/>
      <c r="B231" s="198"/>
      <c r="C231" s="198"/>
      <c r="D231" s="198"/>
      <c r="E231" s="11"/>
      <c r="F231" s="11"/>
      <c r="G231" s="11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</row>
    <row r="232" spans="1:28" ht="14.45">
      <c r="A232" s="198"/>
      <c r="B232" s="198"/>
      <c r="C232" s="198"/>
      <c r="D232" s="198"/>
      <c r="E232" s="11"/>
      <c r="F232" s="11"/>
      <c r="G232" s="11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</row>
    <row r="233" spans="1:28" ht="14.45">
      <c r="A233" s="198"/>
      <c r="B233" s="198"/>
      <c r="C233" s="198"/>
      <c r="D233" s="198"/>
      <c r="E233" s="11"/>
      <c r="F233" s="11"/>
      <c r="G233" s="11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</row>
    <row r="234" spans="1:28" ht="14.45">
      <c r="A234" s="198"/>
      <c r="B234" s="198"/>
      <c r="C234" s="198"/>
      <c r="D234" s="198"/>
      <c r="E234" s="11"/>
      <c r="F234" s="11"/>
      <c r="G234" s="11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</row>
    <row r="235" spans="1:28" ht="14.45">
      <c r="A235" s="198"/>
      <c r="B235" s="198"/>
      <c r="C235" s="198"/>
      <c r="D235" s="198"/>
      <c r="E235" s="11"/>
      <c r="F235" s="11"/>
      <c r="G235" s="11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</row>
    <row r="236" spans="1:28" ht="14.45">
      <c r="A236" s="198"/>
      <c r="B236" s="198"/>
      <c r="C236" s="198"/>
      <c r="D236" s="198"/>
      <c r="E236" s="11"/>
      <c r="F236" s="11"/>
      <c r="G236" s="11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</row>
    <row r="237" spans="1:28" ht="14.45">
      <c r="A237" s="198"/>
      <c r="B237" s="198"/>
      <c r="C237" s="198"/>
      <c r="D237" s="198"/>
      <c r="E237" s="11"/>
      <c r="F237" s="11"/>
      <c r="G237" s="11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</row>
    <row r="238" spans="1:28" ht="14.45">
      <c r="A238" s="198"/>
      <c r="B238" s="198"/>
      <c r="C238" s="198"/>
      <c r="D238" s="198"/>
      <c r="E238" s="11"/>
      <c r="F238" s="11"/>
      <c r="G238" s="11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</row>
    <row r="239" spans="1:28" ht="14.45">
      <c r="A239" s="198"/>
      <c r="B239" s="198"/>
      <c r="C239" s="198"/>
      <c r="D239" s="198"/>
      <c r="E239" s="11"/>
      <c r="F239" s="11"/>
      <c r="G239" s="11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</row>
    <row r="240" spans="1:28" ht="14.45">
      <c r="A240" s="198"/>
      <c r="B240" s="198"/>
      <c r="C240" s="198"/>
      <c r="D240" s="198"/>
      <c r="E240" s="11"/>
      <c r="F240" s="11"/>
      <c r="G240" s="11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</row>
    <row r="241" spans="1:28" ht="14.45">
      <c r="A241" s="198"/>
      <c r="B241" s="198"/>
      <c r="C241" s="198"/>
      <c r="D241" s="198"/>
      <c r="E241" s="11"/>
      <c r="F241" s="11"/>
      <c r="G241" s="11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</row>
    <row r="242" spans="1:28" ht="14.45">
      <c r="A242" s="198"/>
      <c r="B242" s="198"/>
      <c r="C242" s="198"/>
      <c r="D242" s="198"/>
      <c r="E242" s="11"/>
      <c r="F242" s="11"/>
      <c r="G242" s="11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</row>
    <row r="243" spans="1:28" ht="14.45">
      <c r="A243" s="198"/>
      <c r="B243" s="198"/>
      <c r="C243" s="198"/>
      <c r="D243" s="198"/>
      <c r="E243" s="11"/>
      <c r="F243" s="11"/>
      <c r="G243" s="11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</row>
    <row r="244" spans="1:28" ht="14.45">
      <c r="A244" s="198"/>
      <c r="B244" s="198"/>
      <c r="C244" s="198"/>
      <c r="D244" s="198"/>
      <c r="E244" s="11"/>
      <c r="F244" s="11"/>
      <c r="G244" s="11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</row>
    <row r="245" spans="1:28" ht="14.45">
      <c r="A245" s="198"/>
      <c r="B245" s="198"/>
      <c r="C245" s="198"/>
      <c r="D245" s="198"/>
      <c r="E245" s="11"/>
      <c r="F245" s="11"/>
      <c r="G245" s="11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</row>
    <row r="246" spans="1:28" ht="14.45">
      <c r="A246" s="198"/>
      <c r="B246" s="198"/>
      <c r="C246" s="198"/>
      <c r="D246" s="198"/>
      <c r="E246" s="11"/>
      <c r="F246" s="11"/>
      <c r="G246" s="11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</row>
    <row r="247" spans="1:28" ht="14.45">
      <c r="A247" s="198"/>
      <c r="B247" s="198"/>
      <c r="C247" s="198"/>
      <c r="D247" s="198"/>
      <c r="E247" s="11"/>
      <c r="F247" s="11"/>
      <c r="G247" s="11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</row>
    <row r="248" spans="1:28" ht="14.45">
      <c r="A248" s="198"/>
      <c r="B248" s="198"/>
      <c r="C248" s="198"/>
      <c r="D248" s="198"/>
      <c r="E248" s="11"/>
      <c r="F248" s="11"/>
      <c r="G248" s="11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</row>
    <row r="249" spans="1:28" ht="14.45">
      <c r="A249" s="198"/>
      <c r="B249" s="198"/>
      <c r="C249" s="198"/>
      <c r="D249" s="198"/>
      <c r="E249" s="11"/>
      <c r="F249" s="11"/>
      <c r="G249" s="11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</row>
    <row r="250" spans="1:28" ht="14.45">
      <c r="A250" s="198"/>
      <c r="B250" s="198"/>
      <c r="C250" s="198"/>
      <c r="D250" s="198"/>
      <c r="E250" s="11"/>
      <c r="F250" s="11"/>
      <c r="G250" s="11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</row>
    <row r="251" spans="1:28" ht="14.45">
      <c r="A251" s="198"/>
      <c r="B251" s="198"/>
      <c r="C251" s="198"/>
      <c r="D251" s="198"/>
      <c r="E251" s="11"/>
      <c r="F251" s="11"/>
      <c r="G251" s="11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</row>
    <row r="252" spans="1:28" ht="14.45">
      <c r="A252" s="198"/>
      <c r="B252" s="198"/>
      <c r="C252" s="198"/>
      <c r="D252" s="198"/>
      <c r="E252" s="11"/>
      <c r="F252" s="11"/>
      <c r="G252" s="11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</row>
    <row r="253" spans="1:28" ht="14.45">
      <c r="A253" s="198"/>
      <c r="B253" s="198"/>
      <c r="C253" s="198"/>
      <c r="D253" s="198"/>
      <c r="E253" s="11"/>
      <c r="F253" s="11"/>
      <c r="G253" s="11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</row>
    <row r="254" spans="1:28" ht="14.45">
      <c r="A254" s="198"/>
      <c r="B254" s="198"/>
      <c r="C254" s="198"/>
      <c r="D254" s="198"/>
      <c r="E254" s="11"/>
      <c r="F254" s="11"/>
      <c r="G254" s="11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</row>
    <row r="255" spans="1:28" ht="14.45">
      <c r="A255" s="198"/>
      <c r="B255" s="198"/>
      <c r="C255" s="198"/>
      <c r="D255" s="198"/>
      <c r="E255" s="11"/>
      <c r="F255" s="11"/>
      <c r="G255" s="11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</row>
    <row r="256" spans="1:28" ht="14.45">
      <c r="A256" s="198"/>
      <c r="B256" s="198"/>
      <c r="C256" s="198"/>
      <c r="D256" s="198"/>
      <c r="E256" s="11"/>
      <c r="F256" s="11"/>
      <c r="G256" s="11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</row>
    <row r="257" spans="1:28" ht="14.45">
      <c r="A257" s="198"/>
      <c r="B257" s="198"/>
      <c r="C257" s="198"/>
      <c r="D257" s="198"/>
      <c r="E257" s="11"/>
      <c r="F257" s="11"/>
      <c r="G257" s="11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</row>
    <row r="258" spans="1:28" ht="14.45">
      <c r="A258" s="198"/>
      <c r="B258" s="198"/>
      <c r="C258" s="198"/>
      <c r="D258" s="198"/>
      <c r="E258" s="11"/>
      <c r="F258" s="11"/>
      <c r="G258" s="11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</row>
    <row r="259" spans="1:28" ht="14.45">
      <c r="A259" s="198"/>
      <c r="B259" s="198"/>
      <c r="C259" s="198"/>
      <c r="D259" s="198"/>
      <c r="E259" s="11"/>
      <c r="F259" s="11"/>
      <c r="G259" s="11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</row>
    <row r="260" spans="1:28" ht="14.45">
      <c r="A260" s="198"/>
      <c r="B260" s="198"/>
      <c r="C260" s="198"/>
      <c r="D260" s="198"/>
      <c r="E260" s="11"/>
      <c r="F260" s="11"/>
      <c r="G260" s="11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</row>
    <row r="261" spans="1:28" ht="14.45">
      <c r="A261" s="198"/>
      <c r="B261" s="198"/>
      <c r="C261" s="198"/>
      <c r="D261" s="198"/>
      <c r="E261" s="11"/>
      <c r="F261" s="11"/>
      <c r="G261" s="11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</row>
    <row r="262" spans="1:28" ht="14.45">
      <c r="A262" s="198"/>
      <c r="B262" s="198"/>
      <c r="C262" s="198"/>
      <c r="D262" s="198"/>
      <c r="E262" s="11"/>
      <c r="F262" s="11"/>
      <c r="G262" s="11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</row>
    <row r="263" spans="1:28" ht="14.45">
      <c r="A263" s="198"/>
      <c r="B263" s="198"/>
      <c r="C263" s="198"/>
      <c r="D263" s="198"/>
      <c r="E263" s="11"/>
      <c r="F263" s="11"/>
      <c r="G263" s="11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</row>
    <row r="264" spans="1:28" ht="14.45">
      <c r="A264" s="198"/>
      <c r="B264" s="198"/>
      <c r="C264" s="198"/>
      <c r="D264" s="198"/>
      <c r="E264" s="11"/>
      <c r="F264" s="11"/>
      <c r="G264" s="11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</row>
    <row r="265" spans="1:28" ht="14.45">
      <c r="A265" s="198"/>
      <c r="B265" s="198"/>
      <c r="C265" s="198"/>
      <c r="D265" s="198"/>
      <c r="E265" s="11"/>
      <c r="F265" s="11"/>
      <c r="G265" s="11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</row>
    <row r="266" spans="1:28" ht="14.45">
      <c r="A266" s="198"/>
      <c r="B266" s="198"/>
      <c r="C266" s="198"/>
      <c r="D266" s="198"/>
      <c r="E266" s="11"/>
      <c r="F266" s="11"/>
      <c r="G266" s="11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</row>
    <row r="267" spans="1:28" ht="14.45">
      <c r="A267" s="198"/>
      <c r="B267" s="198"/>
      <c r="C267" s="198"/>
      <c r="D267" s="198"/>
      <c r="E267" s="11"/>
      <c r="F267" s="11"/>
      <c r="G267" s="11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</row>
    <row r="268" spans="1:28" ht="14.45">
      <c r="A268" s="198"/>
      <c r="B268" s="198"/>
      <c r="C268" s="198"/>
      <c r="D268" s="198"/>
      <c r="E268" s="11"/>
      <c r="F268" s="11"/>
      <c r="G268" s="11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</row>
    <row r="269" spans="1:28" ht="14.45">
      <c r="A269" s="198"/>
      <c r="B269" s="198"/>
      <c r="C269" s="198"/>
      <c r="D269" s="198"/>
      <c r="E269" s="11"/>
      <c r="F269" s="11"/>
      <c r="G269" s="11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</row>
    <row r="270" spans="1:28" ht="14.45">
      <c r="A270" s="198"/>
      <c r="B270" s="198"/>
      <c r="C270" s="198"/>
      <c r="D270" s="198"/>
      <c r="E270" s="11"/>
      <c r="F270" s="11"/>
      <c r="G270" s="11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</row>
    <row r="271" spans="1:28" ht="14.45">
      <c r="A271" s="198"/>
      <c r="B271" s="198"/>
      <c r="C271" s="198"/>
      <c r="D271" s="198"/>
      <c r="E271" s="11"/>
      <c r="F271" s="11"/>
      <c r="G271" s="11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</row>
    <row r="272" spans="1:28" ht="14.45">
      <c r="A272" s="198"/>
      <c r="B272" s="198"/>
      <c r="C272" s="198"/>
      <c r="D272" s="198"/>
      <c r="E272" s="11"/>
      <c r="F272" s="11"/>
      <c r="G272" s="11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</row>
    <row r="273" spans="1:28" ht="14.45">
      <c r="A273" s="198"/>
      <c r="B273" s="198"/>
      <c r="C273" s="198"/>
      <c r="D273" s="198"/>
      <c r="E273" s="11"/>
      <c r="F273" s="11"/>
      <c r="G273" s="11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</row>
    <row r="274" spans="1:28" ht="14.45">
      <c r="A274" s="198"/>
      <c r="B274" s="198"/>
      <c r="C274" s="198"/>
      <c r="D274" s="198"/>
      <c r="E274" s="11"/>
      <c r="F274" s="11"/>
      <c r="G274" s="11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</row>
    <row r="275" spans="1:28" ht="14.45">
      <c r="A275" s="198"/>
      <c r="B275" s="198"/>
      <c r="C275" s="198"/>
      <c r="D275" s="198"/>
      <c r="E275" s="11"/>
      <c r="F275" s="11"/>
      <c r="G275" s="11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</row>
    <row r="276" spans="1:28" ht="14.45">
      <c r="A276" s="198"/>
      <c r="B276" s="198"/>
      <c r="C276" s="198"/>
      <c r="D276" s="198"/>
      <c r="E276" s="11"/>
      <c r="F276" s="11"/>
      <c r="G276" s="11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</row>
    <row r="277" spans="1:28" ht="14.45">
      <c r="A277" s="198"/>
      <c r="B277" s="198"/>
      <c r="C277" s="198"/>
      <c r="D277" s="198"/>
      <c r="E277" s="11"/>
      <c r="F277" s="11"/>
      <c r="G277" s="11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</row>
    <row r="278" spans="1:28" ht="14.45">
      <c r="A278" s="198"/>
      <c r="B278" s="198"/>
      <c r="C278" s="198"/>
      <c r="D278" s="198"/>
      <c r="E278" s="11"/>
      <c r="F278" s="11"/>
      <c r="G278" s="11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</row>
    <row r="279" spans="1:28" ht="14.45">
      <c r="A279" s="198"/>
      <c r="B279" s="198"/>
      <c r="C279" s="198"/>
      <c r="D279" s="198"/>
      <c r="E279" s="11"/>
      <c r="F279" s="11"/>
      <c r="G279" s="11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</row>
    <row r="280" spans="1:28" ht="14.45">
      <c r="A280" s="198"/>
      <c r="B280" s="198"/>
      <c r="C280" s="198"/>
      <c r="D280" s="198"/>
      <c r="E280" s="11"/>
      <c r="F280" s="11"/>
      <c r="G280" s="11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</row>
    <row r="281" spans="1:28" ht="14.45">
      <c r="A281" s="198"/>
      <c r="B281" s="198"/>
      <c r="C281" s="198"/>
      <c r="D281" s="198"/>
      <c r="E281" s="11"/>
      <c r="F281" s="11"/>
      <c r="G281" s="11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</row>
    <row r="282" spans="1:28" ht="14.45">
      <c r="A282" s="198"/>
      <c r="B282" s="198"/>
      <c r="C282" s="198"/>
      <c r="D282" s="198"/>
      <c r="E282" s="11"/>
      <c r="F282" s="11"/>
      <c r="G282" s="11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</row>
    <row r="283" spans="1:28" ht="14.45">
      <c r="A283" s="198"/>
      <c r="B283" s="198"/>
      <c r="C283" s="198"/>
      <c r="D283" s="198"/>
      <c r="E283" s="11"/>
      <c r="F283" s="11"/>
      <c r="G283" s="11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</row>
    <row r="284" spans="1:28" ht="14.45">
      <c r="A284" s="198"/>
      <c r="B284" s="198"/>
      <c r="C284" s="198"/>
      <c r="D284" s="198"/>
      <c r="E284" s="11"/>
      <c r="F284" s="11"/>
      <c r="G284" s="11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</row>
    <row r="285" spans="1:28" ht="14.45">
      <c r="A285" s="198"/>
      <c r="B285" s="198"/>
      <c r="C285" s="198"/>
      <c r="D285" s="198"/>
      <c r="E285" s="11"/>
      <c r="F285" s="11"/>
      <c r="G285" s="11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</row>
    <row r="286" spans="1:28" ht="14.45">
      <c r="A286" s="198"/>
      <c r="B286" s="198"/>
      <c r="C286" s="198"/>
      <c r="D286" s="198"/>
      <c r="E286" s="11"/>
      <c r="F286" s="11"/>
      <c r="G286" s="11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</row>
    <row r="287" spans="1:28" ht="14.45">
      <c r="A287" s="198"/>
      <c r="B287" s="198"/>
      <c r="C287" s="198"/>
      <c r="D287" s="198"/>
      <c r="E287" s="11"/>
      <c r="F287" s="11"/>
      <c r="G287" s="11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</row>
    <row r="288" spans="1:28" ht="14.45">
      <c r="A288" s="198"/>
      <c r="B288" s="198"/>
      <c r="C288" s="198"/>
      <c r="D288" s="198"/>
      <c r="E288" s="11"/>
      <c r="F288" s="11"/>
      <c r="G288" s="11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</row>
    <row r="289" spans="1:28" ht="14.45">
      <c r="A289" s="198"/>
      <c r="B289" s="198"/>
      <c r="C289" s="198"/>
      <c r="D289" s="198"/>
      <c r="E289" s="11"/>
      <c r="F289" s="11"/>
      <c r="G289" s="11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</row>
    <row r="290" spans="1:28" ht="14.45">
      <c r="A290" s="198"/>
      <c r="B290" s="198"/>
      <c r="C290" s="198"/>
      <c r="D290" s="198"/>
      <c r="E290" s="11"/>
      <c r="F290" s="11"/>
      <c r="G290" s="11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</row>
    <row r="291" spans="1:28" ht="14.45">
      <c r="A291" s="198"/>
      <c r="B291" s="198"/>
      <c r="C291" s="198"/>
      <c r="D291" s="198"/>
      <c r="E291" s="11"/>
      <c r="F291" s="11"/>
      <c r="G291" s="11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</row>
    <row r="292" spans="1:28" ht="14.45">
      <c r="A292" s="198"/>
      <c r="B292" s="198"/>
      <c r="C292" s="198"/>
      <c r="D292" s="198"/>
      <c r="E292" s="11"/>
      <c r="F292" s="11"/>
      <c r="G292" s="11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</row>
    <row r="293" spans="1:28" ht="14.45">
      <c r="A293" s="198"/>
      <c r="B293" s="198"/>
      <c r="C293" s="198"/>
      <c r="D293" s="198"/>
      <c r="E293" s="11"/>
      <c r="F293" s="11"/>
      <c r="G293" s="11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</row>
    <row r="294" spans="1:28" ht="14.45">
      <c r="A294" s="198"/>
      <c r="B294" s="198"/>
      <c r="C294" s="198"/>
      <c r="D294" s="198"/>
      <c r="E294" s="11"/>
      <c r="F294" s="11"/>
      <c r="G294" s="11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</row>
    <row r="295" spans="1:28" ht="14.45">
      <c r="A295" s="198"/>
      <c r="B295" s="198"/>
      <c r="C295" s="198"/>
      <c r="D295" s="198"/>
      <c r="E295" s="11"/>
      <c r="F295" s="11"/>
      <c r="G295" s="11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</row>
    <row r="296" spans="1:28" ht="14.45">
      <c r="A296" s="198"/>
      <c r="B296" s="198"/>
      <c r="C296" s="198"/>
      <c r="D296" s="198"/>
      <c r="E296" s="11"/>
      <c r="F296" s="11"/>
      <c r="G296" s="11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</row>
    <row r="297" spans="1:28" ht="14.45">
      <c r="A297" s="198"/>
      <c r="B297" s="198"/>
      <c r="C297" s="198"/>
      <c r="D297" s="198"/>
      <c r="E297" s="11"/>
      <c r="F297" s="11"/>
      <c r="G297" s="11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</row>
    <row r="298" spans="1:28" ht="14.45">
      <c r="A298" s="198"/>
      <c r="B298" s="198"/>
      <c r="C298" s="198"/>
      <c r="D298" s="198"/>
      <c r="E298" s="11"/>
      <c r="F298" s="11"/>
      <c r="G298" s="11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</row>
    <row r="299" spans="1:28" ht="14.45">
      <c r="A299" s="198"/>
      <c r="B299" s="198"/>
      <c r="C299" s="198"/>
      <c r="D299" s="198"/>
      <c r="E299" s="11"/>
      <c r="F299" s="11"/>
      <c r="G299" s="11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</row>
    <row r="300" spans="1:28" ht="14.45">
      <c r="A300" s="198"/>
      <c r="B300" s="198"/>
      <c r="C300" s="198"/>
      <c r="D300" s="198"/>
      <c r="E300" s="11"/>
      <c r="F300" s="11"/>
      <c r="G300" s="11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</row>
    <row r="301" spans="1:28" ht="14.45">
      <c r="A301" s="198"/>
      <c r="B301" s="198"/>
      <c r="C301" s="198"/>
      <c r="D301" s="198"/>
      <c r="E301" s="11"/>
      <c r="F301" s="11"/>
      <c r="G301" s="11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</row>
    <row r="302" spans="1:28" ht="14.45">
      <c r="A302" s="198"/>
      <c r="B302" s="198"/>
      <c r="C302" s="198"/>
      <c r="D302" s="198"/>
      <c r="E302" s="11"/>
      <c r="F302" s="11"/>
      <c r="G302" s="11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</row>
    <row r="303" spans="1:28" ht="14.45">
      <c r="A303" s="198"/>
      <c r="B303" s="198"/>
      <c r="C303" s="198"/>
      <c r="D303" s="198"/>
      <c r="E303" s="11"/>
      <c r="F303" s="11"/>
      <c r="G303" s="11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</row>
    <row r="304" spans="1:28" ht="14.45">
      <c r="A304" s="198"/>
      <c r="B304" s="198"/>
      <c r="C304" s="198"/>
      <c r="D304" s="198"/>
      <c r="E304" s="11"/>
      <c r="F304" s="11"/>
      <c r="G304" s="11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</row>
    <row r="305" spans="1:28" ht="14.45">
      <c r="A305" s="198"/>
      <c r="B305" s="198"/>
      <c r="C305" s="198"/>
      <c r="D305" s="198"/>
      <c r="E305" s="11"/>
      <c r="F305" s="11"/>
      <c r="G305" s="11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</row>
    <row r="306" spans="1:28" ht="14.45">
      <c r="A306" s="198"/>
      <c r="B306" s="198"/>
      <c r="C306" s="198"/>
      <c r="D306" s="198"/>
      <c r="E306" s="11"/>
      <c r="F306" s="11"/>
      <c r="G306" s="11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</row>
    <row r="307" spans="1:28" ht="14.45">
      <c r="A307" s="198"/>
      <c r="B307" s="198"/>
      <c r="C307" s="198"/>
      <c r="D307" s="198"/>
      <c r="E307" s="11"/>
      <c r="F307" s="11"/>
      <c r="G307" s="11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</row>
    <row r="308" spans="1:28" ht="14.45">
      <c r="A308" s="198"/>
      <c r="B308" s="198"/>
      <c r="C308" s="198"/>
      <c r="D308" s="198"/>
      <c r="E308" s="11"/>
      <c r="F308" s="11"/>
      <c r="G308" s="11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</row>
    <row r="309" spans="1:28" ht="14.45">
      <c r="A309" s="198"/>
      <c r="B309" s="198"/>
      <c r="C309" s="198"/>
      <c r="D309" s="198"/>
      <c r="E309" s="11"/>
      <c r="F309" s="11"/>
      <c r="G309" s="11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</row>
    <row r="310" spans="1:28" ht="14.45">
      <c r="A310" s="198"/>
      <c r="B310" s="198"/>
      <c r="C310" s="198"/>
      <c r="D310" s="198"/>
      <c r="E310" s="11"/>
      <c r="F310" s="11"/>
      <c r="G310" s="11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</row>
    <row r="311" spans="1:28" ht="14.45">
      <c r="A311" s="198"/>
      <c r="B311" s="198"/>
      <c r="C311" s="198"/>
      <c r="D311" s="198"/>
      <c r="E311" s="11"/>
      <c r="F311" s="11"/>
      <c r="G311" s="11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</row>
    <row r="312" spans="1:28" ht="14.45">
      <c r="A312" s="198"/>
      <c r="B312" s="198"/>
      <c r="C312" s="198"/>
      <c r="D312" s="198"/>
      <c r="E312" s="11"/>
      <c r="F312" s="11"/>
      <c r="G312" s="11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</row>
    <row r="313" spans="1:28" ht="14.45">
      <c r="A313" s="198"/>
      <c r="B313" s="198"/>
      <c r="C313" s="198"/>
      <c r="D313" s="198"/>
      <c r="E313" s="11"/>
      <c r="F313" s="11"/>
      <c r="G313" s="11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</row>
    <row r="314" spans="1:28" ht="14.45">
      <c r="A314" s="198"/>
      <c r="B314" s="198"/>
      <c r="C314" s="198"/>
      <c r="D314" s="198"/>
      <c r="E314" s="11"/>
      <c r="F314" s="11"/>
      <c r="G314" s="11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</row>
    <row r="315" spans="1:28" ht="14.45">
      <c r="A315" s="198"/>
      <c r="B315" s="198"/>
      <c r="C315" s="198"/>
      <c r="D315" s="198"/>
      <c r="E315" s="11"/>
      <c r="F315" s="11"/>
      <c r="G315" s="11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</row>
    <row r="316" spans="1:28" ht="14.45">
      <c r="A316" s="198"/>
      <c r="B316" s="198"/>
      <c r="C316" s="198"/>
      <c r="D316" s="198"/>
      <c r="E316" s="11"/>
      <c r="F316" s="11"/>
      <c r="G316" s="11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</row>
    <row r="317" spans="1:28" ht="14.45">
      <c r="A317" s="198"/>
      <c r="B317" s="198"/>
      <c r="C317" s="198"/>
      <c r="D317" s="198"/>
      <c r="E317" s="11"/>
      <c r="F317" s="11"/>
      <c r="G317" s="11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</row>
    <row r="318" spans="1:28" ht="14.45">
      <c r="A318" s="198"/>
      <c r="B318" s="198"/>
      <c r="C318" s="198"/>
      <c r="D318" s="198"/>
      <c r="E318" s="11"/>
      <c r="F318" s="11"/>
      <c r="G318" s="11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</row>
    <row r="319" spans="1:28" ht="14.45">
      <c r="A319" s="198"/>
      <c r="B319" s="198"/>
      <c r="C319" s="198"/>
      <c r="D319" s="198"/>
      <c r="E319" s="11"/>
      <c r="F319" s="11"/>
      <c r="G319" s="11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</row>
    <row r="320" spans="1:28" ht="14.45">
      <c r="A320" s="198"/>
      <c r="B320" s="198"/>
      <c r="C320" s="198"/>
      <c r="D320" s="198"/>
      <c r="E320" s="11"/>
      <c r="F320" s="11"/>
      <c r="G320" s="11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</row>
    <row r="321" spans="1:28" ht="14.45">
      <c r="A321" s="198"/>
      <c r="B321" s="198"/>
      <c r="C321" s="198"/>
      <c r="D321" s="198"/>
      <c r="E321" s="11"/>
      <c r="F321" s="11"/>
      <c r="G321" s="11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</row>
    <row r="322" spans="1:28" ht="14.45">
      <c r="A322" s="198"/>
      <c r="B322" s="198"/>
      <c r="C322" s="198"/>
      <c r="D322" s="198"/>
      <c r="E322" s="11"/>
      <c r="F322" s="11"/>
      <c r="G322" s="11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</row>
    <row r="323" spans="1:28" ht="14.45">
      <c r="A323" s="198"/>
      <c r="B323" s="198"/>
      <c r="C323" s="198"/>
      <c r="D323" s="198"/>
      <c r="E323" s="11"/>
      <c r="F323" s="11"/>
      <c r="G323" s="11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</row>
    <row r="324" spans="1:28" ht="14.45">
      <c r="A324" s="198"/>
      <c r="B324" s="198"/>
      <c r="C324" s="198"/>
      <c r="D324" s="198"/>
      <c r="E324" s="11"/>
      <c r="F324" s="11"/>
      <c r="G324" s="11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</row>
    <row r="325" spans="1:28" ht="14.45">
      <c r="A325" s="198"/>
      <c r="B325" s="198"/>
      <c r="C325" s="198"/>
      <c r="D325" s="198"/>
      <c r="E325" s="11"/>
      <c r="F325" s="11"/>
      <c r="G325" s="11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</row>
    <row r="326" spans="1:28" ht="14.45">
      <c r="A326" s="198"/>
      <c r="B326" s="198"/>
      <c r="C326" s="198"/>
      <c r="D326" s="198"/>
      <c r="E326" s="11"/>
      <c r="F326" s="11"/>
      <c r="G326" s="11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</row>
    <row r="327" spans="1:28" ht="14.45">
      <c r="A327" s="198"/>
      <c r="B327" s="198"/>
      <c r="C327" s="198"/>
      <c r="D327" s="198"/>
      <c r="E327" s="11"/>
      <c r="F327" s="11"/>
      <c r="G327" s="11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</row>
    <row r="328" spans="1:28" ht="14.45">
      <c r="A328" s="198"/>
      <c r="B328" s="198"/>
      <c r="C328" s="198"/>
      <c r="D328" s="198"/>
      <c r="E328" s="11"/>
      <c r="F328" s="11"/>
      <c r="G328" s="11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</row>
    <row r="329" spans="1:28" ht="14.45">
      <c r="A329" s="198"/>
      <c r="B329" s="198"/>
      <c r="C329" s="198"/>
      <c r="D329" s="198"/>
      <c r="E329" s="11"/>
      <c r="F329" s="11"/>
      <c r="G329" s="11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</row>
    <row r="330" spans="1:28" ht="14.45">
      <c r="A330" s="198"/>
      <c r="B330" s="198"/>
      <c r="C330" s="198"/>
      <c r="D330" s="198"/>
      <c r="E330" s="11"/>
      <c r="F330" s="11"/>
      <c r="G330" s="11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</row>
    <row r="331" spans="1:28" ht="14.45">
      <c r="A331" s="198"/>
      <c r="B331" s="198"/>
      <c r="C331" s="198"/>
      <c r="D331" s="198"/>
      <c r="E331" s="11"/>
      <c r="F331" s="11"/>
      <c r="G331" s="11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</row>
    <row r="332" spans="1:28" ht="14.45">
      <c r="A332" s="198"/>
      <c r="B332" s="198"/>
      <c r="C332" s="198"/>
      <c r="D332" s="198"/>
      <c r="E332" s="11"/>
      <c r="F332" s="11"/>
      <c r="G332" s="11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</row>
    <row r="333" spans="1:28" ht="14.45">
      <c r="A333" s="198"/>
      <c r="B333" s="198"/>
      <c r="C333" s="198"/>
      <c r="D333" s="198"/>
      <c r="E333" s="11"/>
      <c r="F333" s="11"/>
      <c r="G333" s="11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</row>
    <row r="334" spans="1:28" ht="14.45">
      <c r="A334" s="198"/>
      <c r="B334" s="198"/>
      <c r="C334" s="198"/>
      <c r="D334" s="198"/>
      <c r="E334" s="11"/>
      <c r="F334" s="11"/>
      <c r="G334" s="11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</row>
    <row r="335" spans="1:28" ht="14.45">
      <c r="A335" s="198"/>
      <c r="B335" s="198"/>
      <c r="C335" s="198"/>
      <c r="D335" s="198"/>
      <c r="E335" s="11"/>
      <c r="F335" s="11"/>
      <c r="G335" s="11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</row>
    <row r="336" spans="1:28" ht="14.45">
      <c r="A336" s="198"/>
      <c r="B336" s="198"/>
      <c r="C336" s="198"/>
      <c r="D336" s="198"/>
      <c r="E336" s="11"/>
      <c r="F336" s="11"/>
      <c r="G336" s="11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</row>
    <row r="337" spans="1:28" ht="14.45">
      <c r="A337" s="198"/>
      <c r="B337" s="198"/>
      <c r="C337" s="198"/>
      <c r="D337" s="198"/>
      <c r="E337" s="11"/>
      <c r="F337" s="11"/>
      <c r="G337" s="11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</row>
    <row r="338" spans="1:28" ht="14.45">
      <c r="A338" s="198"/>
      <c r="B338" s="198"/>
      <c r="C338" s="198"/>
      <c r="D338" s="198"/>
      <c r="E338" s="11"/>
      <c r="F338" s="11"/>
      <c r="G338" s="11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</row>
    <row r="339" spans="1:28" ht="14.45">
      <c r="A339" s="198"/>
      <c r="B339" s="198"/>
      <c r="C339" s="198"/>
      <c r="D339" s="198"/>
      <c r="E339" s="11"/>
      <c r="F339" s="11"/>
      <c r="G339" s="11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</row>
    <row r="340" spans="1:28" ht="14.45">
      <c r="A340" s="198"/>
      <c r="B340" s="198"/>
      <c r="C340" s="198"/>
      <c r="D340" s="198"/>
      <c r="E340" s="11"/>
      <c r="F340" s="11"/>
      <c r="G340" s="11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</row>
    <row r="341" spans="1:28" ht="14.45">
      <c r="A341" s="198"/>
      <c r="B341" s="198"/>
      <c r="C341" s="198"/>
      <c r="D341" s="198"/>
      <c r="E341" s="11"/>
      <c r="F341" s="11"/>
      <c r="G341" s="11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</row>
    <row r="342" spans="1:28" ht="14.45">
      <c r="A342" s="198"/>
      <c r="B342" s="198"/>
      <c r="C342" s="198"/>
      <c r="D342" s="198"/>
      <c r="E342" s="11"/>
      <c r="F342" s="11"/>
      <c r="G342" s="11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</row>
    <row r="343" spans="1:28" ht="14.45">
      <c r="A343" s="198"/>
      <c r="B343" s="198"/>
      <c r="C343" s="198"/>
      <c r="D343" s="198"/>
      <c r="E343" s="11"/>
      <c r="F343" s="11"/>
      <c r="G343" s="11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</row>
    <row r="344" spans="1:28" ht="14.45">
      <c r="A344" s="198"/>
      <c r="B344" s="198"/>
      <c r="C344" s="198"/>
      <c r="D344" s="198"/>
      <c r="E344" s="11"/>
      <c r="F344" s="11"/>
      <c r="G344" s="11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</row>
    <row r="345" spans="1:28" ht="14.45">
      <c r="A345" s="198"/>
      <c r="B345" s="198"/>
      <c r="C345" s="198"/>
      <c r="D345" s="198"/>
      <c r="E345" s="11"/>
      <c r="F345" s="11"/>
      <c r="G345" s="11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</row>
    <row r="346" spans="1:28" ht="14.45">
      <c r="A346" s="198"/>
      <c r="B346" s="198"/>
      <c r="C346" s="198"/>
      <c r="D346" s="198"/>
      <c r="E346" s="11"/>
      <c r="F346" s="11"/>
      <c r="G346" s="11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</row>
    <row r="347" spans="1:28" ht="14.45">
      <c r="A347" s="198"/>
      <c r="B347" s="198"/>
      <c r="C347" s="198"/>
      <c r="D347" s="198"/>
      <c r="E347" s="11"/>
      <c r="F347" s="11"/>
      <c r="G347" s="11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</row>
    <row r="348" spans="1:28" ht="14.45">
      <c r="A348" s="198"/>
      <c r="B348" s="198"/>
      <c r="C348" s="198"/>
      <c r="D348" s="198"/>
      <c r="E348" s="11"/>
      <c r="F348" s="11"/>
      <c r="G348" s="11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</row>
    <row r="349" spans="1:28" ht="14.45">
      <c r="A349" s="198"/>
      <c r="B349" s="198"/>
      <c r="C349" s="198"/>
      <c r="D349" s="198"/>
      <c r="E349" s="11"/>
      <c r="F349" s="11"/>
      <c r="G349" s="11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</row>
    <row r="350" spans="1:28" ht="14.45">
      <c r="A350" s="198"/>
      <c r="B350" s="198"/>
      <c r="C350" s="198"/>
      <c r="D350" s="198"/>
      <c r="E350" s="11"/>
      <c r="F350" s="11"/>
      <c r="G350" s="11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</row>
    <row r="351" spans="1:28" ht="14.45">
      <c r="A351" s="198"/>
      <c r="B351" s="198"/>
      <c r="C351" s="198"/>
      <c r="D351" s="198"/>
      <c r="E351" s="11"/>
      <c r="F351" s="11"/>
      <c r="G351" s="11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</row>
    <row r="352" spans="1:28" ht="14.45">
      <c r="A352" s="198"/>
      <c r="B352" s="198"/>
      <c r="C352" s="198"/>
      <c r="D352" s="198"/>
      <c r="E352" s="11"/>
      <c r="F352" s="11"/>
      <c r="G352" s="11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</row>
    <row r="353" spans="1:28" ht="14.45">
      <c r="A353" s="198"/>
      <c r="B353" s="198"/>
      <c r="C353" s="198"/>
      <c r="D353" s="198"/>
      <c r="E353" s="11"/>
      <c r="F353" s="11"/>
      <c r="G353" s="11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</row>
    <row r="354" spans="1:28" ht="14.45">
      <c r="A354" s="198"/>
      <c r="B354" s="198"/>
      <c r="C354" s="198"/>
      <c r="D354" s="198"/>
      <c r="E354" s="11"/>
      <c r="F354" s="11"/>
      <c r="G354" s="11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</row>
    <row r="355" spans="1:28" ht="14.45">
      <c r="A355" s="198"/>
      <c r="B355" s="198"/>
      <c r="C355" s="198"/>
      <c r="D355" s="198"/>
      <c r="E355" s="11"/>
      <c r="F355" s="11"/>
      <c r="G355" s="11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</row>
    <row r="356" spans="1:28" ht="14.45">
      <c r="A356" s="198"/>
      <c r="B356" s="198"/>
      <c r="C356" s="198"/>
      <c r="D356" s="198"/>
      <c r="E356" s="11"/>
      <c r="F356" s="11"/>
      <c r="G356" s="11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</row>
    <row r="357" spans="1:28" ht="14.45">
      <c r="A357" s="198"/>
      <c r="B357" s="198"/>
      <c r="C357" s="198"/>
      <c r="D357" s="198"/>
      <c r="E357" s="11"/>
      <c r="F357" s="11"/>
      <c r="G357" s="11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</row>
    <row r="358" spans="1:28" ht="14.45">
      <c r="A358" s="198"/>
      <c r="B358" s="198"/>
      <c r="C358" s="198"/>
      <c r="D358" s="198"/>
      <c r="E358" s="11"/>
      <c r="F358" s="11"/>
      <c r="G358" s="11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</row>
    <row r="359" spans="1:28" ht="14.45">
      <c r="A359" s="198"/>
      <c r="B359" s="198"/>
      <c r="C359" s="198"/>
      <c r="D359" s="198"/>
      <c r="E359" s="11"/>
      <c r="F359" s="11"/>
      <c r="G359" s="11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</row>
    <row r="360" spans="1:28" ht="14.45">
      <c r="A360" s="198"/>
      <c r="B360" s="198"/>
      <c r="C360" s="198"/>
      <c r="D360" s="198"/>
      <c r="E360" s="11"/>
      <c r="F360" s="11"/>
      <c r="G360" s="11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</row>
    <row r="361" spans="1:28" ht="14.45">
      <c r="A361" s="198"/>
      <c r="B361" s="198"/>
      <c r="C361" s="198"/>
      <c r="D361" s="198"/>
      <c r="E361" s="11"/>
      <c r="F361" s="11"/>
      <c r="G361" s="11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</row>
    <row r="362" spans="1:28" ht="14.45">
      <c r="A362" s="198"/>
      <c r="B362" s="198"/>
      <c r="C362" s="198"/>
      <c r="D362" s="198"/>
      <c r="E362" s="11"/>
      <c r="F362" s="11"/>
      <c r="G362" s="11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</row>
    <row r="363" spans="1:28" ht="14.45">
      <c r="A363" s="198"/>
      <c r="B363" s="198"/>
      <c r="C363" s="198"/>
      <c r="D363" s="198"/>
      <c r="E363" s="11"/>
      <c r="F363" s="11"/>
      <c r="G363" s="11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</row>
    <row r="364" spans="1:28" ht="14.45">
      <c r="A364" s="198"/>
      <c r="B364" s="198"/>
      <c r="C364" s="198"/>
      <c r="D364" s="198"/>
      <c r="E364" s="11"/>
      <c r="F364" s="11"/>
      <c r="G364" s="11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</row>
    <row r="365" spans="1:28" ht="14.45">
      <c r="A365" s="198"/>
      <c r="B365" s="198"/>
      <c r="C365" s="198"/>
      <c r="D365" s="198"/>
      <c r="E365" s="11"/>
      <c r="F365" s="11"/>
      <c r="G365" s="11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</row>
    <row r="366" spans="1:28" ht="14.45">
      <c r="A366" s="198"/>
      <c r="B366" s="198"/>
      <c r="C366" s="198"/>
      <c r="D366" s="198"/>
      <c r="E366" s="11"/>
      <c r="F366" s="11"/>
      <c r="G366" s="11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</row>
    <row r="367" spans="1:28" ht="14.45">
      <c r="A367" s="198"/>
      <c r="B367" s="198"/>
      <c r="C367" s="198"/>
      <c r="D367" s="198"/>
      <c r="E367" s="11"/>
      <c r="F367" s="11"/>
      <c r="G367" s="11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</row>
    <row r="368" spans="1:28" ht="14.45">
      <c r="A368" s="198"/>
      <c r="B368" s="198"/>
      <c r="C368" s="198"/>
      <c r="D368" s="198"/>
      <c r="E368" s="11"/>
      <c r="F368" s="11"/>
      <c r="G368" s="11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</row>
    <row r="369" spans="1:28" ht="14.45">
      <c r="A369" s="198"/>
      <c r="B369" s="198"/>
      <c r="C369" s="198"/>
      <c r="D369" s="198"/>
      <c r="E369" s="11"/>
      <c r="F369" s="11"/>
      <c r="G369" s="11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</row>
    <row r="370" spans="1:28" ht="14.45">
      <c r="A370" s="198"/>
      <c r="B370" s="198"/>
      <c r="C370" s="198"/>
      <c r="D370" s="198"/>
      <c r="E370" s="11"/>
      <c r="F370" s="11"/>
      <c r="G370" s="11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</row>
    <row r="371" spans="1:28" ht="14.45">
      <c r="A371" s="198"/>
      <c r="B371" s="198"/>
      <c r="C371" s="198"/>
      <c r="D371" s="198"/>
      <c r="E371" s="11"/>
      <c r="F371" s="11"/>
      <c r="G371" s="11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</row>
    <row r="372" spans="1:28" ht="14.45">
      <c r="A372" s="198"/>
      <c r="B372" s="198"/>
      <c r="C372" s="198"/>
      <c r="D372" s="198"/>
      <c r="E372" s="11"/>
      <c r="F372" s="11"/>
      <c r="G372" s="11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</row>
    <row r="373" spans="1:28" ht="14.45">
      <c r="A373" s="198"/>
      <c r="B373" s="198"/>
      <c r="C373" s="198"/>
      <c r="D373" s="198"/>
      <c r="E373" s="11"/>
      <c r="F373" s="11"/>
      <c r="G373" s="11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</row>
    <row r="374" spans="1:28" ht="14.45">
      <c r="A374" s="198"/>
      <c r="B374" s="198"/>
      <c r="C374" s="198"/>
      <c r="D374" s="198"/>
      <c r="E374" s="11"/>
      <c r="F374" s="11"/>
      <c r="G374" s="11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</row>
    <row r="375" spans="1:28" ht="14.45">
      <c r="A375" s="198"/>
      <c r="B375" s="198"/>
      <c r="C375" s="198"/>
      <c r="D375" s="198"/>
      <c r="E375" s="11"/>
      <c r="F375" s="11"/>
      <c r="G375" s="11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</row>
    <row r="376" spans="1:28" ht="14.45">
      <c r="A376" s="198"/>
      <c r="B376" s="198"/>
      <c r="C376" s="198"/>
      <c r="D376" s="198"/>
      <c r="E376" s="11"/>
      <c r="F376" s="11"/>
      <c r="G376" s="11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</row>
    <row r="377" spans="1:28" ht="14.45">
      <c r="A377" s="198"/>
      <c r="B377" s="198"/>
      <c r="C377" s="198"/>
      <c r="D377" s="198"/>
      <c r="E377" s="11"/>
      <c r="F377" s="11"/>
      <c r="G377" s="11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</row>
    <row r="378" spans="1:28" ht="14.45">
      <c r="A378" s="198"/>
      <c r="B378" s="198"/>
      <c r="C378" s="198"/>
      <c r="D378" s="198"/>
      <c r="E378" s="11"/>
      <c r="F378" s="11"/>
      <c r="G378" s="11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</row>
    <row r="379" spans="1:28" ht="14.45">
      <c r="A379" s="198"/>
      <c r="B379" s="198"/>
      <c r="C379" s="198"/>
      <c r="D379" s="198"/>
      <c r="E379" s="11"/>
      <c r="F379" s="11"/>
      <c r="G379" s="11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</row>
    <row r="380" spans="1:28" ht="14.45">
      <c r="A380" s="198"/>
      <c r="B380" s="198"/>
      <c r="C380" s="198"/>
      <c r="D380" s="198"/>
      <c r="E380" s="11"/>
      <c r="F380" s="11"/>
      <c r="G380" s="11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</row>
    <row r="381" spans="1:28" ht="14.45">
      <c r="A381" s="198"/>
      <c r="B381" s="198"/>
      <c r="C381" s="198"/>
      <c r="D381" s="198"/>
      <c r="E381" s="11"/>
      <c r="F381" s="11"/>
      <c r="G381" s="11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</row>
    <row r="382" spans="1:28" ht="14.45">
      <c r="A382" s="198"/>
      <c r="B382" s="198"/>
      <c r="C382" s="198"/>
      <c r="D382" s="198"/>
      <c r="E382" s="11"/>
      <c r="F382" s="11"/>
      <c r="G382" s="11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</row>
    <row r="383" spans="1:28" ht="14.45">
      <c r="A383" s="198"/>
      <c r="B383" s="198"/>
      <c r="C383" s="198"/>
      <c r="D383" s="198"/>
      <c r="E383" s="11"/>
      <c r="F383" s="11"/>
      <c r="G383" s="11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</row>
    <row r="384" spans="1:28" ht="14.45">
      <c r="A384" s="198"/>
      <c r="B384" s="198"/>
      <c r="C384" s="198"/>
      <c r="D384" s="198"/>
      <c r="E384" s="11"/>
      <c r="F384" s="11"/>
      <c r="G384" s="11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</row>
    <row r="385" spans="1:28" ht="14.45">
      <c r="A385" s="198"/>
      <c r="B385" s="198"/>
      <c r="C385" s="198"/>
      <c r="D385" s="198"/>
      <c r="E385" s="11"/>
      <c r="F385" s="11"/>
      <c r="G385" s="11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</row>
    <row r="386" spans="1:28" ht="14.45">
      <c r="A386" s="198"/>
      <c r="B386" s="198"/>
      <c r="C386" s="198"/>
      <c r="D386" s="198"/>
      <c r="E386" s="11"/>
      <c r="F386" s="11"/>
      <c r="G386" s="11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</row>
    <row r="387" spans="1:28" ht="14.45">
      <c r="A387" s="198"/>
      <c r="B387" s="198"/>
      <c r="C387" s="198"/>
      <c r="D387" s="198"/>
      <c r="E387" s="11"/>
      <c r="F387" s="11"/>
      <c r="G387" s="11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</row>
    <row r="388" spans="1:28" ht="14.45">
      <c r="A388" s="198"/>
      <c r="B388" s="198"/>
      <c r="C388" s="198"/>
      <c r="D388" s="198"/>
      <c r="E388" s="11"/>
      <c r="F388" s="11"/>
      <c r="G388" s="11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</row>
    <row r="389" spans="1:28" ht="14.45">
      <c r="A389" s="198"/>
      <c r="B389" s="198"/>
      <c r="C389" s="198"/>
      <c r="D389" s="198"/>
      <c r="E389" s="11"/>
      <c r="F389" s="11"/>
      <c r="G389" s="11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</row>
    <row r="390" spans="1:28" ht="14.45">
      <c r="A390" s="198"/>
      <c r="B390" s="198"/>
      <c r="C390" s="198"/>
      <c r="D390" s="198"/>
      <c r="E390" s="11"/>
      <c r="F390" s="11"/>
      <c r="G390" s="11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</row>
    <row r="391" spans="1:28" ht="14.45">
      <c r="A391" s="198"/>
      <c r="B391" s="198"/>
      <c r="C391" s="198"/>
      <c r="D391" s="198"/>
      <c r="E391" s="11"/>
      <c r="F391" s="11"/>
      <c r="G391" s="11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</row>
    <row r="392" spans="1:28" ht="14.45">
      <c r="A392" s="198"/>
      <c r="B392" s="198"/>
      <c r="C392" s="198"/>
      <c r="D392" s="198"/>
      <c r="E392" s="11"/>
      <c r="F392" s="11"/>
      <c r="G392" s="11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</row>
    <row r="393" spans="1:28" ht="14.45">
      <c r="A393" s="198"/>
      <c r="B393" s="198"/>
      <c r="C393" s="198"/>
      <c r="D393" s="198"/>
      <c r="E393" s="11"/>
      <c r="F393" s="11"/>
      <c r="G393" s="11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</row>
    <row r="394" spans="1:28" ht="14.45">
      <c r="A394" s="198"/>
      <c r="B394" s="198"/>
      <c r="C394" s="198"/>
      <c r="D394" s="198"/>
      <c r="E394" s="11"/>
      <c r="F394" s="11"/>
      <c r="G394" s="11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</row>
    <row r="395" spans="1:28" ht="14.45">
      <c r="A395" s="198"/>
      <c r="B395" s="198"/>
      <c r="C395" s="198"/>
      <c r="D395" s="198"/>
      <c r="E395" s="11"/>
      <c r="F395" s="11"/>
      <c r="G395" s="11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</row>
    <row r="396" spans="1:28" ht="14.45">
      <c r="A396" s="198"/>
      <c r="B396" s="198"/>
      <c r="C396" s="198"/>
      <c r="D396" s="198"/>
      <c r="E396" s="11"/>
      <c r="F396" s="11"/>
      <c r="G396" s="11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</row>
    <row r="397" spans="1:28" ht="14.45">
      <c r="A397" s="198"/>
      <c r="B397" s="198"/>
      <c r="C397" s="198"/>
      <c r="D397" s="198"/>
      <c r="E397" s="11"/>
      <c r="F397" s="11"/>
      <c r="G397" s="11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</row>
    <row r="398" spans="1:28" ht="14.45">
      <c r="A398" s="198"/>
      <c r="B398" s="198"/>
      <c r="C398" s="198"/>
      <c r="D398" s="198"/>
      <c r="E398" s="11"/>
      <c r="F398" s="11"/>
      <c r="G398" s="11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</row>
    <row r="399" spans="1:28" ht="14.45">
      <c r="A399" s="198"/>
      <c r="B399" s="198"/>
      <c r="C399" s="198"/>
      <c r="D399" s="198"/>
      <c r="E399" s="11"/>
      <c r="F399" s="11"/>
      <c r="G399" s="11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</row>
    <row r="400" spans="1:28" ht="14.45">
      <c r="A400" s="198"/>
      <c r="B400" s="198"/>
      <c r="C400" s="198"/>
      <c r="D400" s="198"/>
      <c r="E400" s="11"/>
      <c r="F400" s="11"/>
      <c r="G400" s="11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</row>
    <row r="401" spans="1:28" ht="14.45">
      <c r="A401" s="198"/>
      <c r="B401" s="198"/>
      <c r="C401" s="198"/>
      <c r="D401" s="198"/>
      <c r="E401" s="11"/>
      <c r="F401" s="11"/>
      <c r="G401" s="11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</row>
    <row r="402" spans="1:28" ht="14.45">
      <c r="A402" s="198"/>
      <c r="B402" s="198"/>
      <c r="C402" s="198"/>
      <c r="D402" s="198"/>
      <c r="E402" s="11"/>
      <c r="F402" s="11"/>
      <c r="G402" s="11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</row>
    <row r="403" spans="1:28" ht="14.45">
      <c r="A403" s="198"/>
      <c r="B403" s="198"/>
      <c r="C403" s="198"/>
      <c r="D403" s="198"/>
      <c r="E403" s="11"/>
      <c r="F403" s="11"/>
      <c r="G403" s="11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</row>
    <row r="404" spans="1:28" ht="14.45">
      <c r="A404" s="198"/>
      <c r="B404" s="198"/>
      <c r="C404" s="198"/>
      <c r="D404" s="198"/>
      <c r="E404" s="11"/>
      <c r="F404" s="11"/>
      <c r="G404" s="11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</row>
    <row r="405" spans="1:28" ht="14.45">
      <c r="A405" s="198"/>
      <c r="B405" s="198"/>
      <c r="C405" s="198"/>
      <c r="D405" s="198"/>
      <c r="E405" s="11"/>
      <c r="F405" s="11"/>
      <c r="G405" s="11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</row>
    <row r="406" spans="1:28" ht="14.45">
      <c r="A406" s="198"/>
      <c r="B406" s="198"/>
      <c r="C406" s="198"/>
      <c r="D406" s="198"/>
      <c r="E406" s="11"/>
      <c r="F406" s="11"/>
      <c r="G406" s="11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</row>
    <row r="407" spans="1:28" ht="14.45">
      <c r="A407" s="198"/>
      <c r="B407" s="198"/>
      <c r="C407" s="198"/>
      <c r="D407" s="198"/>
      <c r="E407" s="11"/>
      <c r="F407" s="11"/>
      <c r="G407" s="11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</row>
    <row r="408" spans="1:28" ht="14.45">
      <c r="A408" s="198"/>
      <c r="B408" s="198"/>
      <c r="C408" s="198"/>
      <c r="D408" s="198"/>
      <c r="E408" s="11"/>
      <c r="F408" s="11"/>
      <c r="G408" s="11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</row>
    <row r="409" spans="1:28" ht="14.45">
      <c r="A409" s="198"/>
      <c r="B409" s="198"/>
      <c r="C409" s="198"/>
      <c r="D409" s="198"/>
      <c r="E409" s="11"/>
      <c r="F409" s="11"/>
      <c r="G409" s="11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</row>
    <row r="410" spans="1:28" ht="14.45">
      <c r="A410" s="198"/>
      <c r="B410" s="198"/>
      <c r="C410" s="198"/>
      <c r="D410" s="198"/>
      <c r="E410" s="11"/>
      <c r="F410" s="11"/>
      <c r="G410" s="11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</row>
    <row r="411" spans="1:28" ht="14.45">
      <c r="A411" s="198"/>
      <c r="B411" s="198"/>
      <c r="C411" s="198"/>
      <c r="D411" s="198"/>
      <c r="E411" s="11"/>
      <c r="F411" s="11"/>
      <c r="G411" s="11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</row>
    <row r="412" spans="1:28" ht="14.45">
      <c r="A412" s="198"/>
      <c r="B412" s="198"/>
      <c r="C412" s="198"/>
      <c r="D412" s="198"/>
      <c r="E412" s="11"/>
      <c r="F412" s="11"/>
      <c r="G412" s="11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</row>
    <row r="413" spans="1:28" ht="14.45">
      <c r="A413" s="198"/>
      <c r="B413" s="198"/>
      <c r="C413" s="198"/>
      <c r="D413" s="198"/>
      <c r="E413" s="11"/>
      <c r="F413" s="11"/>
      <c r="G413" s="11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</row>
    <row r="414" spans="1:28" ht="14.45">
      <c r="A414" s="198"/>
      <c r="B414" s="198"/>
      <c r="C414" s="198"/>
      <c r="D414" s="198"/>
      <c r="E414" s="11"/>
      <c r="F414" s="11"/>
      <c r="G414" s="11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</row>
    <row r="415" spans="1:28" ht="14.45">
      <c r="A415" s="198"/>
      <c r="B415" s="198"/>
      <c r="C415" s="198"/>
      <c r="D415" s="198"/>
      <c r="E415" s="11"/>
      <c r="F415" s="11"/>
      <c r="G415" s="11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</row>
    <row r="416" spans="1:28" ht="14.45">
      <c r="A416" s="198"/>
      <c r="B416" s="198"/>
      <c r="C416" s="198"/>
      <c r="D416" s="198"/>
      <c r="E416" s="11"/>
      <c r="F416" s="11"/>
      <c r="G416" s="11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</row>
    <row r="417" spans="1:28" ht="14.45">
      <c r="A417" s="198"/>
      <c r="B417" s="198"/>
      <c r="C417" s="198"/>
      <c r="D417" s="198"/>
      <c r="E417" s="11"/>
      <c r="F417" s="11"/>
      <c r="G417" s="11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</row>
    <row r="418" spans="1:28" ht="14.45">
      <c r="A418" s="198"/>
      <c r="B418" s="198"/>
      <c r="C418" s="198"/>
      <c r="D418" s="198"/>
      <c r="E418" s="11"/>
      <c r="F418" s="11"/>
      <c r="G418" s="11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</row>
    <row r="419" spans="1:28" ht="14.45">
      <c r="A419" s="198"/>
      <c r="B419" s="198"/>
      <c r="C419" s="198"/>
      <c r="D419" s="198"/>
      <c r="E419" s="11"/>
      <c r="F419" s="11"/>
      <c r="G419" s="11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</row>
    <row r="420" spans="1:28" ht="14.45">
      <c r="A420" s="198"/>
      <c r="B420" s="198"/>
      <c r="C420" s="198"/>
      <c r="D420" s="198"/>
      <c r="E420" s="11"/>
      <c r="F420" s="11"/>
      <c r="G420" s="11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</row>
    <row r="421" spans="1:28" ht="14.45">
      <c r="A421" s="198"/>
      <c r="B421" s="198"/>
      <c r="C421" s="198"/>
      <c r="D421" s="198"/>
      <c r="E421" s="11"/>
      <c r="F421" s="11"/>
      <c r="G421" s="11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</row>
    <row r="422" spans="1:28" ht="14.45">
      <c r="A422" s="198"/>
      <c r="B422" s="198"/>
      <c r="C422" s="198"/>
      <c r="D422" s="198"/>
      <c r="E422" s="11"/>
      <c r="F422" s="11"/>
      <c r="G422" s="11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</row>
    <row r="423" spans="1:28" ht="14.45">
      <c r="A423" s="198"/>
      <c r="B423" s="198"/>
      <c r="C423" s="198"/>
      <c r="D423" s="198"/>
      <c r="E423" s="11"/>
      <c r="F423" s="11"/>
      <c r="G423" s="11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</row>
    <row r="424" spans="1:28" ht="14.45">
      <c r="A424" s="198"/>
      <c r="B424" s="198"/>
      <c r="C424" s="198"/>
      <c r="D424" s="198"/>
      <c r="E424" s="11"/>
      <c r="F424" s="11"/>
      <c r="G424" s="11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</row>
    <row r="425" spans="1:28" ht="14.45">
      <c r="A425" s="198"/>
      <c r="B425" s="198"/>
      <c r="C425" s="198"/>
      <c r="D425" s="198"/>
      <c r="E425" s="11"/>
      <c r="F425" s="11"/>
      <c r="G425" s="11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</row>
    <row r="426" spans="1:28" ht="14.45">
      <c r="A426" s="198"/>
      <c r="B426" s="198"/>
      <c r="C426" s="198"/>
      <c r="D426" s="198"/>
      <c r="E426" s="11"/>
      <c r="F426" s="11"/>
      <c r="G426" s="11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</row>
    <row r="427" spans="1:28" ht="14.45">
      <c r="A427" s="198"/>
      <c r="B427" s="198"/>
      <c r="C427" s="198"/>
      <c r="D427" s="198"/>
      <c r="E427" s="11"/>
      <c r="F427" s="11"/>
      <c r="G427" s="11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</row>
    <row r="428" spans="1:28" ht="14.45">
      <c r="A428" s="198"/>
      <c r="B428" s="198"/>
      <c r="C428" s="198"/>
      <c r="D428" s="198"/>
      <c r="E428" s="11"/>
      <c r="F428" s="11"/>
      <c r="G428" s="11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</row>
    <row r="429" spans="1:28" ht="14.45">
      <c r="A429" s="198"/>
      <c r="B429" s="198"/>
      <c r="C429" s="198"/>
      <c r="D429" s="198"/>
      <c r="E429" s="11"/>
      <c r="F429" s="11"/>
      <c r="G429" s="11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</row>
    <row r="430" spans="1:28" ht="14.45">
      <c r="A430" s="198"/>
      <c r="B430" s="198"/>
      <c r="C430" s="198"/>
      <c r="D430" s="198"/>
      <c r="E430" s="11"/>
      <c r="F430" s="11"/>
      <c r="G430" s="11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</row>
    <row r="431" spans="1:28" ht="14.45">
      <c r="A431" s="198"/>
      <c r="B431" s="198"/>
      <c r="C431" s="198"/>
      <c r="D431" s="198"/>
      <c r="E431" s="11"/>
      <c r="F431" s="11"/>
      <c r="G431" s="11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</row>
    <row r="432" spans="1:28" ht="14.45">
      <c r="A432" s="198"/>
      <c r="B432" s="198"/>
      <c r="C432" s="198"/>
      <c r="D432" s="198"/>
      <c r="E432" s="11"/>
      <c r="F432" s="11"/>
      <c r="G432" s="11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</row>
    <row r="433" spans="1:28" ht="14.45">
      <c r="A433" s="198"/>
      <c r="B433" s="198"/>
      <c r="C433" s="198"/>
      <c r="D433" s="198"/>
      <c r="E433" s="11"/>
      <c r="F433" s="11"/>
      <c r="G433" s="11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</row>
    <row r="434" spans="1:28" ht="14.45">
      <c r="A434" s="198"/>
      <c r="B434" s="198"/>
      <c r="C434" s="198"/>
      <c r="D434" s="198"/>
      <c r="E434" s="11"/>
      <c r="F434" s="11"/>
      <c r="G434" s="11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</row>
    <row r="435" spans="1:28" ht="14.45">
      <c r="A435" s="198"/>
      <c r="B435" s="198"/>
      <c r="C435" s="198"/>
      <c r="D435" s="198"/>
      <c r="E435" s="11"/>
      <c r="F435" s="11"/>
      <c r="G435" s="11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</row>
    <row r="436" spans="1:28" ht="14.45">
      <c r="A436" s="198"/>
      <c r="B436" s="198"/>
      <c r="C436" s="198"/>
      <c r="D436" s="198"/>
      <c r="E436" s="11"/>
      <c r="F436" s="11"/>
      <c r="G436" s="11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</row>
    <row r="437" spans="1:28" ht="14.45">
      <c r="A437" s="198"/>
      <c r="B437" s="198"/>
      <c r="C437" s="198"/>
      <c r="D437" s="198"/>
      <c r="E437" s="11"/>
      <c r="F437" s="11"/>
      <c r="G437" s="11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</row>
    <row r="438" spans="1:28" ht="14.45">
      <c r="A438" s="198"/>
      <c r="B438" s="198"/>
      <c r="C438" s="198"/>
      <c r="D438" s="198"/>
      <c r="E438" s="11"/>
      <c r="F438" s="11"/>
      <c r="G438" s="11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</row>
    <row r="439" spans="1:28" ht="14.45">
      <c r="A439" s="198"/>
      <c r="B439" s="198"/>
      <c r="C439" s="198"/>
      <c r="D439" s="198"/>
      <c r="E439" s="11"/>
      <c r="F439" s="11"/>
      <c r="G439" s="11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</row>
    <row r="440" spans="1:28" ht="14.45">
      <c r="A440" s="198"/>
      <c r="B440" s="198"/>
      <c r="C440" s="198"/>
      <c r="D440" s="198"/>
      <c r="E440" s="11"/>
      <c r="F440" s="11"/>
      <c r="G440" s="11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</row>
    <row r="441" spans="1:28" ht="14.45">
      <c r="A441" s="198"/>
      <c r="B441" s="198"/>
      <c r="C441" s="198"/>
      <c r="D441" s="198"/>
      <c r="E441" s="11"/>
      <c r="F441" s="11"/>
      <c r="G441" s="11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</row>
    <row r="442" spans="1:28" ht="14.45">
      <c r="A442" s="198"/>
      <c r="B442" s="198"/>
      <c r="C442" s="198"/>
      <c r="D442" s="198"/>
      <c r="E442" s="11"/>
      <c r="F442" s="11"/>
      <c r="G442" s="11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</row>
    <row r="443" spans="1:28" ht="14.45">
      <c r="A443" s="198"/>
      <c r="B443" s="198"/>
      <c r="C443" s="198"/>
      <c r="D443" s="198"/>
      <c r="E443" s="11"/>
      <c r="F443" s="11"/>
      <c r="G443" s="11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</row>
    <row r="444" spans="1:28" ht="14.45">
      <c r="A444" s="198"/>
      <c r="B444" s="198"/>
      <c r="C444" s="198"/>
      <c r="D444" s="198"/>
      <c r="E444" s="11"/>
      <c r="F444" s="11"/>
      <c r="G444" s="11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</row>
    <row r="445" spans="1:28" ht="14.45">
      <c r="A445" s="198"/>
      <c r="B445" s="198"/>
      <c r="C445" s="198"/>
      <c r="D445" s="198"/>
      <c r="E445" s="11"/>
      <c r="F445" s="11"/>
      <c r="G445" s="11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</row>
    <row r="446" spans="1:28" ht="14.45">
      <c r="A446" s="198"/>
      <c r="B446" s="198"/>
      <c r="C446" s="198"/>
      <c r="D446" s="198"/>
      <c r="E446" s="11"/>
      <c r="F446" s="11"/>
      <c r="G446" s="11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</row>
    <row r="447" spans="1:28" ht="14.45">
      <c r="A447" s="198"/>
      <c r="B447" s="198"/>
      <c r="C447" s="198"/>
      <c r="D447" s="198"/>
      <c r="E447" s="11"/>
      <c r="F447" s="11"/>
      <c r="G447" s="11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</row>
    <row r="448" spans="1:28" ht="14.45">
      <c r="A448" s="198"/>
      <c r="B448" s="198"/>
      <c r="C448" s="198"/>
      <c r="D448" s="198"/>
      <c r="E448" s="11"/>
      <c r="F448" s="11"/>
      <c r="G448" s="11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</row>
    <row r="449" spans="1:28" ht="14.45">
      <c r="A449" s="198"/>
      <c r="B449" s="198"/>
      <c r="C449" s="198"/>
      <c r="D449" s="198"/>
      <c r="E449" s="11"/>
      <c r="F449" s="11"/>
      <c r="G449" s="11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</row>
    <row r="450" spans="1:28" ht="14.45">
      <c r="A450" s="198"/>
      <c r="B450" s="198"/>
      <c r="C450" s="198"/>
      <c r="D450" s="198"/>
      <c r="E450" s="11"/>
      <c r="F450" s="11"/>
      <c r="G450" s="11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</row>
    <row r="451" spans="1:28" ht="14.45">
      <c r="A451" s="198"/>
      <c r="B451" s="198"/>
      <c r="C451" s="198"/>
      <c r="D451" s="198"/>
      <c r="E451" s="11"/>
      <c r="F451" s="11"/>
      <c r="G451" s="11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</row>
    <row r="452" spans="1:28" ht="14.45">
      <c r="A452" s="198"/>
      <c r="B452" s="198"/>
      <c r="C452" s="198"/>
      <c r="D452" s="198"/>
      <c r="E452" s="11"/>
      <c r="F452" s="11"/>
      <c r="G452" s="11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</row>
    <row r="453" spans="1:28" ht="14.45">
      <c r="A453" s="198"/>
      <c r="B453" s="198"/>
      <c r="C453" s="198"/>
      <c r="D453" s="198"/>
      <c r="E453" s="11"/>
      <c r="F453" s="11"/>
      <c r="G453" s="11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</row>
    <row r="454" spans="1:28" ht="14.45">
      <c r="A454" s="198"/>
      <c r="B454" s="198"/>
      <c r="C454" s="198"/>
      <c r="D454" s="198"/>
      <c r="E454" s="11"/>
      <c r="F454" s="11"/>
      <c r="G454" s="11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</row>
    <row r="455" spans="1:28" ht="14.45">
      <c r="A455" s="198"/>
      <c r="B455" s="198"/>
      <c r="C455" s="198"/>
      <c r="D455" s="198"/>
      <c r="E455" s="11"/>
      <c r="F455" s="11"/>
      <c r="G455" s="11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</row>
    <row r="456" spans="1:28" ht="14.45">
      <c r="A456" s="198"/>
      <c r="B456" s="198"/>
      <c r="C456" s="198"/>
      <c r="D456" s="198"/>
      <c r="E456" s="11"/>
      <c r="F456" s="11"/>
      <c r="G456" s="11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</row>
    <row r="457" spans="1:28" ht="14.45">
      <c r="A457" s="198"/>
      <c r="B457" s="198"/>
      <c r="C457" s="198"/>
      <c r="D457" s="198"/>
      <c r="E457" s="11"/>
      <c r="F457" s="11"/>
      <c r="G457" s="11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</row>
    <row r="458" spans="1:28" ht="14.45">
      <c r="A458" s="198"/>
      <c r="B458" s="198"/>
      <c r="C458" s="198"/>
      <c r="D458" s="198"/>
      <c r="E458" s="11"/>
      <c r="F458" s="11"/>
      <c r="G458" s="11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</row>
    <row r="459" spans="1:28" ht="14.45">
      <c r="A459" s="198"/>
      <c r="B459" s="198"/>
      <c r="C459" s="198"/>
      <c r="D459" s="198"/>
      <c r="E459" s="11"/>
      <c r="F459" s="11"/>
      <c r="G459" s="11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</row>
    <row r="460" spans="1:28" ht="14.45">
      <c r="A460" s="198"/>
      <c r="B460" s="198"/>
      <c r="C460" s="198"/>
      <c r="D460" s="198"/>
      <c r="E460" s="11"/>
      <c r="F460" s="11"/>
      <c r="G460" s="11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</row>
    <row r="461" spans="1:28" ht="14.45">
      <c r="A461" s="198"/>
      <c r="B461" s="198"/>
      <c r="C461" s="198"/>
      <c r="D461" s="198"/>
      <c r="E461" s="11"/>
      <c r="F461" s="11"/>
      <c r="G461" s="11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</row>
    <row r="462" spans="1:28" ht="14.45">
      <c r="A462" s="198"/>
      <c r="B462" s="198"/>
      <c r="C462" s="198"/>
      <c r="D462" s="198"/>
      <c r="E462" s="11"/>
      <c r="F462" s="11"/>
      <c r="G462" s="11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</row>
    <row r="463" spans="1:28" ht="14.45">
      <c r="A463" s="198"/>
      <c r="B463" s="198"/>
      <c r="C463" s="198"/>
      <c r="D463" s="198"/>
      <c r="E463" s="11"/>
      <c r="F463" s="11"/>
      <c r="G463" s="11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</row>
    <row r="464" spans="1:28" ht="14.45">
      <c r="A464" s="198"/>
      <c r="B464" s="198"/>
      <c r="C464" s="198"/>
      <c r="D464" s="198"/>
      <c r="E464" s="11"/>
      <c r="F464" s="11"/>
      <c r="G464" s="11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</row>
    <row r="465" spans="1:28" ht="14.45">
      <c r="A465" s="198"/>
      <c r="B465" s="198"/>
      <c r="C465" s="198"/>
      <c r="D465" s="198"/>
      <c r="E465" s="11"/>
      <c r="F465" s="11"/>
      <c r="G465" s="11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</row>
    <row r="466" spans="1:28" ht="14.45">
      <c r="A466" s="198"/>
      <c r="B466" s="198"/>
      <c r="C466" s="198"/>
      <c r="D466" s="198"/>
      <c r="E466" s="11"/>
      <c r="F466" s="11"/>
      <c r="G466" s="11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</row>
    <row r="467" spans="1:28" ht="14.45">
      <c r="A467" s="198"/>
      <c r="B467" s="198"/>
      <c r="C467" s="198"/>
      <c r="D467" s="198"/>
      <c r="E467" s="11"/>
      <c r="F467" s="11"/>
      <c r="G467" s="11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</row>
    <row r="468" spans="1:28" ht="14.45">
      <c r="A468" s="198"/>
      <c r="B468" s="198"/>
      <c r="C468" s="198"/>
      <c r="D468" s="198"/>
      <c r="E468" s="11"/>
      <c r="F468" s="11"/>
      <c r="G468" s="11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</row>
    <row r="469" spans="1:28" ht="14.45">
      <c r="A469" s="198"/>
      <c r="B469" s="198"/>
      <c r="C469" s="198"/>
      <c r="D469" s="198"/>
      <c r="E469" s="11"/>
      <c r="F469" s="11"/>
      <c r="G469" s="11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</row>
    <row r="470" spans="1:28" ht="14.45">
      <c r="A470" s="198"/>
      <c r="B470" s="198"/>
      <c r="C470" s="198"/>
      <c r="D470" s="198"/>
      <c r="E470" s="11"/>
      <c r="F470" s="11"/>
      <c r="G470" s="11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</row>
    <row r="471" spans="1:28" ht="14.45">
      <c r="A471" s="198"/>
      <c r="B471" s="198"/>
      <c r="C471" s="198"/>
      <c r="D471" s="198"/>
      <c r="E471" s="11"/>
      <c r="F471" s="11"/>
      <c r="G471" s="11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</row>
    <row r="472" spans="1:28" ht="14.45">
      <c r="A472" s="198"/>
      <c r="B472" s="198"/>
      <c r="C472" s="198"/>
      <c r="D472" s="198"/>
      <c r="E472" s="11"/>
      <c r="F472" s="11"/>
      <c r="G472" s="11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</row>
    <row r="473" spans="1:28" ht="14.45">
      <c r="A473" s="198"/>
      <c r="B473" s="198"/>
      <c r="C473" s="198"/>
      <c r="D473" s="198"/>
      <c r="E473" s="11"/>
      <c r="F473" s="11"/>
      <c r="G473" s="11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</row>
    <row r="474" spans="1:28" ht="14.45">
      <c r="A474" s="198"/>
      <c r="B474" s="198"/>
      <c r="C474" s="198"/>
      <c r="D474" s="198"/>
      <c r="E474" s="11"/>
      <c r="F474" s="11"/>
      <c r="G474" s="11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</row>
    <row r="475" spans="1:28" ht="14.45">
      <c r="A475" s="198"/>
      <c r="B475" s="198"/>
      <c r="C475" s="198"/>
      <c r="D475" s="198"/>
      <c r="E475" s="11"/>
      <c r="F475" s="11"/>
      <c r="G475" s="11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</row>
    <row r="476" spans="1:28" ht="14.45">
      <c r="A476" s="198"/>
      <c r="B476" s="198"/>
      <c r="C476" s="198"/>
      <c r="D476" s="198"/>
      <c r="E476" s="11"/>
      <c r="F476" s="11"/>
      <c r="G476" s="11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</row>
    <row r="477" spans="1:28" ht="14.45">
      <c r="A477" s="198"/>
      <c r="B477" s="198"/>
      <c r="C477" s="198"/>
      <c r="D477" s="198"/>
      <c r="E477" s="11"/>
      <c r="F477" s="11"/>
      <c r="G477" s="11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</row>
    <row r="478" spans="1:28" ht="14.45">
      <c r="A478" s="198"/>
      <c r="B478" s="198"/>
      <c r="C478" s="198"/>
      <c r="D478" s="198"/>
      <c r="E478" s="11"/>
      <c r="F478" s="11"/>
      <c r="G478" s="11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</row>
    <row r="479" spans="1:28" ht="14.45">
      <c r="A479" s="198"/>
      <c r="B479" s="198"/>
      <c r="C479" s="198"/>
      <c r="D479" s="198"/>
      <c r="E479" s="11"/>
      <c r="F479" s="11"/>
      <c r="G479" s="11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</row>
    <row r="480" spans="1:28" ht="14.45">
      <c r="A480" s="198"/>
      <c r="B480" s="198"/>
      <c r="C480" s="198"/>
      <c r="D480" s="198"/>
      <c r="E480" s="11"/>
      <c r="F480" s="11"/>
      <c r="G480" s="11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</row>
    <row r="481" spans="1:28" ht="14.45">
      <c r="A481" s="198"/>
      <c r="B481" s="198"/>
      <c r="C481" s="198"/>
      <c r="D481" s="198"/>
      <c r="E481" s="11"/>
      <c r="F481" s="11"/>
      <c r="G481" s="11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</row>
    <row r="482" spans="1:28" ht="14.45">
      <c r="A482" s="198"/>
      <c r="B482" s="198"/>
      <c r="C482" s="198"/>
      <c r="D482" s="198"/>
      <c r="E482" s="11"/>
      <c r="F482" s="11"/>
      <c r="G482" s="11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</row>
    <row r="483" spans="1:28" ht="14.45">
      <c r="A483" s="198"/>
      <c r="B483" s="198"/>
      <c r="C483" s="198"/>
      <c r="D483" s="198"/>
      <c r="E483" s="11"/>
      <c r="F483" s="11"/>
      <c r="G483" s="11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</row>
    <row r="484" spans="1:28" ht="14.45">
      <c r="A484" s="198"/>
      <c r="B484" s="198"/>
      <c r="C484" s="198"/>
      <c r="D484" s="198"/>
      <c r="E484" s="11"/>
      <c r="F484" s="11"/>
      <c r="G484" s="11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</row>
    <row r="485" spans="1:28" ht="14.45">
      <c r="A485" s="198"/>
      <c r="B485" s="198"/>
      <c r="C485" s="198"/>
      <c r="D485" s="198"/>
      <c r="E485" s="11"/>
      <c r="F485" s="11"/>
      <c r="G485" s="11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</row>
    <row r="486" spans="1:28" ht="14.45">
      <c r="A486" s="198"/>
      <c r="B486" s="198"/>
      <c r="C486" s="198"/>
      <c r="D486" s="198"/>
      <c r="E486" s="11"/>
      <c r="F486" s="11"/>
      <c r="G486" s="11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</row>
    <row r="487" spans="1:28" ht="14.45">
      <c r="A487" s="198"/>
      <c r="B487" s="198"/>
      <c r="C487" s="198"/>
      <c r="D487" s="198"/>
      <c r="E487" s="11"/>
      <c r="F487" s="11"/>
      <c r="G487" s="11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</row>
    <row r="488" spans="1:28" ht="14.45">
      <c r="A488" s="198"/>
      <c r="B488" s="198"/>
      <c r="C488" s="198"/>
      <c r="D488" s="198"/>
      <c r="E488" s="11"/>
      <c r="F488" s="11"/>
      <c r="G488" s="11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</row>
    <row r="489" spans="1:28" ht="14.45">
      <c r="A489" s="198"/>
      <c r="B489" s="198"/>
      <c r="C489" s="198"/>
      <c r="D489" s="198"/>
      <c r="E489" s="11"/>
      <c r="F489" s="11"/>
      <c r="G489" s="11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</row>
    <row r="490" spans="1:28" ht="14.45">
      <c r="A490" s="198"/>
      <c r="B490" s="198"/>
      <c r="C490" s="198"/>
      <c r="D490" s="198"/>
      <c r="E490" s="11"/>
      <c r="F490" s="11"/>
      <c r="G490" s="11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</row>
    <row r="491" spans="1:28" ht="14.45">
      <c r="A491" s="198"/>
      <c r="B491" s="198"/>
      <c r="C491" s="198"/>
      <c r="D491" s="198"/>
      <c r="E491" s="11"/>
      <c r="F491" s="11"/>
      <c r="G491" s="11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</row>
    <row r="492" spans="1:28" ht="14.45">
      <c r="A492" s="198"/>
      <c r="B492" s="198"/>
      <c r="C492" s="198"/>
      <c r="D492" s="198"/>
      <c r="E492" s="11"/>
      <c r="F492" s="11"/>
      <c r="G492" s="11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</row>
    <row r="493" spans="1:28" ht="14.45">
      <c r="A493" s="198"/>
      <c r="B493" s="198"/>
      <c r="C493" s="198"/>
      <c r="D493" s="198"/>
      <c r="E493" s="11"/>
      <c r="F493" s="11"/>
      <c r="G493" s="11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</row>
    <row r="494" spans="1:28" ht="14.45">
      <c r="A494" s="198"/>
      <c r="B494" s="198"/>
      <c r="C494" s="198"/>
      <c r="D494" s="198"/>
      <c r="E494" s="11"/>
      <c r="F494" s="11"/>
      <c r="G494" s="11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</row>
    <row r="495" spans="1:28" ht="14.45">
      <c r="A495" s="198"/>
      <c r="B495" s="198"/>
      <c r="C495" s="198"/>
      <c r="D495" s="198"/>
      <c r="E495" s="11"/>
      <c r="F495" s="11"/>
      <c r="G495" s="11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</row>
    <row r="496" spans="1:28" ht="14.45">
      <c r="A496" s="198"/>
      <c r="B496" s="198"/>
      <c r="C496" s="198"/>
      <c r="D496" s="198"/>
      <c r="E496" s="11"/>
      <c r="F496" s="11"/>
      <c r="G496" s="11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</row>
    <row r="497" spans="1:28" ht="14.45">
      <c r="A497" s="198"/>
      <c r="B497" s="198"/>
      <c r="C497" s="198"/>
      <c r="D497" s="198"/>
      <c r="E497" s="11"/>
      <c r="F497" s="11"/>
      <c r="G497" s="11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</row>
    <row r="498" spans="1:28" ht="14.45">
      <c r="A498" s="198"/>
      <c r="B498" s="198"/>
      <c r="C498" s="198"/>
      <c r="D498" s="198"/>
      <c r="E498" s="11"/>
      <c r="F498" s="11"/>
      <c r="G498" s="11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</row>
    <row r="499" spans="1:28" ht="14.45">
      <c r="A499" s="198"/>
      <c r="B499" s="198"/>
      <c r="C499" s="198"/>
      <c r="D499" s="198"/>
      <c r="E499" s="11"/>
      <c r="F499" s="11"/>
      <c r="G499" s="11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</row>
    <row r="500" spans="1:28" ht="14.45">
      <c r="A500" s="198"/>
      <c r="B500" s="198"/>
      <c r="C500" s="198"/>
      <c r="D500" s="198"/>
      <c r="E500" s="11"/>
      <c r="F500" s="11"/>
      <c r="G500" s="11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</row>
    <row r="501" spans="1:28" ht="14.45">
      <c r="A501" s="198"/>
      <c r="B501" s="198"/>
      <c r="C501" s="198"/>
      <c r="D501" s="198"/>
      <c r="E501" s="11"/>
      <c r="F501" s="11"/>
      <c r="G501" s="11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</row>
    <row r="502" spans="1:28" ht="14.45">
      <c r="A502" s="198"/>
      <c r="B502" s="198"/>
      <c r="C502" s="198"/>
      <c r="D502" s="198"/>
      <c r="E502" s="11"/>
      <c r="F502" s="11"/>
      <c r="G502" s="11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</row>
    <row r="503" spans="1:28" ht="14.45">
      <c r="A503" s="198"/>
      <c r="B503" s="198"/>
      <c r="C503" s="198"/>
      <c r="D503" s="198"/>
      <c r="E503" s="11"/>
      <c r="F503" s="11"/>
      <c r="G503" s="11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</row>
    <row r="504" spans="1:28" ht="14.45">
      <c r="A504" s="198"/>
      <c r="B504" s="198"/>
      <c r="C504" s="198"/>
      <c r="D504" s="198"/>
      <c r="E504" s="11"/>
      <c r="F504" s="11"/>
      <c r="G504" s="11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</row>
    <row r="505" spans="1:28" ht="14.45">
      <c r="A505" s="198"/>
      <c r="B505" s="198"/>
      <c r="C505" s="198"/>
      <c r="D505" s="198"/>
      <c r="E505" s="11"/>
      <c r="F505" s="11"/>
      <c r="G505" s="11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</row>
    <row r="506" spans="1:28" ht="14.45">
      <c r="A506" s="198"/>
      <c r="B506" s="198"/>
      <c r="C506" s="198"/>
      <c r="D506" s="198"/>
      <c r="E506" s="11"/>
      <c r="F506" s="11"/>
      <c r="G506" s="11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</row>
    <row r="507" spans="1:28" ht="14.45">
      <c r="A507" s="198"/>
      <c r="B507" s="198"/>
      <c r="C507" s="198"/>
      <c r="D507" s="198"/>
      <c r="E507" s="11"/>
      <c r="F507" s="11"/>
      <c r="G507" s="11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</row>
    <row r="508" spans="1:28" ht="14.45">
      <c r="A508" s="198"/>
      <c r="B508" s="198"/>
      <c r="C508" s="198"/>
      <c r="D508" s="198"/>
      <c r="E508" s="11"/>
      <c r="F508" s="11"/>
      <c r="G508" s="11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</row>
    <row r="509" spans="1:28" ht="14.45">
      <c r="A509" s="198"/>
      <c r="B509" s="198"/>
      <c r="C509" s="198"/>
      <c r="D509" s="198"/>
      <c r="E509" s="11"/>
      <c r="F509" s="11"/>
      <c r="G509" s="11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</row>
    <row r="510" spans="1:28" ht="14.45">
      <c r="A510" s="198"/>
      <c r="B510" s="198"/>
      <c r="C510" s="198"/>
      <c r="D510" s="198"/>
      <c r="E510" s="11"/>
      <c r="F510" s="11"/>
      <c r="G510" s="11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</row>
    <row r="511" spans="1:28" ht="14.45">
      <c r="A511" s="198"/>
      <c r="B511" s="198"/>
      <c r="C511" s="198"/>
      <c r="D511" s="198"/>
      <c r="E511" s="11"/>
      <c r="F511" s="11"/>
      <c r="G511" s="11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</row>
    <row r="512" spans="1:28" ht="14.45">
      <c r="A512" s="198"/>
      <c r="B512" s="198"/>
      <c r="C512" s="198"/>
      <c r="D512" s="198"/>
      <c r="E512" s="11"/>
      <c r="F512" s="11"/>
      <c r="G512" s="11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</row>
    <row r="513" spans="1:28" ht="14.45">
      <c r="A513" s="198"/>
      <c r="B513" s="198"/>
      <c r="C513" s="198"/>
      <c r="D513" s="198"/>
      <c r="E513" s="11"/>
      <c r="F513" s="11"/>
      <c r="G513" s="11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</row>
    <row r="514" spans="1:28" ht="14.45">
      <c r="A514" s="198"/>
      <c r="B514" s="198"/>
      <c r="C514" s="198"/>
      <c r="D514" s="198"/>
      <c r="E514" s="11"/>
      <c r="F514" s="11"/>
      <c r="G514" s="11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</row>
    <row r="515" spans="1:28" ht="14.45">
      <c r="A515" s="198"/>
      <c r="B515" s="198"/>
      <c r="C515" s="198"/>
      <c r="D515" s="198"/>
      <c r="E515" s="11"/>
      <c r="F515" s="11"/>
      <c r="G515" s="11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</row>
    <row r="516" spans="1:28" ht="14.45">
      <c r="A516" s="198"/>
      <c r="B516" s="198"/>
      <c r="C516" s="198"/>
      <c r="D516" s="198"/>
      <c r="E516" s="11"/>
      <c r="F516" s="11"/>
      <c r="G516" s="11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</row>
    <row r="517" spans="1:28" ht="14.45">
      <c r="A517" s="198"/>
      <c r="B517" s="198"/>
      <c r="C517" s="198"/>
      <c r="D517" s="198"/>
      <c r="E517" s="11"/>
      <c r="F517" s="11"/>
      <c r="G517" s="11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</row>
    <row r="518" spans="1:28" ht="14.45">
      <c r="A518" s="198"/>
      <c r="B518" s="198"/>
      <c r="C518" s="198"/>
      <c r="D518" s="198"/>
      <c r="E518" s="11"/>
      <c r="F518" s="11"/>
      <c r="G518" s="11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</row>
    <row r="519" spans="1:28" ht="14.45">
      <c r="A519" s="198"/>
      <c r="B519" s="198"/>
      <c r="C519" s="198"/>
      <c r="D519" s="198"/>
      <c r="E519" s="11"/>
      <c r="F519" s="11"/>
      <c r="G519" s="11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</row>
    <row r="520" spans="1:28" ht="14.45">
      <c r="A520" s="198"/>
      <c r="B520" s="198"/>
      <c r="C520" s="198"/>
      <c r="D520" s="198"/>
      <c r="E520" s="11"/>
      <c r="F520" s="11"/>
      <c r="G520" s="11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</row>
    <row r="521" spans="1:28" ht="14.45">
      <c r="A521" s="198"/>
      <c r="B521" s="198"/>
      <c r="C521" s="198"/>
      <c r="D521" s="198"/>
      <c r="E521" s="11"/>
      <c r="F521" s="11"/>
      <c r="G521" s="11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</row>
    <row r="522" spans="1:28" ht="14.45">
      <c r="A522" s="198"/>
      <c r="B522" s="198"/>
      <c r="C522" s="198"/>
      <c r="D522" s="198"/>
      <c r="E522" s="11"/>
      <c r="F522" s="11"/>
      <c r="G522" s="11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</row>
    <row r="523" spans="1:28" ht="14.45">
      <c r="A523" s="198"/>
      <c r="B523" s="198"/>
      <c r="C523" s="198"/>
      <c r="D523" s="198"/>
      <c r="E523" s="11"/>
      <c r="F523" s="11"/>
      <c r="G523" s="11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</row>
    <row r="524" spans="1:28" ht="14.45">
      <c r="A524" s="198"/>
      <c r="B524" s="198"/>
      <c r="C524" s="198"/>
      <c r="D524" s="198"/>
      <c r="E524" s="11"/>
      <c r="F524" s="11"/>
      <c r="G524" s="11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</row>
    <row r="525" spans="1:28" ht="14.45">
      <c r="A525" s="198"/>
      <c r="B525" s="198"/>
      <c r="C525" s="198"/>
      <c r="D525" s="198"/>
      <c r="E525" s="11"/>
      <c r="F525" s="11"/>
      <c r="G525" s="11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</row>
    <row r="526" spans="1:28" ht="14.45">
      <c r="A526" s="198"/>
      <c r="B526" s="198"/>
      <c r="C526" s="198"/>
      <c r="D526" s="198"/>
      <c r="E526" s="11"/>
      <c r="F526" s="11"/>
      <c r="G526" s="11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</row>
    <row r="527" spans="1:28" ht="14.45">
      <c r="A527" s="198"/>
      <c r="B527" s="198"/>
      <c r="C527" s="198"/>
      <c r="D527" s="198"/>
      <c r="E527" s="11"/>
      <c r="F527" s="11"/>
      <c r="G527" s="11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</row>
    <row r="528" spans="1:28" ht="14.45">
      <c r="A528" s="198"/>
      <c r="B528" s="198"/>
      <c r="C528" s="198"/>
      <c r="D528" s="198"/>
      <c r="E528" s="11"/>
      <c r="F528" s="11"/>
      <c r="G528" s="11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</row>
    <row r="529" spans="1:28" ht="14.45">
      <c r="A529" s="198"/>
      <c r="B529" s="198"/>
      <c r="C529" s="198"/>
      <c r="D529" s="198"/>
      <c r="E529" s="11"/>
      <c r="F529" s="11"/>
      <c r="G529" s="11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</row>
    <row r="530" spans="1:28" ht="14.45">
      <c r="A530" s="198"/>
      <c r="B530" s="198"/>
      <c r="C530" s="198"/>
      <c r="D530" s="198"/>
      <c r="E530" s="11"/>
      <c r="F530" s="11"/>
      <c r="G530" s="11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</row>
    <row r="531" spans="1:28" ht="14.45">
      <c r="A531" s="198"/>
      <c r="B531" s="198"/>
      <c r="C531" s="198"/>
      <c r="D531" s="198"/>
      <c r="E531" s="11"/>
      <c r="F531" s="11"/>
      <c r="G531" s="11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</row>
    <row r="532" spans="1:28" ht="14.45">
      <c r="A532" s="198"/>
      <c r="B532" s="198"/>
      <c r="C532" s="198"/>
      <c r="D532" s="198"/>
      <c r="E532" s="11"/>
      <c r="F532" s="11"/>
      <c r="G532" s="11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</row>
    <row r="533" spans="1:28" ht="14.45">
      <c r="A533" s="198"/>
      <c r="B533" s="198"/>
      <c r="C533" s="198"/>
      <c r="D533" s="198"/>
      <c r="E533" s="11"/>
      <c r="F533" s="11"/>
      <c r="G533" s="11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</row>
    <row r="534" spans="1:28" ht="14.45">
      <c r="A534" s="198"/>
      <c r="B534" s="198"/>
      <c r="C534" s="198"/>
      <c r="D534" s="198"/>
      <c r="E534" s="11"/>
      <c r="F534" s="11"/>
      <c r="G534" s="11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</row>
    <row r="535" spans="1:28" ht="14.45">
      <c r="A535" s="198"/>
      <c r="B535" s="198"/>
      <c r="C535" s="198"/>
      <c r="D535" s="198"/>
      <c r="E535" s="11"/>
      <c r="F535" s="11"/>
      <c r="G535" s="11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</row>
    <row r="536" spans="1:28" ht="14.45">
      <c r="A536" s="198"/>
      <c r="B536" s="198"/>
      <c r="C536" s="198"/>
      <c r="D536" s="198"/>
      <c r="E536" s="11"/>
      <c r="F536" s="11"/>
      <c r="G536" s="11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</row>
    <row r="537" spans="1:28" ht="14.45">
      <c r="A537" s="198"/>
      <c r="B537" s="198"/>
      <c r="C537" s="198"/>
      <c r="D537" s="198"/>
      <c r="E537" s="11"/>
      <c r="F537" s="11"/>
      <c r="G537" s="11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</row>
    <row r="538" spans="1:28" ht="14.45">
      <c r="A538" s="198"/>
      <c r="B538" s="198"/>
      <c r="C538" s="198"/>
      <c r="D538" s="198"/>
      <c r="E538" s="11"/>
      <c r="F538" s="11"/>
      <c r="G538" s="11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</row>
    <row r="539" spans="1:28" ht="14.45">
      <c r="A539" s="198"/>
      <c r="B539" s="198"/>
      <c r="C539" s="198"/>
      <c r="D539" s="198"/>
      <c r="E539" s="11"/>
      <c r="F539" s="11"/>
      <c r="G539" s="11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</row>
    <row r="540" spans="1:28" ht="14.45">
      <c r="A540" s="198"/>
      <c r="B540" s="198"/>
      <c r="C540" s="198"/>
      <c r="D540" s="198"/>
      <c r="E540" s="11"/>
      <c r="F540" s="11"/>
      <c r="G540" s="11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</row>
    <row r="541" spans="1:28" ht="14.45">
      <c r="A541" s="198"/>
      <c r="B541" s="198"/>
      <c r="C541" s="198"/>
      <c r="D541" s="198"/>
      <c r="E541" s="11"/>
      <c r="F541" s="11"/>
      <c r="G541" s="11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</row>
    <row r="542" spans="1:28" ht="14.45">
      <c r="A542" s="198"/>
      <c r="B542" s="198"/>
      <c r="C542" s="198"/>
      <c r="D542" s="198"/>
      <c r="E542" s="11"/>
      <c r="F542" s="11"/>
      <c r="G542" s="11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</row>
    <row r="543" spans="1:28" ht="14.45">
      <c r="A543" s="198"/>
      <c r="B543" s="198"/>
      <c r="C543" s="198"/>
      <c r="D543" s="198"/>
      <c r="E543" s="11"/>
      <c r="F543" s="11"/>
      <c r="G543" s="11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</row>
    <row r="544" spans="1:28" ht="14.45">
      <c r="A544" s="198"/>
      <c r="B544" s="198"/>
      <c r="C544" s="198"/>
      <c r="D544" s="198"/>
      <c r="E544" s="11"/>
      <c r="F544" s="11"/>
      <c r="G544" s="11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</row>
    <row r="545" spans="1:28" ht="14.45">
      <c r="A545" s="198"/>
      <c r="B545" s="198"/>
      <c r="C545" s="198"/>
      <c r="D545" s="198"/>
      <c r="E545" s="11"/>
      <c r="F545" s="11"/>
      <c r="G545" s="11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</row>
    <row r="546" spans="1:28" ht="14.45">
      <c r="A546" s="198"/>
      <c r="B546" s="198"/>
      <c r="C546" s="198"/>
      <c r="D546" s="198"/>
      <c r="E546" s="11"/>
      <c r="F546" s="11"/>
      <c r="G546" s="11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</row>
    <row r="547" spans="1:28" ht="14.45">
      <c r="A547" s="198"/>
      <c r="B547" s="198"/>
      <c r="C547" s="198"/>
      <c r="D547" s="198"/>
      <c r="E547" s="11"/>
      <c r="F547" s="11"/>
      <c r="G547" s="11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</row>
    <row r="548" spans="1:28" ht="14.45">
      <c r="A548" s="198"/>
      <c r="B548" s="198"/>
      <c r="C548" s="198"/>
      <c r="D548" s="198"/>
      <c r="E548" s="11"/>
      <c r="F548" s="11"/>
      <c r="G548" s="11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</row>
    <row r="549" spans="1:28" ht="14.45">
      <c r="A549" s="198"/>
      <c r="B549" s="198"/>
      <c r="C549" s="198"/>
      <c r="D549" s="198"/>
      <c r="E549" s="11"/>
      <c r="F549" s="11"/>
      <c r="G549" s="11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</row>
    <row r="550" spans="1:28" ht="14.45">
      <c r="A550" s="198"/>
      <c r="B550" s="198"/>
      <c r="C550" s="198"/>
      <c r="D550" s="198"/>
      <c r="E550" s="11"/>
      <c r="F550" s="11"/>
      <c r="G550" s="11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</row>
    <row r="551" spans="1:28" ht="14.45">
      <c r="A551" s="198"/>
      <c r="B551" s="198"/>
      <c r="C551" s="198"/>
      <c r="D551" s="198"/>
      <c r="E551" s="11"/>
      <c r="F551" s="11"/>
      <c r="G551" s="11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</row>
    <row r="552" spans="1:28" ht="14.45">
      <c r="A552" s="198"/>
      <c r="B552" s="198"/>
      <c r="C552" s="198"/>
      <c r="D552" s="198"/>
      <c r="E552" s="11"/>
      <c r="F552" s="11"/>
      <c r="G552" s="11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</row>
    <row r="553" spans="1:28" ht="14.45">
      <c r="A553" s="198"/>
      <c r="B553" s="198"/>
      <c r="C553" s="198"/>
      <c r="D553" s="198"/>
      <c r="E553" s="11"/>
      <c r="F553" s="11"/>
      <c r="G553" s="11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</row>
    <row r="554" spans="1:28" ht="14.45">
      <c r="A554" s="198"/>
      <c r="B554" s="198"/>
      <c r="C554" s="198"/>
      <c r="D554" s="198"/>
      <c r="E554" s="11"/>
      <c r="F554" s="11"/>
      <c r="G554" s="11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</row>
    <row r="555" spans="1:28" ht="14.45">
      <c r="A555" s="198"/>
      <c r="B555" s="198"/>
      <c r="C555" s="198"/>
      <c r="D555" s="198"/>
      <c r="E555" s="11"/>
      <c r="F555" s="11"/>
      <c r="G555" s="11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</row>
    <row r="556" spans="1:28" ht="14.45">
      <c r="A556" s="198"/>
      <c r="B556" s="198"/>
      <c r="C556" s="198"/>
      <c r="D556" s="198"/>
      <c r="E556" s="11"/>
      <c r="F556" s="11"/>
      <c r="G556" s="11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</row>
    <row r="557" spans="1:28" ht="14.45">
      <c r="A557" s="198"/>
      <c r="B557" s="198"/>
      <c r="C557" s="198"/>
      <c r="D557" s="198"/>
      <c r="E557" s="11"/>
      <c r="F557" s="11"/>
      <c r="G557" s="11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</row>
    <row r="558" spans="1:28" ht="14.45">
      <c r="A558" s="198"/>
      <c r="B558" s="198"/>
      <c r="C558" s="198"/>
      <c r="D558" s="198"/>
      <c r="E558" s="11"/>
      <c r="F558" s="11"/>
      <c r="G558" s="11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</row>
    <row r="559" spans="1:28" ht="14.45">
      <c r="A559" s="198"/>
      <c r="B559" s="198"/>
      <c r="C559" s="198"/>
      <c r="D559" s="198"/>
      <c r="E559" s="11"/>
      <c r="F559" s="11"/>
      <c r="G559" s="11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</row>
    <row r="560" spans="1:28" ht="14.45">
      <c r="A560" s="198"/>
      <c r="B560" s="198"/>
      <c r="C560" s="198"/>
      <c r="D560" s="198"/>
      <c r="E560" s="11"/>
      <c r="F560" s="11"/>
      <c r="G560" s="11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</row>
    <row r="561" spans="1:28" ht="14.45">
      <c r="A561" s="198"/>
      <c r="B561" s="198"/>
      <c r="C561" s="198"/>
      <c r="D561" s="198"/>
      <c r="E561" s="11"/>
      <c r="F561" s="11"/>
      <c r="G561" s="11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</row>
    <row r="562" spans="1:28" ht="14.45">
      <c r="A562" s="198"/>
      <c r="B562" s="198"/>
      <c r="C562" s="198"/>
      <c r="D562" s="198"/>
      <c r="E562" s="11"/>
      <c r="F562" s="11"/>
      <c r="G562" s="11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</row>
    <row r="563" spans="1:28" ht="14.45">
      <c r="A563" s="198"/>
      <c r="B563" s="198"/>
      <c r="C563" s="198"/>
      <c r="D563" s="198"/>
      <c r="E563" s="11"/>
      <c r="F563" s="11"/>
      <c r="G563" s="11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</row>
    <row r="564" spans="1:28" ht="14.45">
      <c r="A564" s="198"/>
      <c r="B564" s="198"/>
      <c r="C564" s="198"/>
      <c r="D564" s="198"/>
      <c r="E564" s="11"/>
      <c r="F564" s="11"/>
      <c r="G564" s="11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</row>
    <row r="565" spans="1:28" ht="14.45">
      <c r="A565" s="198"/>
      <c r="B565" s="198"/>
      <c r="C565" s="198"/>
      <c r="D565" s="198"/>
      <c r="E565" s="11"/>
      <c r="F565" s="11"/>
      <c r="G565" s="11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</row>
    <row r="566" spans="1:28" ht="14.45">
      <c r="A566" s="198"/>
      <c r="B566" s="198"/>
      <c r="C566" s="198"/>
      <c r="D566" s="198"/>
      <c r="E566" s="11"/>
      <c r="F566" s="11"/>
      <c r="G566" s="11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</row>
    <row r="567" spans="1:28" ht="14.45">
      <c r="A567" s="198"/>
      <c r="B567" s="198"/>
      <c r="C567" s="198"/>
      <c r="D567" s="198"/>
      <c r="E567" s="11"/>
      <c r="F567" s="11"/>
      <c r="G567" s="11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</row>
    <row r="568" spans="1:28" ht="14.45">
      <c r="A568" s="198"/>
      <c r="B568" s="198"/>
      <c r="C568" s="198"/>
      <c r="D568" s="198"/>
      <c r="E568" s="11"/>
      <c r="F568" s="11"/>
      <c r="G568" s="11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</row>
    <row r="569" spans="1:28" ht="14.45">
      <c r="A569" s="198"/>
      <c r="B569" s="198"/>
      <c r="C569" s="198"/>
      <c r="D569" s="198"/>
      <c r="E569" s="11"/>
      <c r="F569" s="11"/>
      <c r="G569" s="11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</row>
    <row r="570" spans="1:28" ht="14.45">
      <c r="A570" s="198"/>
      <c r="B570" s="198"/>
      <c r="C570" s="198"/>
      <c r="D570" s="198"/>
      <c r="E570" s="11"/>
      <c r="F570" s="11"/>
      <c r="G570" s="11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</row>
    <row r="571" spans="1:28" ht="14.45">
      <c r="A571" s="198"/>
      <c r="B571" s="198"/>
      <c r="C571" s="198"/>
      <c r="D571" s="198"/>
      <c r="E571" s="11"/>
      <c r="F571" s="11"/>
      <c r="G571" s="11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</row>
    <row r="572" spans="1:28" ht="14.45">
      <c r="A572" s="198"/>
      <c r="B572" s="198"/>
      <c r="C572" s="198"/>
      <c r="D572" s="198"/>
      <c r="E572" s="11"/>
      <c r="F572" s="11"/>
      <c r="G572" s="11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</row>
    <row r="573" spans="1:28" ht="14.45">
      <c r="A573" s="198"/>
      <c r="B573" s="198"/>
      <c r="C573" s="198"/>
      <c r="D573" s="198"/>
      <c r="E573" s="11"/>
      <c r="F573" s="11"/>
      <c r="G573" s="11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</row>
    <row r="574" spans="1:28" ht="14.45">
      <c r="A574" s="198"/>
      <c r="B574" s="198"/>
      <c r="C574" s="198"/>
      <c r="D574" s="198"/>
      <c r="E574" s="11"/>
      <c r="F574" s="11"/>
      <c r="G574" s="11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</row>
    <row r="575" spans="1:28" ht="14.45">
      <c r="A575" s="198"/>
      <c r="B575" s="198"/>
      <c r="C575" s="198"/>
      <c r="D575" s="198"/>
      <c r="E575" s="11"/>
      <c r="F575" s="11"/>
      <c r="G575" s="11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</row>
    <row r="576" spans="1:28" ht="14.45">
      <c r="A576" s="198"/>
      <c r="B576" s="198"/>
      <c r="C576" s="198"/>
      <c r="D576" s="198"/>
      <c r="E576" s="11"/>
      <c r="F576" s="11"/>
      <c r="G576" s="11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</row>
    <row r="577" spans="1:28" ht="14.45">
      <c r="A577" s="198"/>
      <c r="B577" s="198"/>
      <c r="C577" s="198"/>
      <c r="D577" s="198"/>
      <c r="E577" s="11"/>
      <c r="F577" s="11"/>
      <c r="G577" s="11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</row>
    <row r="578" spans="1:28" ht="14.45">
      <c r="A578" s="198"/>
      <c r="B578" s="198"/>
      <c r="C578" s="198"/>
      <c r="D578" s="198"/>
      <c r="E578" s="11"/>
      <c r="F578" s="11"/>
      <c r="G578" s="11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</row>
    <row r="579" spans="1:28" ht="14.45">
      <c r="A579" s="198"/>
      <c r="B579" s="198"/>
      <c r="C579" s="198"/>
      <c r="D579" s="198"/>
      <c r="E579" s="11"/>
      <c r="F579" s="11"/>
      <c r="G579" s="11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</row>
    <row r="580" spans="1:28" ht="14.45">
      <c r="A580" s="198"/>
      <c r="B580" s="198"/>
      <c r="C580" s="198"/>
      <c r="D580" s="198"/>
      <c r="E580" s="11"/>
      <c r="F580" s="11"/>
      <c r="G580" s="11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</row>
    <row r="581" spans="1:28" ht="14.45">
      <c r="A581" s="198"/>
      <c r="B581" s="198"/>
      <c r="C581" s="198"/>
      <c r="D581" s="198"/>
      <c r="E581" s="11"/>
      <c r="F581" s="11"/>
      <c r="G581" s="11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</row>
    <row r="582" spans="1:28" ht="14.45">
      <c r="A582" s="198"/>
      <c r="B582" s="198"/>
      <c r="C582" s="198"/>
      <c r="D582" s="198"/>
      <c r="E582" s="11"/>
      <c r="F582" s="11"/>
      <c r="G582" s="11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</row>
    <row r="583" spans="1:28" ht="14.45">
      <c r="A583" s="198"/>
      <c r="B583" s="198"/>
      <c r="C583" s="198"/>
      <c r="D583" s="198"/>
      <c r="E583" s="11"/>
      <c r="F583" s="11"/>
      <c r="G583" s="11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</row>
    <row r="584" spans="1:28" ht="14.45">
      <c r="A584" s="198"/>
      <c r="B584" s="198"/>
      <c r="C584" s="198"/>
      <c r="D584" s="198"/>
      <c r="E584" s="11"/>
      <c r="F584" s="11"/>
      <c r="G584" s="11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</row>
    <row r="585" spans="1:28" ht="14.45">
      <c r="A585" s="198"/>
      <c r="B585" s="198"/>
      <c r="C585" s="198"/>
      <c r="D585" s="198"/>
      <c r="E585" s="11"/>
      <c r="F585" s="11"/>
      <c r="G585" s="11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</row>
    <row r="586" spans="1:28" ht="14.45">
      <c r="A586" s="198"/>
      <c r="B586" s="198"/>
      <c r="C586" s="198"/>
      <c r="D586" s="198"/>
      <c r="E586" s="11"/>
      <c r="F586" s="11"/>
      <c r="G586" s="11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</row>
    <row r="587" spans="1:28" ht="14.45">
      <c r="A587" s="198"/>
      <c r="B587" s="198"/>
      <c r="C587" s="198"/>
      <c r="D587" s="198"/>
      <c r="E587" s="11"/>
      <c r="F587" s="11"/>
      <c r="G587" s="11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</row>
    <row r="588" spans="1:28" ht="14.45">
      <c r="A588" s="198"/>
      <c r="B588" s="198"/>
      <c r="C588" s="198"/>
      <c r="D588" s="198"/>
      <c r="E588" s="11"/>
      <c r="F588" s="11"/>
      <c r="G588" s="11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</row>
    <row r="589" spans="1:28" ht="14.45">
      <c r="A589" s="198"/>
      <c r="B589" s="198"/>
      <c r="C589" s="198"/>
      <c r="D589" s="198"/>
      <c r="E589" s="11"/>
      <c r="F589" s="11"/>
      <c r="G589" s="11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</row>
    <row r="590" spans="1:28" ht="14.45">
      <c r="A590" s="198"/>
      <c r="B590" s="198"/>
      <c r="C590" s="198"/>
      <c r="D590" s="198"/>
      <c r="E590" s="11"/>
      <c r="F590" s="11"/>
      <c r="G590" s="11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</row>
    <row r="591" spans="1:28" ht="14.45">
      <c r="A591" s="198"/>
      <c r="B591" s="198"/>
      <c r="C591" s="198"/>
      <c r="D591" s="198"/>
      <c r="E591" s="11"/>
      <c r="F591" s="11"/>
      <c r="G591" s="11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</row>
    <row r="592" spans="1:28" ht="14.45">
      <c r="A592" s="198"/>
      <c r="B592" s="198"/>
      <c r="C592" s="198"/>
      <c r="D592" s="198"/>
      <c r="E592" s="11"/>
      <c r="F592" s="11"/>
      <c r="G592" s="11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</row>
    <row r="593" spans="1:28" ht="14.45">
      <c r="A593" s="198"/>
      <c r="B593" s="198"/>
      <c r="C593" s="198"/>
      <c r="D593" s="198"/>
      <c r="E593" s="11"/>
      <c r="F593" s="11"/>
      <c r="G593" s="11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</row>
    <row r="594" spans="1:28" ht="14.45">
      <c r="A594" s="198"/>
      <c r="B594" s="198"/>
      <c r="C594" s="198"/>
      <c r="D594" s="198"/>
      <c r="E594" s="11"/>
      <c r="F594" s="11"/>
      <c r="G594" s="11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</row>
    <row r="595" spans="1:28" ht="14.45">
      <c r="A595" s="198"/>
      <c r="B595" s="198"/>
      <c r="C595" s="198"/>
      <c r="D595" s="198"/>
      <c r="E595" s="11"/>
      <c r="F595" s="11"/>
      <c r="G595" s="11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</row>
    <row r="596" spans="1:28" ht="14.45">
      <c r="A596" s="198"/>
      <c r="B596" s="198"/>
      <c r="C596" s="198"/>
      <c r="D596" s="198"/>
      <c r="E596" s="11"/>
      <c r="F596" s="11"/>
      <c r="G596" s="11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</row>
    <row r="597" spans="1:28" ht="14.45">
      <c r="A597" s="198"/>
      <c r="B597" s="198"/>
      <c r="C597" s="198"/>
      <c r="D597" s="198"/>
      <c r="E597" s="11"/>
      <c r="F597" s="11"/>
      <c r="G597" s="11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</row>
    <row r="598" spans="1:28" ht="14.45">
      <c r="A598" s="198"/>
      <c r="B598" s="198"/>
      <c r="C598" s="198"/>
      <c r="D598" s="198"/>
      <c r="E598" s="11"/>
      <c r="F598" s="11"/>
      <c r="G598" s="11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</row>
    <row r="599" spans="1:28" ht="14.45">
      <c r="A599" s="198"/>
      <c r="B599" s="198"/>
      <c r="C599" s="198"/>
      <c r="D599" s="198"/>
      <c r="E599" s="11"/>
      <c r="F599" s="11"/>
      <c r="G599" s="11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</row>
    <row r="600" spans="1:28" ht="14.45">
      <c r="A600" s="198"/>
      <c r="B600" s="198"/>
      <c r="C600" s="198"/>
      <c r="D600" s="198"/>
      <c r="E600" s="11"/>
      <c r="F600" s="11"/>
      <c r="G600" s="11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</row>
    <row r="601" spans="1:28" ht="14.45">
      <c r="A601" s="198"/>
      <c r="B601" s="198"/>
      <c r="C601" s="198"/>
      <c r="D601" s="198"/>
      <c r="E601" s="11"/>
      <c r="F601" s="11"/>
      <c r="G601" s="11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</row>
    <row r="602" spans="1:28" ht="14.45">
      <c r="A602" s="198"/>
      <c r="B602" s="198"/>
      <c r="C602" s="198"/>
      <c r="D602" s="198"/>
      <c r="E602" s="11"/>
      <c r="F602" s="11"/>
      <c r="G602" s="11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</row>
    <row r="603" spans="1:28" ht="14.45">
      <c r="A603" s="198"/>
      <c r="B603" s="198"/>
      <c r="C603" s="198"/>
      <c r="D603" s="198"/>
      <c r="E603" s="11"/>
      <c r="F603" s="11"/>
      <c r="G603" s="11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</row>
    <row r="604" spans="1:28" ht="14.45">
      <c r="A604" s="198"/>
      <c r="B604" s="198"/>
      <c r="C604" s="198"/>
      <c r="D604" s="198"/>
      <c r="E604" s="11"/>
      <c r="F604" s="11"/>
      <c r="G604" s="11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</row>
    <row r="605" spans="1:28" ht="14.45">
      <c r="A605" s="198"/>
      <c r="B605" s="198"/>
      <c r="C605" s="198"/>
      <c r="D605" s="198"/>
      <c r="E605" s="11"/>
      <c r="F605" s="11"/>
      <c r="G605" s="11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</row>
    <row r="606" spans="1:28" ht="14.45">
      <c r="A606" s="198"/>
      <c r="B606" s="198"/>
      <c r="C606" s="198"/>
      <c r="D606" s="198"/>
      <c r="E606" s="11"/>
      <c r="F606" s="11"/>
      <c r="G606" s="11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</row>
    <row r="607" spans="1:28" ht="14.45">
      <c r="A607" s="198"/>
      <c r="B607" s="198"/>
      <c r="C607" s="198"/>
      <c r="D607" s="198"/>
      <c r="E607" s="11"/>
      <c r="F607" s="11"/>
      <c r="G607" s="11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</row>
    <row r="608" spans="1:28" ht="14.45">
      <c r="A608" s="198"/>
      <c r="B608" s="198"/>
      <c r="C608" s="198"/>
      <c r="D608" s="198"/>
      <c r="E608" s="11"/>
      <c r="F608" s="11"/>
      <c r="G608" s="11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</row>
    <row r="609" spans="1:28" ht="14.45">
      <c r="A609" s="198"/>
      <c r="B609" s="198"/>
      <c r="C609" s="198"/>
      <c r="D609" s="198"/>
      <c r="E609" s="11"/>
      <c r="F609" s="11"/>
      <c r="G609" s="11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</row>
    <row r="610" spans="1:28" ht="14.45">
      <c r="A610" s="198"/>
      <c r="B610" s="198"/>
      <c r="C610" s="198"/>
      <c r="D610" s="198"/>
      <c r="E610" s="11"/>
      <c r="F610" s="11"/>
      <c r="G610" s="11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</row>
    <row r="611" spans="1:28" ht="14.45">
      <c r="A611" s="198"/>
      <c r="B611" s="198"/>
      <c r="C611" s="198"/>
      <c r="D611" s="198"/>
      <c r="E611" s="11"/>
      <c r="F611" s="11"/>
      <c r="G611" s="11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</row>
    <row r="612" spans="1:28" ht="14.45">
      <c r="A612" s="198"/>
      <c r="B612" s="198"/>
      <c r="C612" s="198"/>
      <c r="D612" s="198"/>
      <c r="E612" s="11"/>
      <c r="F612" s="11"/>
      <c r="G612" s="11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</row>
    <row r="613" spans="1:28" ht="14.45">
      <c r="A613" s="198"/>
      <c r="B613" s="198"/>
      <c r="C613" s="198"/>
      <c r="D613" s="198"/>
      <c r="E613" s="11"/>
      <c r="F613" s="11"/>
      <c r="G613" s="11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</row>
    <row r="614" spans="1:28" ht="14.45">
      <c r="A614" s="198"/>
      <c r="B614" s="198"/>
      <c r="C614" s="198"/>
      <c r="D614" s="198"/>
      <c r="E614" s="11"/>
      <c r="F614" s="11"/>
      <c r="G614" s="11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</row>
    <row r="615" spans="1:28" ht="14.45">
      <c r="A615" s="198"/>
      <c r="B615" s="198"/>
      <c r="C615" s="198"/>
      <c r="D615" s="198"/>
      <c r="E615" s="11"/>
      <c r="F615" s="11"/>
      <c r="G615" s="11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</row>
    <row r="616" spans="1:28" ht="14.45">
      <c r="A616" s="198"/>
      <c r="B616" s="198"/>
      <c r="C616" s="198"/>
      <c r="D616" s="198"/>
      <c r="E616" s="11"/>
      <c r="F616" s="11"/>
      <c r="G616" s="11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</row>
    <row r="617" spans="1:28" ht="14.45">
      <c r="A617" s="198"/>
      <c r="B617" s="198"/>
      <c r="C617" s="198"/>
      <c r="D617" s="198"/>
      <c r="E617" s="11"/>
      <c r="F617" s="11"/>
      <c r="G617" s="11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</row>
    <row r="618" spans="1:28" ht="14.45">
      <c r="A618" s="198"/>
      <c r="B618" s="198"/>
      <c r="C618" s="198"/>
      <c r="D618" s="198"/>
      <c r="E618" s="11"/>
      <c r="F618" s="11"/>
      <c r="G618" s="11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</row>
    <row r="619" spans="1:28" ht="14.45">
      <c r="A619" s="198"/>
      <c r="B619" s="198"/>
      <c r="C619" s="198"/>
      <c r="D619" s="198"/>
      <c r="E619" s="11"/>
      <c r="F619" s="11"/>
      <c r="G619" s="11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</row>
    <row r="620" spans="1:28" ht="14.45">
      <c r="A620" s="198"/>
      <c r="B620" s="198"/>
      <c r="C620" s="198"/>
      <c r="D620" s="198"/>
      <c r="E620" s="11"/>
      <c r="F620" s="11"/>
      <c r="G620" s="11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</row>
    <row r="621" spans="1:28" ht="14.45">
      <c r="A621" s="198"/>
      <c r="B621" s="198"/>
      <c r="C621" s="198"/>
      <c r="D621" s="198"/>
      <c r="E621" s="11"/>
      <c r="F621" s="11"/>
      <c r="G621" s="11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</row>
    <row r="622" spans="1:28" ht="14.45">
      <c r="A622" s="198"/>
      <c r="B622" s="198"/>
      <c r="C622" s="198"/>
      <c r="D622" s="198"/>
      <c r="E622" s="11"/>
      <c r="F622" s="11"/>
      <c r="G622" s="11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</row>
    <row r="623" spans="1:28" ht="14.45">
      <c r="A623" s="198"/>
      <c r="B623" s="198"/>
      <c r="C623" s="198"/>
      <c r="D623" s="198"/>
      <c r="E623" s="11"/>
      <c r="F623" s="11"/>
      <c r="G623" s="11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</row>
    <row r="624" spans="1:28" ht="14.45">
      <c r="A624" s="198"/>
      <c r="B624" s="198"/>
      <c r="C624" s="198"/>
      <c r="D624" s="198"/>
      <c r="E624" s="11"/>
      <c r="F624" s="11"/>
      <c r="G624" s="11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</row>
    <row r="625" spans="1:28" ht="14.45">
      <c r="A625" s="198"/>
      <c r="B625" s="198"/>
      <c r="C625" s="198"/>
      <c r="D625" s="198"/>
      <c r="E625" s="11"/>
      <c r="F625" s="11"/>
      <c r="G625" s="11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</row>
    <row r="626" spans="1:28" ht="14.45">
      <c r="A626" s="198"/>
      <c r="B626" s="198"/>
      <c r="C626" s="198"/>
      <c r="D626" s="198"/>
      <c r="E626" s="11"/>
      <c r="F626" s="11"/>
      <c r="G626" s="11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</row>
    <row r="627" spans="1:28" ht="14.45">
      <c r="A627" s="198"/>
      <c r="B627" s="198"/>
      <c r="C627" s="198"/>
      <c r="D627" s="198"/>
      <c r="E627" s="11"/>
      <c r="F627" s="11"/>
      <c r="G627" s="11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</row>
    <row r="628" spans="1:28" ht="14.45">
      <c r="A628" s="198"/>
      <c r="B628" s="198"/>
      <c r="C628" s="198"/>
      <c r="D628" s="198"/>
      <c r="E628" s="11"/>
      <c r="F628" s="11"/>
      <c r="G628" s="11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</row>
    <row r="629" spans="1:28" ht="14.45">
      <c r="A629" s="198"/>
      <c r="B629" s="198"/>
      <c r="C629" s="198"/>
      <c r="D629" s="198"/>
      <c r="E629" s="11"/>
      <c r="F629" s="11"/>
      <c r="G629" s="11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</row>
    <row r="630" spans="1:28" ht="14.45">
      <c r="A630" s="198"/>
      <c r="B630" s="198"/>
      <c r="C630" s="198"/>
      <c r="D630" s="198"/>
      <c r="E630" s="11"/>
      <c r="F630" s="11"/>
      <c r="G630" s="11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</row>
    <row r="631" spans="1:28" ht="14.45">
      <c r="A631" s="198"/>
      <c r="B631" s="198"/>
      <c r="C631" s="198"/>
      <c r="D631" s="198"/>
      <c r="E631" s="11"/>
      <c r="F631" s="11"/>
      <c r="G631" s="11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</row>
    <row r="632" spans="1:28" ht="14.45">
      <c r="A632" s="198"/>
      <c r="B632" s="198"/>
      <c r="C632" s="198"/>
      <c r="D632" s="198"/>
      <c r="E632" s="11"/>
      <c r="F632" s="11"/>
      <c r="G632" s="11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</row>
    <row r="633" spans="1:28" ht="14.45">
      <c r="A633" s="198"/>
      <c r="B633" s="198"/>
      <c r="C633" s="198"/>
      <c r="D633" s="198"/>
      <c r="E633" s="11"/>
      <c r="F633" s="11"/>
      <c r="G633" s="11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</row>
    <row r="634" spans="1:28" ht="14.45">
      <c r="A634" s="198"/>
      <c r="B634" s="198"/>
      <c r="C634" s="198"/>
      <c r="D634" s="198"/>
      <c r="E634" s="11"/>
      <c r="F634" s="11"/>
      <c r="G634" s="11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</row>
    <row r="635" spans="1:28" ht="14.45">
      <c r="A635" s="198"/>
      <c r="B635" s="198"/>
      <c r="C635" s="198"/>
      <c r="D635" s="198"/>
      <c r="E635" s="11"/>
      <c r="F635" s="11"/>
      <c r="G635" s="11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</row>
    <row r="636" spans="1:28" ht="14.45">
      <c r="A636" s="198"/>
      <c r="B636" s="198"/>
      <c r="C636" s="198"/>
      <c r="D636" s="198"/>
      <c r="E636" s="11"/>
      <c r="F636" s="11"/>
      <c r="G636" s="11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</row>
    <row r="637" spans="1:28" ht="14.45">
      <c r="A637" s="198"/>
      <c r="B637" s="198"/>
      <c r="C637" s="198"/>
      <c r="D637" s="198"/>
      <c r="E637" s="11"/>
      <c r="F637" s="11"/>
      <c r="G637" s="11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</row>
    <row r="638" spans="1:28" ht="14.45">
      <c r="A638" s="198"/>
      <c r="B638" s="198"/>
      <c r="C638" s="198"/>
      <c r="D638" s="198"/>
      <c r="E638" s="11"/>
      <c r="F638" s="11"/>
      <c r="G638" s="11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</row>
    <row r="639" spans="1:28" ht="14.45">
      <c r="A639" s="198"/>
      <c r="B639" s="198"/>
      <c r="C639" s="198"/>
      <c r="D639" s="198"/>
      <c r="E639" s="11"/>
      <c r="F639" s="11"/>
      <c r="G639" s="11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</row>
    <row r="640" spans="1:28" ht="14.45">
      <c r="A640" s="198"/>
      <c r="B640" s="198"/>
      <c r="C640" s="198"/>
      <c r="D640" s="198"/>
      <c r="E640" s="11"/>
      <c r="F640" s="11"/>
      <c r="G640" s="11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</row>
    <row r="641" spans="1:28" ht="14.45">
      <c r="A641" s="198"/>
      <c r="B641" s="198"/>
      <c r="C641" s="198"/>
      <c r="D641" s="198"/>
      <c r="E641" s="11"/>
      <c r="F641" s="11"/>
      <c r="G641" s="11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</row>
    <row r="642" spans="1:28" ht="14.45">
      <c r="A642" s="198"/>
      <c r="B642" s="198"/>
      <c r="C642" s="198"/>
      <c r="D642" s="198"/>
      <c r="E642" s="11"/>
      <c r="F642" s="11"/>
      <c r="G642" s="11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</row>
    <row r="643" spans="1:28" ht="14.45">
      <c r="A643" s="198"/>
      <c r="B643" s="198"/>
      <c r="C643" s="198"/>
      <c r="D643" s="198"/>
      <c r="E643" s="11"/>
      <c r="F643" s="11"/>
      <c r="G643" s="11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</row>
    <row r="644" spans="1:28" ht="14.45">
      <c r="A644" s="198"/>
      <c r="B644" s="198"/>
      <c r="C644" s="198"/>
      <c r="D644" s="198"/>
      <c r="E644" s="11"/>
      <c r="F644" s="11"/>
      <c r="G644" s="11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</row>
    <row r="645" spans="1:28" ht="14.45">
      <c r="A645" s="198"/>
      <c r="B645" s="198"/>
      <c r="C645" s="198"/>
      <c r="D645" s="198"/>
      <c r="E645" s="11"/>
      <c r="F645" s="11"/>
      <c r="G645" s="11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</row>
    <row r="646" spans="1:28" ht="14.45">
      <c r="A646" s="198"/>
      <c r="B646" s="198"/>
      <c r="C646" s="198"/>
      <c r="D646" s="198"/>
      <c r="E646" s="11"/>
      <c r="F646" s="11"/>
      <c r="G646" s="11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</row>
    <row r="647" spans="1:28" ht="14.45">
      <c r="A647" s="198"/>
      <c r="B647" s="198"/>
      <c r="C647" s="198"/>
      <c r="D647" s="198"/>
      <c r="E647" s="11"/>
      <c r="F647" s="11"/>
      <c r="G647" s="11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</row>
    <row r="648" spans="1:28" ht="14.45">
      <c r="A648" s="198"/>
      <c r="B648" s="198"/>
      <c r="C648" s="198"/>
      <c r="D648" s="198"/>
      <c r="E648" s="11"/>
      <c r="F648" s="11"/>
      <c r="G648" s="11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</row>
    <row r="649" spans="1:28" ht="14.45">
      <c r="A649" s="198"/>
      <c r="B649" s="198"/>
      <c r="C649" s="198"/>
      <c r="D649" s="198"/>
      <c r="E649" s="11"/>
      <c r="F649" s="11"/>
      <c r="G649" s="11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</row>
    <row r="650" spans="1:28" ht="14.45">
      <c r="A650" s="198"/>
      <c r="B650" s="198"/>
      <c r="C650" s="198"/>
      <c r="D650" s="198"/>
      <c r="E650" s="11"/>
      <c r="F650" s="11"/>
      <c r="G650" s="11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</row>
    <row r="651" spans="1:28" ht="14.45">
      <c r="A651" s="198"/>
      <c r="B651" s="198"/>
      <c r="C651" s="198"/>
      <c r="D651" s="198"/>
      <c r="E651" s="11"/>
      <c r="F651" s="11"/>
      <c r="G651" s="11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</row>
    <row r="652" spans="1:28" ht="14.45">
      <c r="A652" s="198"/>
      <c r="B652" s="198"/>
      <c r="C652" s="198"/>
      <c r="D652" s="198"/>
      <c r="E652" s="11"/>
      <c r="F652" s="11"/>
      <c r="G652" s="11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</row>
    <row r="653" spans="1:28" ht="14.45">
      <c r="A653" s="198"/>
      <c r="B653" s="198"/>
      <c r="C653" s="198"/>
      <c r="D653" s="198"/>
      <c r="E653" s="11"/>
      <c r="F653" s="11"/>
      <c r="G653" s="11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</row>
    <row r="654" spans="1:28" ht="14.45">
      <c r="A654" s="198"/>
      <c r="B654" s="198"/>
      <c r="C654" s="198"/>
      <c r="D654" s="198"/>
      <c r="E654" s="11"/>
      <c r="F654" s="11"/>
      <c r="G654" s="11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</row>
    <row r="655" spans="1:28" ht="14.45">
      <c r="A655" s="198"/>
      <c r="B655" s="198"/>
      <c r="C655" s="198"/>
      <c r="D655" s="198"/>
      <c r="E655" s="11"/>
      <c r="F655" s="11"/>
      <c r="G655" s="11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</row>
    <row r="656" spans="1:28" ht="14.45">
      <c r="A656" s="198"/>
      <c r="B656" s="198"/>
      <c r="C656" s="198"/>
      <c r="D656" s="198"/>
      <c r="E656" s="11"/>
      <c r="F656" s="11"/>
      <c r="G656" s="11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</row>
    <row r="657" spans="1:28" ht="14.45">
      <c r="A657" s="198"/>
      <c r="B657" s="198"/>
      <c r="C657" s="198"/>
      <c r="D657" s="198"/>
      <c r="E657" s="11"/>
      <c r="F657" s="11"/>
      <c r="G657" s="11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</row>
    <row r="658" spans="1:28" ht="14.45">
      <c r="A658" s="198"/>
      <c r="B658" s="198"/>
      <c r="C658" s="198"/>
      <c r="D658" s="198"/>
      <c r="E658" s="11"/>
      <c r="F658" s="11"/>
      <c r="G658" s="11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</row>
    <row r="659" spans="1:28" ht="14.45">
      <c r="A659" s="198"/>
      <c r="B659" s="198"/>
      <c r="C659" s="198"/>
      <c r="D659" s="198"/>
      <c r="E659" s="11"/>
      <c r="F659" s="11"/>
      <c r="G659" s="11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</row>
    <row r="660" spans="1:28" ht="14.45">
      <c r="A660" s="198"/>
      <c r="B660" s="198"/>
      <c r="C660" s="198"/>
      <c r="D660" s="198"/>
      <c r="E660" s="11"/>
      <c r="F660" s="11"/>
      <c r="G660" s="11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</row>
    <row r="661" spans="1:28" ht="14.45">
      <c r="A661" s="198"/>
      <c r="B661" s="198"/>
      <c r="C661" s="198"/>
      <c r="D661" s="198"/>
      <c r="E661" s="11"/>
      <c r="F661" s="11"/>
      <c r="G661" s="11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</row>
    <row r="662" spans="1:28" ht="14.45">
      <c r="A662" s="198"/>
      <c r="B662" s="198"/>
      <c r="C662" s="198"/>
      <c r="D662" s="198"/>
      <c r="E662" s="11"/>
      <c r="F662" s="11"/>
      <c r="G662" s="11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</row>
    <row r="663" spans="1:28" ht="14.45">
      <c r="A663" s="198"/>
      <c r="B663" s="198"/>
      <c r="C663" s="198"/>
      <c r="D663" s="198"/>
      <c r="E663" s="11"/>
      <c r="F663" s="11"/>
      <c r="G663" s="11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</row>
    <row r="664" spans="1:28" ht="14.45">
      <c r="A664" s="198"/>
      <c r="B664" s="198"/>
      <c r="C664" s="198"/>
      <c r="D664" s="198"/>
      <c r="E664" s="11"/>
      <c r="F664" s="11"/>
      <c r="G664" s="11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</row>
    <row r="665" spans="1:28" ht="14.45">
      <c r="A665" s="198"/>
      <c r="B665" s="198"/>
      <c r="C665" s="198"/>
      <c r="D665" s="198"/>
      <c r="E665" s="11"/>
      <c r="F665" s="11"/>
      <c r="G665" s="11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</row>
    <row r="666" spans="1:28" ht="14.45">
      <c r="A666" s="198"/>
      <c r="B666" s="198"/>
      <c r="C666" s="198"/>
      <c r="D666" s="198"/>
      <c r="E666" s="11"/>
      <c r="F666" s="11"/>
      <c r="G666" s="11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</row>
    <row r="667" spans="1:28" ht="14.45">
      <c r="A667" s="198"/>
      <c r="B667" s="198"/>
      <c r="C667" s="198"/>
      <c r="D667" s="198"/>
      <c r="E667" s="11"/>
      <c r="F667" s="11"/>
      <c r="G667" s="11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</row>
    <row r="668" spans="1:28" ht="14.45">
      <c r="A668" s="198"/>
      <c r="B668" s="198"/>
      <c r="C668" s="198"/>
      <c r="D668" s="198"/>
      <c r="E668" s="11"/>
      <c r="F668" s="11"/>
      <c r="G668" s="11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</row>
    <row r="669" spans="1:28" ht="14.45">
      <c r="A669" s="198"/>
      <c r="B669" s="198"/>
      <c r="C669" s="198"/>
      <c r="D669" s="198"/>
      <c r="E669" s="11"/>
      <c r="F669" s="11"/>
      <c r="G669" s="11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</row>
    <row r="670" spans="1:28" ht="14.45">
      <c r="A670" s="198"/>
      <c r="B670" s="198"/>
      <c r="C670" s="198"/>
      <c r="D670" s="198"/>
      <c r="E670" s="11"/>
      <c r="F670" s="11"/>
      <c r="G670" s="11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</row>
    <row r="671" spans="1:28" ht="14.45">
      <c r="A671" s="198"/>
      <c r="B671" s="198"/>
      <c r="C671" s="198"/>
      <c r="D671" s="198"/>
      <c r="E671" s="11"/>
      <c r="F671" s="11"/>
      <c r="G671" s="11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</row>
    <row r="672" spans="1:28" ht="14.45">
      <c r="A672" s="198"/>
      <c r="B672" s="198"/>
      <c r="C672" s="198"/>
      <c r="D672" s="198"/>
      <c r="E672" s="11"/>
      <c r="F672" s="11"/>
      <c r="G672" s="11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</row>
    <row r="673" spans="1:28" ht="14.45">
      <c r="A673" s="198"/>
      <c r="B673" s="198"/>
      <c r="C673" s="198"/>
      <c r="D673" s="198"/>
      <c r="E673" s="11"/>
      <c r="F673" s="11"/>
      <c r="G673" s="11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</row>
    <row r="674" spans="1:28" ht="14.45">
      <c r="A674" s="198"/>
      <c r="B674" s="198"/>
      <c r="C674" s="198"/>
      <c r="D674" s="198"/>
      <c r="E674" s="11"/>
      <c r="F674" s="11"/>
      <c r="G674" s="11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</row>
    <row r="675" spans="1:28" ht="14.45">
      <c r="A675" s="198"/>
      <c r="B675" s="198"/>
      <c r="C675" s="198"/>
      <c r="D675" s="198"/>
      <c r="E675" s="11"/>
      <c r="F675" s="11"/>
      <c r="G675" s="11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</row>
    <row r="676" spans="1:28" ht="14.45">
      <c r="A676" s="198"/>
      <c r="B676" s="198"/>
      <c r="C676" s="198"/>
      <c r="D676" s="198"/>
      <c r="E676" s="11"/>
      <c r="F676" s="11"/>
      <c r="G676" s="11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</row>
    <row r="677" spans="1:28" ht="14.45">
      <c r="A677" s="198"/>
      <c r="B677" s="198"/>
      <c r="C677" s="198"/>
      <c r="D677" s="198"/>
      <c r="E677" s="11"/>
      <c r="F677" s="11"/>
      <c r="G677" s="11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</row>
    <row r="678" spans="1:28" ht="14.45">
      <c r="A678" s="198"/>
      <c r="B678" s="198"/>
      <c r="C678" s="198"/>
      <c r="D678" s="198"/>
      <c r="E678" s="11"/>
      <c r="F678" s="11"/>
      <c r="G678" s="11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</row>
    <row r="679" spans="1:28" ht="14.45">
      <c r="A679" s="198"/>
      <c r="B679" s="198"/>
      <c r="C679" s="198"/>
      <c r="D679" s="198"/>
      <c r="E679" s="11"/>
      <c r="F679" s="11"/>
      <c r="G679" s="11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</row>
    <row r="680" spans="1:28" ht="14.45">
      <c r="A680" s="198"/>
      <c r="B680" s="198"/>
      <c r="C680" s="198"/>
      <c r="D680" s="198"/>
      <c r="E680" s="11"/>
      <c r="F680" s="11"/>
      <c r="G680" s="11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</row>
    <row r="681" spans="1:28" ht="14.45">
      <c r="A681" s="198"/>
      <c r="B681" s="198"/>
      <c r="C681" s="198"/>
      <c r="D681" s="198"/>
      <c r="E681" s="11"/>
      <c r="F681" s="11"/>
      <c r="G681" s="11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</row>
    <row r="682" spans="1:28" ht="14.45">
      <c r="A682" s="198"/>
      <c r="B682" s="198"/>
      <c r="C682" s="198"/>
      <c r="D682" s="198"/>
      <c r="E682" s="11"/>
      <c r="F682" s="11"/>
      <c r="G682" s="11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</row>
    <row r="683" spans="1:28" ht="14.45">
      <c r="A683" s="198"/>
      <c r="B683" s="198"/>
      <c r="C683" s="198"/>
      <c r="D683" s="198"/>
      <c r="E683" s="11"/>
      <c r="F683" s="11"/>
      <c r="G683" s="11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</row>
    <row r="684" spans="1:28" ht="14.45">
      <c r="A684" s="198"/>
      <c r="B684" s="198"/>
      <c r="C684" s="198"/>
      <c r="D684" s="198"/>
      <c r="E684" s="11"/>
      <c r="F684" s="11"/>
      <c r="G684" s="11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</row>
    <row r="685" spans="1:28" ht="14.45">
      <c r="A685" s="198"/>
      <c r="B685" s="198"/>
      <c r="C685" s="198"/>
      <c r="D685" s="198"/>
      <c r="E685" s="11"/>
      <c r="F685" s="11"/>
      <c r="G685" s="11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</row>
    <row r="686" spans="1:28" ht="14.45">
      <c r="A686" s="198"/>
      <c r="B686" s="198"/>
      <c r="C686" s="198"/>
      <c r="D686" s="198"/>
      <c r="E686" s="11"/>
      <c r="F686" s="11"/>
      <c r="G686" s="11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</row>
    <row r="687" spans="1:28" ht="14.45">
      <c r="A687" s="198"/>
      <c r="B687" s="198"/>
      <c r="C687" s="198"/>
      <c r="D687" s="198"/>
      <c r="E687" s="11"/>
      <c r="F687" s="11"/>
      <c r="G687" s="11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</row>
    <row r="688" spans="1:28" ht="14.45">
      <c r="A688" s="198"/>
      <c r="B688" s="198"/>
      <c r="C688" s="198"/>
      <c r="D688" s="198"/>
      <c r="E688" s="11"/>
      <c r="F688" s="11"/>
      <c r="G688" s="11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</row>
    <row r="689" spans="1:28" ht="14.45">
      <c r="A689" s="198"/>
      <c r="B689" s="198"/>
      <c r="C689" s="198"/>
      <c r="D689" s="198"/>
      <c r="E689" s="11"/>
      <c r="F689" s="11"/>
      <c r="G689" s="11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</row>
    <row r="690" spans="1:28" ht="14.45">
      <c r="A690" s="198"/>
      <c r="B690" s="198"/>
      <c r="C690" s="198"/>
      <c r="D690" s="198"/>
      <c r="E690" s="11"/>
      <c r="F690" s="11"/>
      <c r="G690" s="11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</row>
    <row r="691" spans="1:28" ht="14.45">
      <c r="A691" s="198"/>
      <c r="B691" s="198"/>
      <c r="C691" s="198"/>
      <c r="D691" s="198"/>
      <c r="E691" s="11"/>
      <c r="F691" s="11"/>
      <c r="G691" s="11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</row>
    <row r="692" spans="1:28" ht="14.45">
      <c r="A692" s="198"/>
      <c r="B692" s="198"/>
      <c r="C692" s="198"/>
      <c r="D692" s="198"/>
      <c r="E692" s="11"/>
      <c r="F692" s="11"/>
      <c r="G692" s="11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</row>
    <row r="693" spans="1:28" ht="14.45">
      <c r="A693" s="198"/>
      <c r="B693" s="198"/>
      <c r="C693" s="198"/>
      <c r="D693" s="198"/>
      <c r="E693" s="11"/>
      <c r="F693" s="11"/>
      <c r="G693" s="11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</row>
    <row r="694" spans="1:28" ht="14.45">
      <c r="A694" s="198"/>
      <c r="B694" s="198"/>
      <c r="C694" s="198"/>
      <c r="D694" s="198"/>
      <c r="E694" s="11"/>
      <c r="F694" s="11"/>
      <c r="G694" s="11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</row>
    <row r="695" spans="1:28" ht="14.45">
      <c r="A695" s="198"/>
      <c r="B695" s="198"/>
      <c r="C695" s="198"/>
      <c r="D695" s="198"/>
      <c r="E695" s="11"/>
      <c r="F695" s="11"/>
      <c r="G695" s="11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</row>
  </sheetData>
  <mergeCells count="11">
    <mergeCell ref="B3:H3"/>
    <mergeCell ref="B42:H42"/>
    <mergeCell ref="E4:G4"/>
    <mergeCell ref="E43:G43"/>
    <mergeCell ref="Q5:R5"/>
    <mergeCell ref="O4:X4"/>
    <mergeCell ref="S5:T5"/>
    <mergeCell ref="U5:V5"/>
    <mergeCell ref="W5:X5"/>
    <mergeCell ref="O5:O6"/>
    <mergeCell ref="P5:P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  <outlinePr summaryBelow="0" summaryRight="0"/>
  </sheetPr>
  <dimension ref="A1:AA743"/>
  <sheetViews>
    <sheetView workbookViewId="0">
      <selection activeCell="L100" sqref="L100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125" customWidth="1"/>
    <col min="9" max="16384" width="12.7109375" style="79"/>
  </cols>
  <sheetData>
    <row r="1" spans="1:27" ht="31.15">
      <c r="A1" s="204" t="s">
        <v>299</v>
      </c>
      <c r="B1" s="264" t="s">
        <v>300</v>
      </c>
      <c r="C1" s="264"/>
      <c r="D1" s="264"/>
      <c r="E1" s="264"/>
      <c r="F1" s="264"/>
      <c r="G1" s="264"/>
      <c r="H1" s="102" t="s">
        <v>301</v>
      </c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</row>
    <row r="2" spans="1:27" ht="15.75" customHeight="1">
      <c r="A2" s="100" t="s">
        <v>643</v>
      </c>
      <c r="B2" s="276" t="s">
        <v>644</v>
      </c>
      <c r="C2" s="277"/>
      <c r="D2" s="277"/>
      <c r="E2" s="277"/>
      <c r="F2" s="277"/>
      <c r="G2" s="277"/>
      <c r="H2" s="101">
        <f>AVERAGE(H4,H50,H73,H90)</f>
        <v>4</v>
      </c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</row>
    <row r="3" spans="1:27" ht="15.75" customHeight="1">
      <c r="A3" s="94"/>
      <c r="B3" s="95"/>
      <c r="C3" s="95"/>
      <c r="D3" s="96"/>
      <c r="E3" s="96"/>
      <c r="F3" s="96"/>
      <c r="G3" s="96"/>
      <c r="H3" s="130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98">
        <v>1</v>
      </c>
      <c r="B4" s="215" t="s">
        <v>482</v>
      </c>
      <c r="C4" s="278"/>
      <c r="D4" s="278"/>
      <c r="E4" s="278"/>
      <c r="F4" s="278"/>
      <c r="G4" s="278"/>
      <c r="H4" s="90">
        <f>AVERAGE(H5,H26,H38)</f>
        <v>4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spans="1:27" ht="15.75" customHeight="1">
      <c r="A5" s="82"/>
      <c r="B5" s="80">
        <v>46023</v>
      </c>
      <c r="C5" s="193"/>
      <c r="D5" s="193" t="s">
        <v>645</v>
      </c>
      <c r="E5" s="194"/>
      <c r="F5" s="194"/>
      <c r="G5" s="194"/>
      <c r="H5" s="90">
        <f>AVERAGE(G7:G21)</f>
        <v>4</v>
      </c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 ht="15.75" hidden="1" customHeight="1">
      <c r="A6" s="82"/>
      <c r="B6" s="193"/>
      <c r="C6" s="193"/>
      <c r="D6" s="193"/>
      <c r="E6" s="81" t="s">
        <v>31</v>
      </c>
      <c r="F6" s="81" t="s">
        <v>10</v>
      </c>
      <c r="G6" s="81" t="s">
        <v>306</v>
      </c>
      <c r="H6" s="91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 ht="15.75" hidden="1" customHeight="1">
      <c r="A7" s="82"/>
      <c r="B7" s="193"/>
      <c r="C7" s="193" t="s">
        <v>307</v>
      </c>
      <c r="D7" s="193" t="s">
        <v>646</v>
      </c>
      <c r="E7" s="81" t="s">
        <v>285</v>
      </c>
      <c r="F7" s="81">
        <v>4</v>
      </c>
      <c r="G7" s="135">
        <f t="shared" ref="G7" si="0">AVERAGE(E7:F7)</f>
        <v>4</v>
      </c>
      <c r="H7" s="91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 ht="15.75" hidden="1" customHeight="1">
      <c r="A8" s="82"/>
      <c r="B8" s="193"/>
      <c r="C8" s="193" t="s">
        <v>309</v>
      </c>
      <c r="D8" s="193" t="s">
        <v>647</v>
      </c>
      <c r="E8" s="81" t="s">
        <v>285</v>
      </c>
      <c r="F8" s="81">
        <v>4</v>
      </c>
      <c r="G8" s="135">
        <f t="shared" ref="G8:G21" si="1">AVERAGE(E8:F8)</f>
        <v>4</v>
      </c>
      <c r="H8" s="90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15.75" hidden="1" customHeight="1">
      <c r="A9" s="82"/>
      <c r="B9" s="86"/>
      <c r="C9" s="193" t="s">
        <v>316</v>
      </c>
      <c r="D9" s="193" t="s">
        <v>648</v>
      </c>
      <c r="E9" s="81" t="s">
        <v>285</v>
      </c>
      <c r="F9" s="81">
        <v>4</v>
      </c>
      <c r="G9" s="135">
        <f t="shared" si="1"/>
        <v>4</v>
      </c>
      <c r="H9" s="91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 ht="15.75" hidden="1" customHeight="1">
      <c r="A10" s="82"/>
      <c r="B10" s="86"/>
      <c r="C10" s="193" t="s">
        <v>318</v>
      </c>
      <c r="D10" s="193" t="s">
        <v>649</v>
      </c>
      <c r="E10" s="81">
        <v>4</v>
      </c>
      <c r="F10" s="81" t="s">
        <v>285</v>
      </c>
      <c r="G10" s="135">
        <f t="shared" si="1"/>
        <v>4</v>
      </c>
      <c r="H10" s="90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ht="15.75" hidden="1" customHeight="1">
      <c r="A11" s="82"/>
      <c r="B11" s="86"/>
      <c r="C11" s="193" t="s">
        <v>320</v>
      </c>
      <c r="D11" s="193" t="s">
        <v>650</v>
      </c>
      <c r="E11" s="81">
        <v>4</v>
      </c>
      <c r="F11" s="81" t="s">
        <v>285</v>
      </c>
      <c r="G11" s="135">
        <f t="shared" si="1"/>
        <v>4</v>
      </c>
      <c r="H11" s="90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ht="15.75" hidden="1" customHeight="1">
      <c r="A12" s="82"/>
      <c r="B12" s="86"/>
      <c r="C12" s="193" t="s">
        <v>353</v>
      </c>
      <c r="D12" s="193" t="s">
        <v>651</v>
      </c>
      <c r="E12" s="81">
        <v>4</v>
      </c>
      <c r="F12" s="81">
        <v>4</v>
      </c>
      <c r="G12" s="135">
        <f t="shared" si="1"/>
        <v>4</v>
      </c>
      <c r="H12" s="90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spans="1:27" ht="15.75" hidden="1" customHeight="1">
      <c r="A13" s="82"/>
      <c r="B13" s="86"/>
      <c r="C13" s="193" t="s">
        <v>355</v>
      </c>
      <c r="D13" s="193" t="s">
        <v>491</v>
      </c>
      <c r="E13" s="81">
        <v>4</v>
      </c>
      <c r="F13" s="81">
        <v>4</v>
      </c>
      <c r="G13" s="135">
        <f t="shared" si="1"/>
        <v>4</v>
      </c>
      <c r="H13" s="90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ht="15.75" hidden="1" customHeight="1">
      <c r="A14" s="82"/>
      <c r="B14" s="86"/>
      <c r="C14" s="193" t="s">
        <v>398</v>
      </c>
      <c r="D14" s="193" t="s">
        <v>492</v>
      </c>
      <c r="E14" s="81">
        <v>4</v>
      </c>
      <c r="F14" s="81" t="s">
        <v>285</v>
      </c>
      <c r="G14" s="135">
        <f t="shared" si="1"/>
        <v>4</v>
      </c>
      <c r="H14" s="90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.75" hidden="1" customHeight="1">
      <c r="A15" s="82"/>
      <c r="B15" s="86"/>
      <c r="C15" s="193" t="s">
        <v>407</v>
      </c>
      <c r="D15" s="193" t="s">
        <v>497</v>
      </c>
      <c r="E15" s="81">
        <v>4</v>
      </c>
      <c r="F15" s="81" t="s">
        <v>285</v>
      </c>
      <c r="G15" s="135">
        <f t="shared" si="1"/>
        <v>4</v>
      </c>
      <c r="H15" s="90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.75" hidden="1" customHeight="1">
      <c r="A16" s="82"/>
      <c r="B16" s="86"/>
      <c r="C16" s="193" t="s">
        <v>494</v>
      </c>
      <c r="D16" s="193" t="s">
        <v>652</v>
      </c>
      <c r="E16" s="81">
        <v>4</v>
      </c>
      <c r="F16" s="81" t="s">
        <v>285</v>
      </c>
      <c r="G16" s="135">
        <f t="shared" si="1"/>
        <v>4</v>
      </c>
      <c r="H16" s="91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27" ht="15.75" hidden="1" customHeight="1">
      <c r="A17" s="82"/>
      <c r="B17" s="86"/>
      <c r="C17" s="193"/>
      <c r="D17" s="193" t="s">
        <v>653</v>
      </c>
      <c r="E17" s="81"/>
      <c r="F17" s="81"/>
      <c r="G17" s="135"/>
      <c r="H17" s="91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7" ht="15.75" hidden="1" customHeight="1">
      <c r="A18" s="82"/>
      <c r="B18" s="86"/>
      <c r="C18" s="193" t="s">
        <v>496</v>
      </c>
      <c r="D18" s="193" t="s">
        <v>654</v>
      </c>
      <c r="E18" s="81">
        <v>4</v>
      </c>
      <c r="F18" s="81" t="s">
        <v>285</v>
      </c>
      <c r="G18" s="135">
        <f t="shared" si="1"/>
        <v>4</v>
      </c>
      <c r="H18" s="91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 spans="1:27" ht="15.75" hidden="1" customHeight="1">
      <c r="A19" s="82"/>
      <c r="B19" s="86"/>
      <c r="C19" s="193"/>
      <c r="D19" s="193" t="s">
        <v>653</v>
      </c>
      <c r="E19" s="81"/>
      <c r="F19" s="81"/>
      <c r="G19" s="135"/>
      <c r="H19" s="91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 spans="1:27" ht="15.75" hidden="1" customHeight="1">
      <c r="A20" s="82"/>
      <c r="B20" s="86"/>
      <c r="C20" s="193" t="s">
        <v>498</v>
      </c>
      <c r="D20" s="193" t="s">
        <v>655</v>
      </c>
      <c r="E20" s="81">
        <v>4</v>
      </c>
      <c r="F20" s="81" t="s">
        <v>285</v>
      </c>
      <c r="G20" s="135">
        <f t="shared" si="1"/>
        <v>4</v>
      </c>
      <c r="H20" s="91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  <row r="21" spans="1:27" ht="15.75" hidden="1" customHeight="1">
      <c r="A21" s="82"/>
      <c r="B21" s="86"/>
      <c r="C21" s="193" t="s">
        <v>500</v>
      </c>
      <c r="D21" s="193" t="s">
        <v>371</v>
      </c>
      <c r="E21" s="81">
        <v>4</v>
      </c>
      <c r="F21" s="81">
        <v>4</v>
      </c>
      <c r="G21" s="135">
        <f t="shared" si="1"/>
        <v>4</v>
      </c>
      <c r="H21" s="91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</row>
    <row r="22" spans="1:27" ht="15.75" hidden="1" customHeight="1">
      <c r="A22" s="82"/>
      <c r="B22" s="192" t="s">
        <v>311</v>
      </c>
      <c r="C22" s="208"/>
      <c r="D22" s="208"/>
      <c r="E22" s="208"/>
      <c r="F22" s="208"/>
      <c r="G22" s="208"/>
      <c r="H22" s="90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</row>
    <row r="23" spans="1:27" ht="15.75" hidden="1" customHeight="1">
      <c r="A23" s="99"/>
      <c r="B23" s="87" t="s">
        <v>285</v>
      </c>
      <c r="C23" s="208" t="s">
        <v>312</v>
      </c>
      <c r="D23" s="208"/>
      <c r="E23" s="208"/>
      <c r="F23" s="208"/>
      <c r="G23" s="208"/>
      <c r="H23" s="90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spans="1:27" ht="15.75" hidden="1" customHeight="1">
      <c r="A24" s="82"/>
      <c r="B24" s="87" t="s">
        <v>285</v>
      </c>
      <c r="C24" s="208" t="s">
        <v>312</v>
      </c>
      <c r="D24" s="208"/>
      <c r="E24" s="208"/>
      <c r="F24" s="208"/>
      <c r="G24" s="208"/>
      <c r="H24" s="90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spans="1:27" ht="15.75" hidden="1" customHeight="1">
      <c r="A25" s="82"/>
      <c r="B25" s="86"/>
      <c r="C25" s="193"/>
      <c r="D25" s="193"/>
      <c r="E25" s="81"/>
      <c r="F25" s="81"/>
      <c r="G25" s="81"/>
      <c r="H25" s="91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spans="1:27" ht="15.75" customHeight="1">
      <c r="A26" s="82"/>
      <c r="B26" s="78">
        <v>1.2</v>
      </c>
      <c r="C26" s="193"/>
      <c r="D26" s="193" t="s">
        <v>656</v>
      </c>
      <c r="E26" s="201"/>
      <c r="F26" s="201"/>
      <c r="G26" s="201"/>
      <c r="H26" s="90">
        <f>AVERAGE(G28:G33)</f>
        <v>4</v>
      </c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75" hidden="1" customHeight="1">
      <c r="A27" s="82"/>
      <c r="B27" s="193"/>
      <c r="C27" s="193"/>
      <c r="D27" s="193"/>
      <c r="E27" s="81" t="s">
        <v>31</v>
      </c>
      <c r="F27" s="81" t="s">
        <v>10</v>
      </c>
      <c r="G27" s="81" t="s">
        <v>306</v>
      </c>
      <c r="H27" s="91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15.75" hidden="1" customHeight="1">
      <c r="A28" s="82"/>
      <c r="B28" s="193"/>
      <c r="C28" s="193" t="s">
        <v>307</v>
      </c>
      <c r="D28" s="193" t="s">
        <v>646</v>
      </c>
      <c r="E28" s="81" t="s">
        <v>285</v>
      </c>
      <c r="F28" s="81">
        <v>4</v>
      </c>
      <c r="G28" s="135">
        <f t="shared" ref="G28:G33" si="2">AVERAGE(E28:F28)</f>
        <v>4</v>
      </c>
      <c r="H28" s="91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ht="15.75" hidden="1" customHeight="1">
      <c r="A29" s="82"/>
      <c r="B29" s="193"/>
      <c r="C29" s="193" t="s">
        <v>309</v>
      </c>
      <c r="D29" s="193" t="s">
        <v>647</v>
      </c>
      <c r="E29" s="81" t="s">
        <v>285</v>
      </c>
      <c r="F29" s="81">
        <v>4</v>
      </c>
      <c r="G29" s="135">
        <f t="shared" si="2"/>
        <v>4</v>
      </c>
      <c r="H29" s="90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spans="1:27" ht="15.75" hidden="1" customHeight="1">
      <c r="A30" s="82"/>
      <c r="B30" s="86"/>
      <c r="C30" s="193" t="s">
        <v>316</v>
      </c>
      <c r="D30" s="193" t="s">
        <v>648</v>
      </c>
      <c r="E30" s="81" t="s">
        <v>285</v>
      </c>
      <c r="F30" s="81">
        <v>4</v>
      </c>
      <c r="G30" s="135">
        <f t="shared" si="2"/>
        <v>4</v>
      </c>
      <c r="H30" s="91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</row>
    <row r="31" spans="1:27" ht="15.6" hidden="1">
      <c r="A31" s="82"/>
      <c r="B31" s="86"/>
      <c r="C31" s="193" t="s">
        <v>318</v>
      </c>
      <c r="D31" s="193" t="s">
        <v>491</v>
      </c>
      <c r="E31" s="81">
        <v>4</v>
      </c>
      <c r="F31" s="81">
        <v>4</v>
      </c>
      <c r="G31" s="135">
        <f t="shared" si="2"/>
        <v>4</v>
      </c>
      <c r="H31" s="91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</row>
    <row r="32" spans="1:27" ht="15.6" hidden="1">
      <c r="A32" s="82"/>
      <c r="B32" s="86"/>
      <c r="C32" s="193" t="s">
        <v>320</v>
      </c>
      <c r="D32" s="193" t="s">
        <v>497</v>
      </c>
      <c r="E32" s="81">
        <v>4</v>
      </c>
      <c r="F32" s="81" t="s">
        <v>285</v>
      </c>
      <c r="G32" s="135">
        <f t="shared" si="2"/>
        <v>4</v>
      </c>
      <c r="H32" s="91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</row>
    <row r="33" spans="1:27" ht="15.6" hidden="1">
      <c r="A33" s="82"/>
      <c r="B33" s="86"/>
      <c r="C33" s="193" t="s">
        <v>353</v>
      </c>
      <c r="D33" s="193" t="s">
        <v>657</v>
      </c>
      <c r="E33" s="81">
        <v>4</v>
      </c>
      <c r="F33" s="81" t="s">
        <v>285</v>
      </c>
      <c r="G33" s="135">
        <f t="shared" si="2"/>
        <v>4</v>
      </c>
      <c r="H33" s="9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spans="1:27" ht="15.75" hidden="1" customHeight="1">
      <c r="A34" s="82"/>
      <c r="B34" s="192" t="s">
        <v>311</v>
      </c>
      <c r="C34" s="208"/>
      <c r="D34" s="208"/>
      <c r="E34" s="208"/>
      <c r="F34" s="208"/>
      <c r="G34" s="208"/>
      <c r="H34" s="90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spans="1:27" ht="15.75" hidden="1" customHeight="1">
      <c r="A35" s="99"/>
      <c r="B35" s="87" t="s">
        <v>285</v>
      </c>
      <c r="C35" s="208" t="s">
        <v>312</v>
      </c>
      <c r="D35" s="208"/>
      <c r="E35" s="208"/>
      <c r="F35" s="208"/>
      <c r="G35" s="208"/>
      <c r="H35" s="9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spans="1:27" ht="15.75" hidden="1" customHeight="1">
      <c r="A36" s="82"/>
      <c r="B36" s="87" t="s">
        <v>285</v>
      </c>
      <c r="C36" s="208" t="s">
        <v>312</v>
      </c>
      <c r="D36" s="208"/>
      <c r="E36" s="208"/>
      <c r="F36" s="208"/>
      <c r="G36" s="208"/>
      <c r="H36" s="90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spans="1:27" ht="15.6" hidden="1">
      <c r="A37" s="82"/>
      <c r="B37" s="86"/>
      <c r="C37" s="193"/>
      <c r="D37" s="193"/>
      <c r="E37" s="81"/>
      <c r="F37" s="81"/>
      <c r="G37" s="81"/>
      <c r="H37" s="9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spans="1:27" ht="15.6">
      <c r="A38" s="127"/>
      <c r="B38" s="78">
        <v>1.3</v>
      </c>
      <c r="C38" s="193"/>
      <c r="D38" s="193" t="s">
        <v>658</v>
      </c>
      <c r="E38" s="201"/>
      <c r="F38" s="201"/>
      <c r="G38" s="201"/>
      <c r="H38" s="90">
        <f>AVERAGE(G40:G44)</f>
        <v>4</v>
      </c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spans="1:27" ht="15.6" hidden="1">
      <c r="A39" s="127"/>
      <c r="B39" s="193"/>
      <c r="C39" s="193"/>
      <c r="D39" s="193"/>
      <c r="E39" s="81"/>
      <c r="F39" s="81" t="s">
        <v>31</v>
      </c>
      <c r="G39" s="81" t="s">
        <v>306</v>
      </c>
      <c r="H39" s="91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</row>
    <row r="40" spans="1:27" ht="15.6" hidden="1">
      <c r="A40" s="127"/>
      <c r="B40" s="193"/>
      <c r="C40" s="193"/>
      <c r="D40" s="193" t="s">
        <v>659</v>
      </c>
      <c r="E40" s="81"/>
      <c r="F40" s="81">
        <v>4</v>
      </c>
      <c r="G40" s="135">
        <f t="shared" ref="G40:G44" si="3">AVERAGE(E40:F40)</f>
        <v>4</v>
      </c>
      <c r="H40" s="91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spans="1:27" ht="15.75" hidden="1" customHeight="1">
      <c r="A41" s="82"/>
      <c r="B41" s="86"/>
      <c r="C41" s="193"/>
      <c r="D41" s="193" t="s">
        <v>653</v>
      </c>
      <c r="E41" s="81"/>
      <c r="F41" s="81"/>
      <c r="G41" s="135"/>
      <c r="H41" s="91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</row>
    <row r="42" spans="1:27" ht="15.6" hidden="1">
      <c r="A42" s="127"/>
      <c r="B42" s="193"/>
      <c r="C42" s="193"/>
      <c r="D42" s="193" t="s">
        <v>660</v>
      </c>
      <c r="E42" s="81"/>
      <c r="F42" s="81">
        <v>4</v>
      </c>
      <c r="G42" s="135">
        <f t="shared" si="3"/>
        <v>4</v>
      </c>
      <c r="H42" s="90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</row>
    <row r="43" spans="1:27" ht="15.6" hidden="1">
      <c r="A43" s="127"/>
      <c r="B43" s="193"/>
      <c r="C43" s="193"/>
      <c r="D43" s="193" t="s">
        <v>661</v>
      </c>
      <c r="E43" s="81"/>
      <c r="F43" s="81">
        <v>4</v>
      </c>
      <c r="G43" s="135">
        <f t="shared" si="3"/>
        <v>4</v>
      </c>
      <c r="H43" s="91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spans="1:27" ht="15.6" hidden="1">
      <c r="A44" s="127"/>
      <c r="B44" s="193"/>
      <c r="C44" s="193"/>
      <c r="D44" s="193" t="s">
        <v>662</v>
      </c>
      <c r="E44" s="81"/>
      <c r="F44" s="81">
        <v>4</v>
      </c>
      <c r="G44" s="135">
        <f t="shared" si="3"/>
        <v>4</v>
      </c>
      <c r="H44" s="90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spans="1:27" ht="15.75" hidden="1" customHeight="1">
      <c r="A45" s="82"/>
      <c r="B45" s="192" t="s">
        <v>311</v>
      </c>
      <c r="C45" s="208"/>
      <c r="D45" s="208"/>
      <c r="E45" s="208"/>
      <c r="F45" s="208"/>
      <c r="G45" s="208"/>
      <c r="H45" s="9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spans="1:27" ht="15.75" hidden="1" customHeight="1">
      <c r="A46" s="99"/>
      <c r="B46" s="87" t="s">
        <v>285</v>
      </c>
      <c r="C46" s="208" t="s">
        <v>312</v>
      </c>
      <c r="D46" s="208"/>
      <c r="E46" s="208"/>
      <c r="F46" s="208"/>
      <c r="G46" s="208"/>
      <c r="H46" s="90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spans="1:27" ht="15.75" hidden="1" customHeight="1">
      <c r="A47" s="82"/>
      <c r="B47" s="87" t="s">
        <v>285</v>
      </c>
      <c r="C47" s="208" t="s">
        <v>312</v>
      </c>
      <c r="D47" s="208"/>
      <c r="E47" s="208"/>
      <c r="F47" s="208"/>
      <c r="G47" s="208"/>
      <c r="H47" s="90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spans="1:27" ht="15.6" hidden="1">
      <c r="A48" s="127"/>
      <c r="B48" s="193"/>
      <c r="C48" s="193"/>
      <c r="D48" s="193"/>
      <c r="E48" s="193"/>
      <c r="F48" s="193"/>
      <c r="G48" s="193"/>
      <c r="H48" s="90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spans="1:27" ht="15.6">
      <c r="A49" s="94"/>
      <c r="B49" s="95"/>
      <c r="C49" s="95"/>
      <c r="D49" s="96"/>
      <c r="E49" s="96"/>
      <c r="F49" s="96"/>
      <c r="G49" s="96"/>
      <c r="H49" s="139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6">
      <c r="A50" s="98">
        <v>2</v>
      </c>
      <c r="B50" s="215" t="s">
        <v>663</v>
      </c>
      <c r="C50" s="278"/>
      <c r="D50" s="278"/>
      <c r="E50" s="278"/>
      <c r="F50" s="278"/>
      <c r="G50" s="278"/>
      <c r="H50" s="90">
        <f>AVERAGE(G52:G67)</f>
        <v>4</v>
      </c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6" hidden="1">
      <c r="A51" s="82"/>
      <c r="B51" s="193"/>
      <c r="C51" s="193"/>
      <c r="D51" s="193"/>
      <c r="E51" s="81" t="s">
        <v>31</v>
      </c>
      <c r="F51" s="81" t="s">
        <v>10</v>
      </c>
      <c r="G51" s="81" t="s">
        <v>306</v>
      </c>
      <c r="H51" s="91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6" hidden="1">
      <c r="A52" s="82"/>
      <c r="B52" s="193"/>
      <c r="C52" s="193" t="s">
        <v>307</v>
      </c>
      <c r="D52" s="193" t="s">
        <v>664</v>
      </c>
      <c r="E52" s="81">
        <v>4</v>
      </c>
      <c r="F52" s="81">
        <v>4</v>
      </c>
      <c r="G52" s="135">
        <f t="shared" ref="G52:G67" si="4">AVERAGE(E52:F52)</f>
        <v>4</v>
      </c>
      <c r="H52" s="91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75" hidden="1" customHeight="1">
      <c r="A53" s="82"/>
      <c r="B53" s="86"/>
      <c r="C53" s="193"/>
      <c r="D53" s="193" t="s">
        <v>653</v>
      </c>
      <c r="E53" s="81"/>
      <c r="F53" s="81"/>
      <c r="G53" s="135"/>
      <c r="H53" s="91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6" hidden="1">
      <c r="A54" s="82"/>
      <c r="B54" s="193"/>
      <c r="C54" s="193" t="s">
        <v>309</v>
      </c>
      <c r="D54" s="193" t="s">
        <v>665</v>
      </c>
      <c r="E54" s="81">
        <v>4</v>
      </c>
      <c r="F54" s="81">
        <v>4</v>
      </c>
      <c r="G54" s="135">
        <f t="shared" si="4"/>
        <v>4</v>
      </c>
      <c r="H54" s="90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75" hidden="1" customHeight="1">
      <c r="A55" s="82"/>
      <c r="B55" s="86"/>
      <c r="C55" s="193"/>
      <c r="D55" s="193" t="s">
        <v>653</v>
      </c>
      <c r="E55" s="81"/>
      <c r="F55" s="81"/>
      <c r="G55" s="135"/>
      <c r="H55" s="91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5.6" hidden="1">
      <c r="A56" s="82"/>
      <c r="B56" s="193"/>
      <c r="C56" s="193" t="s">
        <v>316</v>
      </c>
      <c r="D56" s="193" t="s">
        <v>666</v>
      </c>
      <c r="E56" s="81">
        <v>4</v>
      </c>
      <c r="F56" s="81">
        <v>4</v>
      </c>
      <c r="G56" s="135">
        <f t="shared" si="4"/>
        <v>4</v>
      </c>
      <c r="H56" s="90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spans="1:27" ht="15.6" hidden="1">
      <c r="A57" s="82"/>
      <c r="B57" s="193"/>
      <c r="C57" s="193" t="s">
        <v>318</v>
      </c>
      <c r="D57" s="193" t="s">
        <v>667</v>
      </c>
      <c r="E57" s="81">
        <v>4</v>
      </c>
      <c r="F57" s="81">
        <v>4</v>
      </c>
      <c r="G57" s="135">
        <f t="shared" si="4"/>
        <v>4</v>
      </c>
      <c r="H57" s="90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spans="1:27" ht="15.6" hidden="1">
      <c r="A58" s="82"/>
      <c r="B58" s="193"/>
      <c r="C58" s="193" t="s">
        <v>320</v>
      </c>
      <c r="D58" s="193" t="s">
        <v>668</v>
      </c>
      <c r="E58" s="81">
        <v>4</v>
      </c>
      <c r="F58" s="81">
        <v>4</v>
      </c>
      <c r="G58" s="135">
        <f t="shared" si="4"/>
        <v>4</v>
      </c>
      <c r="H58" s="90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 ht="15.6" hidden="1">
      <c r="A59" s="82"/>
      <c r="B59" s="193"/>
      <c r="C59" s="193" t="s">
        <v>353</v>
      </c>
      <c r="D59" s="193" t="s">
        <v>669</v>
      </c>
      <c r="E59" s="81">
        <v>4</v>
      </c>
      <c r="F59" s="81">
        <v>4</v>
      </c>
      <c r="G59" s="135">
        <f t="shared" si="4"/>
        <v>4</v>
      </c>
      <c r="H59" s="9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spans="1:27" ht="15.6" hidden="1">
      <c r="A60" s="82"/>
      <c r="B60" s="193"/>
      <c r="C60" s="193" t="s">
        <v>355</v>
      </c>
      <c r="D60" s="193" t="s">
        <v>670</v>
      </c>
      <c r="E60" s="81">
        <v>4</v>
      </c>
      <c r="F60" s="81">
        <v>4</v>
      </c>
      <c r="G60" s="135">
        <f t="shared" si="4"/>
        <v>4</v>
      </c>
      <c r="H60" s="90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spans="1:27" ht="15.6" hidden="1">
      <c r="A61" s="82"/>
      <c r="B61" s="193"/>
      <c r="C61" s="193" t="s">
        <v>398</v>
      </c>
      <c r="D61" s="193" t="s">
        <v>671</v>
      </c>
      <c r="E61" s="81">
        <v>4</v>
      </c>
      <c r="F61" s="81">
        <v>4</v>
      </c>
      <c r="G61" s="135">
        <f t="shared" si="4"/>
        <v>4</v>
      </c>
      <c r="H61" s="9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spans="1:27" ht="15.6" hidden="1">
      <c r="A62" s="82"/>
      <c r="B62" s="193"/>
      <c r="C62" s="193" t="s">
        <v>407</v>
      </c>
      <c r="D62" s="193" t="s">
        <v>672</v>
      </c>
      <c r="E62" s="81">
        <v>4</v>
      </c>
      <c r="F62" s="81">
        <v>4</v>
      </c>
      <c r="G62" s="135">
        <f t="shared" si="4"/>
        <v>4</v>
      </c>
      <c r="H62" s="90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spans="1:27" ht="15.6" hidden="1">
      <c r="A63" s="82"/>
      <c r="B63" s="193"/>
      <c r="C63" s="193" t="s">
        <v>494</v>
      </c>
      <c r="D63" s="193" t="s">
        <v>673</v>
      </c>
      <c r="E63" s="81">
        <v>4</v>
      </c>
      <c r="F63" s="81">
        <v>4</v>
      </c>
      <c r="G63" s="135">
        <f t="shared" si="4"/>
        <v>4</v>
      </c>
      <c r="H63" s="9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spans="1:27" ht="15.6" hidden="1">
      <c r="A64" s="82"/>
      <c r="B64" s="193"/>
      <c r="C64" s="193" t="s">
        <v>496</v>
      </c>
      <c r="D64" s="193" t="s">
        <v>674</v>
      </c>
      <c r="E64" s="81">
        <v>4</v>
      </c>
      <c r="F64" s="81">
        <v>4</v>
      </c>
      <c r="G64" s="135">
        <f t="shared" si="4"/>
        <v>4</v>
      </c>
      <c r="H64" s="90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27" ht="15.6" hidden="1">
      <c r="A65" s="127"/>
      <c r="B65" s="193"/>
      <c r="C65" s="193" t="s">
        <v>498</v>
      </c>
      <c r="D65" s="193" t="s">
        <v>675</v>
      </c>
      <c r="E65" s="81">
        <v>4</v>
      </c>
      <c r="F65" s="81">
        <v>4</v>
      </c>
      <c r="G65" s="135">
        <f t="shared" si="4"/>
        <v>4</v>
      </c>
      <c r="H65" s="90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spans="1:27" ht="15.6" hidden="1">
      <c r="A66" s="127"/>
      <c r="B66" s="193"/>
      <c r="C66" s="193" t="s">
        <v>500</v>
      </c>
      <c r="D66" s="193" t="s">
        <v>676</v>
      </c>
      <c r="E66" s="81">
        <v>4</v>
      </c>
      <c r="F66" s="81">
        <v>4</v>
      </c>
      <c r="G66" s="135">
        <f t="shared" si="4"/>
        <v>4</v>
      </c>
      <c r="H66" s="90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</row>
    <row r="67" spans="1:27" ht="15.6" hidden="1">
      <c r="A67" s="127"/>
      <c r="B67" s="193"/>
      <c r="C67" s="193" t="s">
        <v>502</v>
      </c>
      <c r="D67" s="193" t="s">
        <v>677</v>
      </c>
      <c r="E67" s="81">
        <v>4</v>
      </c>
      <c r="F67" s="81">
        <v>4</v>
      </c>
      <c r="G67" s="135">
        <f t="shared" si="4"/>
        <v>4</v>
      </c>
      <c r="H67" s="90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spans="1:27" ht="15.75" hidden="1" customHeight="1">
      <c r="A68" s="82"/>
      <c r="B68" s="192" t="s">
        <v>311</v>
      </c>
      <c r="C68" s="208"/>
      <c r="D68" s="208"/>
      <c r="E68" s="208"/>
      <c r="F68" s="208"/>
      <c r="G68" s="208"/>
      <c r="H68" s="90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spans="1:27" ht="15.75" hidden="1" customHeight="1">
      <c r="A69" s="99"/>
      <c r="B69" s="87" t="s">
        <v>285</v>
      </c>
      <c r="C69" s="208" t="s">
        <v>312</v>
      </c>
      <c r="D69" s="208"/>
      <c r="E69" s="208"/>
      <c r="F69" s="208"/>
      <c r="G69" s="208"/>
      <c r="H69" s="90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spans="1:27" ht="15.75" hidden="1" customHeight="1">
      <c r="A70" s="82"/>
      <c r="B70" s="87" t="s">
        <v>285</v>
      </c>
      <c r="C70" s="208" t="s">
        <v>312</v>
      </c>
      <c r="D70" s="208"/>
      <c r="E70" s="208"/>
      <c r="F70" s="208"/>
      <c r="G70" s="208"/>
      <c r="H70" s="90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 ht="15.6" hidden="1">
      <c r="A71" s="127"/>
      <c r="B71" s="193"/>
      <c r="C71" s="193"/>
      <c r="D71" s="193"/>
      <c r="E71" s="193"/>
      <c r="F71" s="193"/>
      <c r="G71" s="193"/>
      <c r="H71" s="90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 ht="15.6">
      <c r="A72" s="94"/>
      <c r="B72" s="95"/>
      <c r="C72" s="95"/>
      <c r="D72" s="96"/>
      <c r="E72" s="96"/>
      <c r="F72" s="96"/>
      <c r="G72" s="96"/>
      <c r="H72" s="139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 ht="15.6">
      <c r="A73" s="98">
        <v>3</v>
      </c>
      <c r="B73" s="215" t="s">
        <v>678</v>
      </c>
      <c r="C73" s="278"/>
      <c r="D73" s="278"/>
      <c r="E73" s="278"/>
      <c r="F73" s="278"/>
      <c r="G73" s="278"/>
      <c r="H73" s="90">
        <f>AVERAGE(G75:G84)</f>
        <v>4</v>
      </c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 ht="15.6" hidden="1">
      <c r="A74" s="82"/>
      <c r="B74" s="193"/>
      <c r="C74" s="193"/>
      <c r="D74" s="193"/>
      <c r="E74" s="81" t="s">
        <v>31</v>
      </c>
      <c r="F74" s="81" t="s">
        <v>10</v>
      </c>
      <c r="G74" s="81" t="s">
        <v>306</v>
      </c>
      <c r="H74" s="91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 ht="15.6" hidden="1">
      <c r="A75" s="82"/>
      <c r="B75" s="193"/>
      <c r="C75" s="193" t="s">
        <v>307</v>
      </c>
      <c r="D75" s="193" t="s">
        <v>679</v>
      </c>
      <c r="E75" s="81">
        <v>4</v>
      </c>
      <c r="F75" s="81">
        <v>4</v>
      </c>
      <c r="G75" s="135">
        <f t="shared" ref="G75:G84" si="5">AVERAGE(E75:F75)</f>
        <v>4</v>
      </c>
      <c r="H75" s="91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 ht="15.6" hidden="1">
      <c r="A76" s="82"/>
      <c r="B76" s="193"/>
      <c r="C76" s="193" t="s">
        <v>309</v>
      </c>
      <c r="D76" s="193" t="s">
        <v>680</v>
      </c>
      <c r="E76" s="81">
        <v>4</v>
      </c>
      <c r="F76" s="81">
        <v>4</v>
      </c>
      <c r="G76" s="135">
        <f t="shared" si="5"/>
        <v>4</v>
      </c>
      <c r="H76" s="90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 ht="15.6" hidden="1">
      <c r="A77" s="82"/>
      <c r="B77" s="193"/>
      <c r="C77" s="193" t="s">
        <v>316</v>
      </c>
      <c r="D77" s="193" t="s">
        <v>681</v>
      </c>
      <c r="E77" s="81">
        <v>4</v>
      </c>
      <c r="F77" s="81">
        <v>4</v>
      </c>
      <c r="G77" s="135">
        <f t="shared" si="5"/>
        <v>4</v>
      </c>
      <c r="H77" s="90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15.6" hidden="1">
      <c r="A78" s="82"/>
      <c r="B78" s="193"/>
      <c r="C78" s="193" t="s">
        <v>318</v>
      </c>
      <c r="D78" s="193" t="s">
        <v>682</v>
      </c>
      <c r="E78" s="81">
        <v>4</v>
      </c>
      <c r="F78" s="81">
        <v>4</v>
      </c>
      <c r="G78" s="135">
        <f t="shared" si="5"/>
        <v>4</v>
      </c>
      <c r="H78" s="90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6" hidden="1">
      <c r="A79" s="82"/>
      <c r="B79" s="193"/>
      <c r="C79" s="193" t="s">
        <v>320</v>
      </c>
      <c r="D79" s="193" t="s">
        <v>683</v>
      </c>
      <c r="E79" s="81">
        <v>4</v>
      </c>
      <c r="F79" s="81">
        <v>4</v>
      </c>
      <c r="G79" s="135">
        <f t="shared" si="5"/>
        <v>4</v>
      </c>
      <c r="H79" s="90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5.6" hidden="1">
      <c r="A80" s="82"/>
      <c r="B80" s="193"/>
      <c r="C80" s="193" t="s">
        <v>353</v>
      </c>
      <c r="D80" s="193" t="s">
        <v>655</v>
      </c>
      <c r="E80" s="81">
        <v>4</v>
      </c>
      <c r="F80" s="81">
        <v>4</v>
      </c>
      <c r="G80" s="135">
        <f t="shared" si="5"/>
        <v>4</v>
      </c>
      <c r="H80" s="90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spans="1:27" ht="15.6" hidden="1">
      <c r="A81" s="82"/>
      <c r="B81" s="193"/>
      <c r="C81" s="193" t="s">
        <v>355</v>
      </c>
      <c r="D81" s="193" t="s">
        <v>684</v>
      </c>
      <c r="E81" s="81">
        <v>4</v>
      </c>
      <c r="F81" s="81">
        <v>4</v>
      </c>
      <c r="G81" s="135">
        <f t="shared" si="5"/>
        <v>4</v>
      </c>
      <c r="H81" s="90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spans="1:27" ht="15.6" hidden="1">
      <c r="A82" s="82"/>
      <c r="B82" s="193"/>
      <c r="C82" s="193" t="s">
        <v>398</v>
      </c>
      <c r="D82" s="193" t="s">
        <v>685</v>
      </c>
      <c r="E82" s="81">
        <v>4</v>
      </c>
      <c r="F82" s="81">
        <v>4</v>
      </c>
      <c r="G82" s="135">
        <f t="shared" si="5"/>
        <v>4</v>
      </c>
      <c r="H82" s="90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</row>
    <row r="83" spans="1:27" ht="15.6" hidden="1">
      <c r="A83" s="82"/>
      <c r="B83" s="193"/>
      <c r="C83" s="193" t="s">
        <v>407</v>
      </c>
      <c r="D83" s="193" t="s">
        <v>686</v>
      </c>
      <c r="E83" s="81">
        <v>4</v>
      </c>
      <c r="F83" s="81">
        <v>4</v>
      </c>
      <c r="G83" s="135">
        <f t="shared" si="5"/>
        <v>4</v>
      </c>
      <c r="H83" s="90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</row>
    <row r="84" spans="1:27" ht="15.6" hidden="1">
      <c r="A84" s="82"/>
      <c r="B84" s="193"/>
      <c r="C84" s="193" t="s">
        <v>494</v>
      </c>
      <c r="D84" s="193" t="s">
        <v>687</v>
      </c>
      <c r="E84" s="81">
        <v>4</v>
      </c>
      <c r="F84" s="81">
        <v>4</v>
      </c>
      <c r="G84" s="135">
        <f t="shared" si="5"/>
        <v>4</v>
      </c>
      <c r="H84" s="90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</row>
    <row r="85" spans="1:27" ht="15.75" hidden="1" customHeight="1">
      <c r="A85" s="82"/>
      <c r="B85" s="192" t="s">
        <v>311</v>
      </c>
      <c r="C85" s="208"/>
      <c r="D85" s="208"/>
      <c r="E85" s="208"/>
      <c r="F85" s="208"/>
      <c r="G85" s="208"/>
      <c r="H85" s="90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</row>
    <row r="86" spans="1:27" ht="15.75" hidden="1" customHeight="1">
      <c r="A86" s="99"/>
      <c r="B86" s="87" t="s">
        <v>285</v>
      </c>
      <c r="C86" s="208" t="s">
        <v>312</v>
      </c>
      <c r="D86" s="208"/>
      <c r="E86" s="208"/>
      <c r="F86" s="208"/>
      <c r="G86" s="208"/>
      <c r="H86" s="90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</row>
    <row r="87" spans="1:27" ht="15.75" hidden="1" customHeight="1">
      <c r="A87" s="82"/>
      <c r="B87" s="87" t="s">
        <v>285</v>
      </c>
      <c r="C87" s="208" t="s">
        <v>312</v>
      </c>
      <c r="D87" s="208"/>
      <c r="E87" s="208"/>
      <c r="F87" s="208"/>
      <c r="G87" s="208"/>
      <c r="H87" s="90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</row>
    <row r="88" spans="1:27" ht="15.6" hidden="1">
      <c r="A88" s="82"/>
      <c r="B88" s="193"/>
      <c r="C88" s="193"/>
      <c r="D88" s="193"/>
      <c r="E88" s="193"/>
      <c r="F88" s="193"/>
      <c r="G88" s="193"/>
      <c r="H88" s="90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</row>
    <row r="89" spans="1:27" ht="15.6">
      <c r="A89" s="94"/>
      <c r="B89" s="95"/>
      <c r="C89" s="95"/>
      <c r="D89" s="96"/>
      <c r="E89" s="96"/>
      <c r="F89" s="96"/>
      <c r="G89" s="96"/>
      <c r="H89" s="139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</row>
    <row r="90" spans="1:27" ht="15.6">
      <c r="A90" s="98">
        <v>4</v>
      </c>
      <c r="B90" s="215" t="s">
        <v>688</v>
      </c>
      <c r="C90" s="278"/>
      <c r="D90" s="278"/>
      <c r="E90" s="278"/>
      <c r="F90" s="278"/>
      <c r="G90" s="278"/>
      <c r="H90" s="90">
        <f>AVERAGE(G92:G96)</f>
        <v>4</v>
      </c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</row>
    <row r="91" spans="1:27" ht="15.6" hidden="1">
      <c r="A91" s="82"/>
      <c r="B91" s="193"/>
      <c r="C91" s="193"/>
      <c r="D91" s="193"/>
      <c r="E91" s="81" t="s">
        <v>31</v>
      </c>
      <c r="F91" s="81" t="s">
        <v>10</v>
      </c>
      <c r="G91" s="81" t="s">
        <v>306</v>
      </c>
      <c r="H91" s="91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spans="1:27" ht="15.6" hidden="1">
      <c r="A92" s="82"/>
      <c r="B92" s="193"/>
      <c r="C92" s="193" t="s">
        <v>307</v>
      </c>
      <c r="D92" s="193" t="s">
        <v>689</v>
      </c>
      <c r="E92" s="81">
        <v>4</v>
      </c>
      <c r="F92" s="81">
        <v>4</v>
      </c>
      <c r="G92" s="135">
        <f t="shared" ref="G92:G96" si="6">AVERAGE(E92:F92)</f>
        <v>4</v>
      </c>
      <c r="H92" s="91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spans="1:27" ht="15.6" hidden="1">
      <c r="A93" s="82"/>
      <c r="B93" s="193"/>
      <c r="C93" s="193" t="s">
        <v>309</v>
      </c>
      <c r="D93" s="193" t="s">
        <v>690</v>
      </c>
      <c r="E93" s="81">
        <v>4</v>
      </c>
      <c r="F93" s="81">
        <v>4</v>
      </c>
      <c r="G93" s="135">
        <f t="shared" si="6"/>
        <v>4</v>
      </c>
      <c r="H93" s="91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spans="1:27" ht="15.6" hidden="1">
      <c r="A94" s="82"/>
      <c r="B94" s="193"/>
      <c r="C94" s="193" t="s">
        <v>316</v>
      </c>
      <c r="D94" s="193" t="s">
        <v>691</v>
      </c>
      <c r="E94" s="81">
        <v>4</v>
      </c>
      <c r="F94" s="81">
        <v>4</v>
      </c>
      <c r="G94" s="135">
        <f t="shared" si="6"/>
        <v>4</v>
      </c>
      <c r="H94" s="90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spans="1:27" ht="15.6" hidden="1">
      <c r="A95" s="82"/>
      <c r="B95" s="193"/>
      <c r="C95" s="193" t="s">
        <v>318</v>
      </c>
      <c r="D95" s="193" t="s">
        <v>692</v>
      </c>
      <c r="E95" s="81">
        <v>4</v>
      </c>
      <c r="F95" s="81">
        <v>4</v>
      </c>
      <c r="G95" s="135">
        <f t="shared" si="6"/>
        <v>4</v>
      </c>
      <c r="H95" s="90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</row>
    <row r="96" spans="1:27" ht="15.6" hidden="1">
      <c r="A96" s="82"/>
      <c r="B96" s="193"/>
      <c r="C96" s="193" t="s">
        <v>320</v>
      </c>
      <c r="D96" s="193" t="s">
        <v>693</v>
      </c>
      <c r="E96" s="81">
        <v>4</v>
      </c>
      <c r="F96" s="81">
        <v>4</v>
      </c>
      <c r="G96" s="135">
        <f t="shared" si="6"/>
        <v>4</v>
      </c>
      <c r="H96" s="90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</row>
    <row r="97" spans="1:27" ht="15.75" hidden="1" customHeight="1">
      <c r="A97" s="82"/>
      <c r="B97" s="192" t="s">
        <v>311</v>
      </c>
      <c r="C97" s="208"/>
      <c r="D97" s="208"/>
      <c r="E97" s="208"/>
      <c r="F97" s="208"/>
      <c r="G97" s="208"/>
      <c r="H97" s="90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</row>
    <row r="98" spans="1:27" ht="15.75" hidden="1" customHeight="1">
      <c r="A98" s="99"/>
      <c r="B98" s="87" t="s">
        <v>285</v>
      </c>
      <c r="C98" s="208" t="s">
        <v>312</v>
      </c>
      <c r="D98" s="208"/>
      <c r="E98" s="208"/>
      <c r="F98" s="208"/>
      <c r="G98" s="208"/>
      <c r="H98" s="90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</row>
    <row r="99" spans="1:27" ht="15.75" hidden="1" customHeight="1">
      <c r="A99" s="88"/>
      <c r="B99" s="89" t="s">
        <v>285</v>
      </c>
      <c r="C99" s="210" t="s">
        <v>312</v>
      </c>
      <c r="D99" s="210"/>
      <c r="E99" s="210"/>
      <c r="F99" s="210"/>
      <c r="G99" s="210"/>
      <c r="H99" s="140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</row>
    <row r="100" spans="1:27" ht="15.6">
      <c r="A100" s="193"/>
      <c r="B100" s="193"/>
      <c r="C100" s="193"/>
      <c r="D100" s="193"/>
      <c r="E100" s="193"/>
      <c r="F100" s="193"/>
      <c r="G100" s="193"/>
      <c r="H100" s="81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</row>
    <row r="101" spans="1:27" ht="15.6">
      <c r="A101" s="193"/>
      <c r="B101" s="193"/>
      <c r="C101" s="193"/>
      <c r="D101" s="193"/>
      <c r="E101" s="193"/>
      <c r="F101" s="193"/>
      <c r="G101" s="193"/>
      <c r="H101" s="81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spans="1:27" ht="15.6">
      <c r="A102" s="193"/>
      <c r="B102" s="193"/>
      <c r="C102" s="193"/>
      <c r="D102" s="193"/>
      <c r="E102" s="193"/>
      <c r="F102" s="193"/>
      <c r="G102" s="193"/>
      <c r="H102" s="81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spans="1:27" ht="15.6">
      <c r="A103" s="193"/>
      <c r="B103" s="193"/>
      <c r="C103" s="193"/>
      <c r="D103" s="193"/>
      <c r="E103" s="193"/>
      <c r="F103" s="193"/>
      <c r="G103" s="193"/>
      <c r="H103" s="81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spans="1:27" ht="15.6">
      <c r="A104" s="193"/>
      <c r="B104" s="193"/>
      <c r="C104" s="193"/>
      <c r="D104" s="193"/>
      <c r="E104" s="193"/>
      <c r="F104" s="193"/>
      <c r="G104" s="193"/>
      <c r="H104" s="81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</row>
    <row r="105" spans="1:27" ht="15.6">
      <c r="A105" s="193"/>
      <c r="B105" s="193"/>
      <c r="C105" s="193"/>
      <c r="D105" s="193"/>
      <c r="E105" s="193"/>
      <c r="F105" s="193"/>
      <c r="G105" s="193"/>
      <c r="H105" s="81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</row>
    <row r="106" spans="1:27" ht="15.6">
      <c r="A106" s="193"/>
      <c r="B106" s="193"/>
      <c r="C106" s="193"/>
      <c r="D106" s="193"/>
      <c r="E106" s="193"/>
      <c r="F106" s="193"/>
      <c r="G106" s="193"/>
      <c r="H106" s="81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</row>
    <row r="107" spans="1:27" ht="15.6">
      <c r="A107" s="193"/>
      <c r="B107" s="193"/>
      <c r="C107" s="193"/>
      <c r="D107" s="193"/>
      <c r="E107" s="193"/>
      <c r="F107" s="193"/>
      <c r="G107" s="193"/>
      <c r="H107" s="81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</row>
    <row r="108" spans="1:27" ht="15.6">
      <c r="A108" s="193"/>
      <c r="B108" s="193"/>
      <c r="C108" s="193"/>
      <c r="D108" s="193"/>
      <c r="E108" s="193"/>
      <c r="F108" s="193"/>
      <c r="G108" s="193"/>
      <c r="H108" s="81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</row>
    <row r="109" spans="1:27" ht="15.6">
      <c r="A109" s="193"/>
      <c r="B109" s="193"/>
      <c r="C109" s="193"/>
      <c r="D109" s="193"/>
      <c r="E109" s="193"/>
      <c r="F109" s="193"/>
      <c r="G109" s="193"/>
      <c r="H109" s="81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</row>
    <row r="110" spans="1:27" ht="15.6">
      <c r="A110" s="193"/>
      <c r="B110" s="193"/>
      <c r="C110" s="193"/>
      <c r="D110" s="193"/>
      <c r="E110" s="193"/>
      <c r="F110" s="193"/>
      <c r="G110" s="193"/>
      <c r="H110" s="81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</row>
    <row r="111" spans="1:27" ht="15.6">
      <c r="A111" s="193"/>
      <c r="B111" s="193"/>
      <c r="C111" s="193"/>
      <c r="D111" s="193"/>
      <c r="E111" s="193"/>
      <c r="F111" s="193"/>
      <c r="G111" s="193"/>
      <c r="H111" s="81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</row>
    <row r="112" spans="1:27" ht="15.6">
      <c r="A112" s="193"/>
      <c r="B112" s="193"/>
      <c r="C112" s="193"/>
      <c r="D112" s="193"/>
      <c r="E112" s="193"/>
      <c r="F112" s="193"/>
      <c r="G112" s="193"/>
      <c r="H112" s="81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</row>
    <row r="113" spans="1:27" ht="15.6">
      <c r="A113" s="193"/>
      <c r="B113" s="193"/>
      <c r="C113" s="193"/>
      <c r="D113" s="193"/>
      <c r="E113" s="193"/>
      <c r="F113" s="193"/>
      <c r="G113" s="193"/>
      <c r="H113" s="81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</row>
    <row r="114" spans="1:27" ht="15.6">
      <c r="A114" s="193"/>
      <c r="B114" s="193"/>
      <c r="C114" s="193"/>
      <c r="D114" s="193"/>
      <c r="E114" s="193"/>
      <c r="F114" s="193"/>
      <c r="G114" s="193"/>
      <c r="H114" s="81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  <row r="115" spans="1:27" ht="15.6">
      <c r="A115" s="193"/>
      <c r="B115" s="193"/>
      <c r="C115" s="193"/>
      <c r="D115" s="193"/>
      <c r="E115" s="193"/>
      <c r="F115" s="193"/>
      <c r="G115" s="193"/>
      <c r="H115" s="81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spans="1:27" ht="15.6">
      <c r="A116" s="193"/>
      <c r="B116" s="193"/>
      <c r="C116" s="193"/>
      <c r="D116" s="193"/>
      <c r="E116" s="193"/>
      <c r="F116" s="193"/>
      <c r="G116" s="193"/>
      <c r="H116" s="81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spans="1:27" ht="15.6">
      <c r="A117" s="193"/>
      <c r="B117" s="193"/>
      <c r="C117" s="193"/>
      <c r="D117" s="193"/>
      <c r="E117" s="193"/>
      <c r="F117" s="193"/>
      <c r="G117" s="193"/>
      <c r="H117" s="81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spans="1:27" ht="15.6">
      <c r="A118" s="193"/>
      <c r="B118" s="193"/>
      <c r="C118" s="193"/>
      <c r="D118" s="193"/>
      <c r="E118" s="193"/>
      <c r="F118" s="193"/>
      <c r="G118" s="193"/>
      <c r="H118" s="81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spans="1:27" ht="15.6">
      <c r="A119" s="193"/>
      <c r="B119" s="193"/>
      <c r="C119" s="193"/>
      <c r="D119" s="193"/>
      <c r="E119" s="193"/>
      <c r="F119" s="193"/>
      <c r="G119" s="193"/>
      <c r="H119" s="81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</row>
    <row r="120" spans="1:27" ht="15.6">
      <c r="A120" s="193"/>
      <c r="B120" s="193"/>
      <c r="C120" s="193"/>
      <c r="D120" s="193"/>
      <c r="E120" s="193"/>
      <c r="F120" s="193"/>
      <c r="G120" s="193"/>
      <c r="H120" s="81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</row>
    <row r="121" spans="1:27" ht="15.6">
      <c r="A121" s="193"/>
      <c r="B121" s="193"/>
      <c r="C121" s="193"/>
      <c r="D121" s="193"/>
      <c r="E121" s="193"/>
      <c r="F121" s="193"/>
      <c r="G121" s="193"/>
      <c r="H121" s="81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</row>
    <row r="122" spans="1:27" ht="15.6">
      <c r="A122" s="193"/>
      <c r="B122" s="193"/>
      <c r="C122" s="193"/>
      <c r="D122" s="193"/>
      <c r="E122" s="193"/>
      <c r="F122" s="193"/>
      <c r="G122" s="193"/>
      <c r="H122" s="81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</row>
    <row r="123" spans="1:27" ht="15.6">
      <c r="A123" s="193"/>
      <c r="B123" s="193"/>
      <c r="C123" s="193"/>
      <c r="D123" s="193"/>
      <c r="E123" s="193"/>
      <c r="F123" s="193"/>
      <c r="G123" s="193"/>
      <c r="H123" s="81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</row>
    <row r="124" spans="1:27" ht="15.6">
      <c r="A124" s="193"/>
      <c r="B124" s="193"/>
      <c r="C124" s="193"/>
      <c r="D124" s="193"/>
      <c r="E124" s="193"/>
      <c r="F124" s="193"/>
      <c r="G124" s="193"/>
      <c r="H124" s="81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</row>
    <row r="125" spans="1:27" ht="15.6">
      <c r="A125" s="193"/>
      <c r="B125" s="193"/>
      <c r="C125" s="193"/>
      <c r="D125" s="193"/>
      <c r="E125" s="193"/>
      <c r="F125" s="193"/>
      <c r="G125" s="193"/>
      <c r="H125" s="81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spans="1:27" ht="15.6">
      <c r="A126" s="193"/>
      <c r="B126" s="193"/>
      <c r="C126" s="193"/>
      <c r="D126" s="193"/>
      <c r="E126" s="193"/>
      <c r="F126" s="193"/>
      <c r="G126" s="193"/>
      <c r="H126" s="81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spans="1:27" ht="15.6">
      <c r="A127" s="193"/>
      <c r="B127" s="193"/>
      <c r="C127" s="193"/>
      <c r="D127" s="193"/>
      <c r="E127" s="193"/>
      <c r="F127" s="193"/>
      <c r="G127" s="193"/>
      <c r="H127" s="81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spans="1:27" ht="15.6">
      <c r="A128" s="193"/>
      <c r="B128" s="193"/>
      <c r="C128" s="193"/>
      <c r="D128" s="193"/>
      <c r="E128" s="193"/>
      <c r="F128" s="193"/>
      <c r="G128" s="193"/>
      <c r="H128" s="81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</row>
    <row r="129" spans="1:27" ht="15.6">
      <c r="A129" s="193"/>
      <c r="B129" s="193"/>
      <c r="C129" s="193"/>
      <c r="D129" s="193"/>
      <c r="E129" s="193"/>
      <c r="F129" s="193"/>
      <c r="G129" s="193"/>
      <c r="H129" s="81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</row>
    <row r="130" spans="1:27" ht="15.6">
      <c r="A130" s="193"/>
      <c r="B130" s="193"/>
      <c r="C130" s="193"/>
      <c r="D130" s="193"/>
      <c r="E130" s="193"/>
      <c r="F130" s="193"/>
      <c r="G130" s="193"/>
      <c r="H130" s="81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</row>
    <row r="131" spans="1:27" ht="15.6">
      <c r="A131" s="193"/>
      <c r="B131" s="193"/>
      <c r="C131" s="193"/>
      <c r="D131" s="193"/>
      <c r="E131" s="193"/>
      <c r="F131" s="193"/>
      <c r="G131" s="193"/>
      <c r="H131" s="81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</row>
    <row r="132" spans="1:27" ht="15.6">
      <c r="A132" s="193"/>
      <c r="B132" s="193"/>
      <c r="C132" s="193"/>
      <c r="D132" s="193"/>
      <c r="E132" s="193"/>
      <c r="F132" s="193"/>
      <c r="G132" s="193"/>
      <c r="H132" s="81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</row>
    <row r="133" spans="1:27" ht="15.6">
      <c r="A133" s="193"/>
      <c r="B133" s="193"/>
      <c r="C133" s="193"/>
      <c r="D133" s="193"/>
      <c r="E133" s="193"/>
      <c r="F133" s="193"/>
      <c r="G133" s="193"/>
      <c r="H133" s="81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</row>
    <row r="134" spans="1:27" ht="15.6">
      <c r="A134" s="193"/>
      <c r="B134" s="193"/>
      <c r="C134" s="193"/>
      <c r="D134" s="193"/>
      <c r="E134" s="193"/>
      <c r="F134" s="193"/>
      <c r="G134" s="193"/>
      <c r="H134" s="81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</row>
    <row r="135" spans="1:27" ht="15.6">
      <c r="A135" s="193"/>
      <c r="B135" s="193"/>
      <c r="C135" s="193"/>
      <c r="D135" s="193"/>
      <c r="E135" s="193"/>
      <c r="F135" s="193"/>
      <c r="G135" s="193"/>
      <c r="H135" s="81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</row>
    <row r="136" spans="1:27" ht="15.6">
      <c r="A136" s="193"/>
      <c r="B136" s="193"/>
      <c r="C136" s="193"/>
      <c r="D136" s="193"/>
      <c r="E136" s="193"/>
      <c r="F136" s="193"/>
      <c r="G136" s="193"/>
      <c r="H136" s="81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</row>
    <row r="137" spans="1:27" ht="15.6">
      <c r="A137" s="193"/>
      <c r="B137" s="193"/>
      <c r="C137" s="193"/>
      <c r="D137" s="193"/>
      <c r="E137" s="193"/>
      <c r="F137" s="193"/>
      <c r="G137" s="193"/>
      <c r="H137" s="81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</row>
    <row r="138" spans="1:27" ht="15.6">
      <c r="A138" s="193"/>
      <c r="B138" s="193"/>
      <c r="C138" s="193"/>
      <c r="D138" s="193"/>
      <c r="E138" s="193"/>
      <c r="F138" s="193"/>
      <c r="G138" s="193"/>
      <c r="H138" s="81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</row>
    <row r="139" spans="1:27" ht="15.6">
      <c r="A139" s="193"/>
      <c r="B139" s="193"/>
      <c r="C139" s="193"/>
      <c r="D139" s="193"/>
      <c r="E139" s="193"/>
      <c r="F139" s="193"/>
      <c r="G139" s="193"/>
      <c r="H139" s="81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spans="1:27" ht="15.6">
      <c r="A140" s="193"/>
      <c r="B140" s="193"/>
      <c r="C140" s="193"/>
      <c r="D140" s="193"/>
      <c r="E140" s="193"/>
      <c r="F140" s="193"/>
      <c r="G140" s="193"/>
      <c r="H140" s="81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spans="1:27" ht="15.6">
      <c r="A141" s="193"/>
      <c r="B141" s="193"/>
      <c r="C141" s="193"/>
      <c r="D141" s="193"/>
      <c r="E141" s="193"/>
      <c r="F141" s="193"/>
      <c r="G141" s="193"/>
      <c r="H141" s="81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spans="1:27" ht="15.6">
      <c r="A142" s="193"/>
      <c r="B142" s="193"/>
      <c r="C142" s="193"/>
      <c r="D142" s="193"/>
      <c r="E142" s="193"/>
      <c r="F142" s="193"/>
      <c r="G142" s="193"/>
      <c r="H142" s="81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</row>
    <row r="143" spans="1:27" ht="15.6">
      <c r="A143" s="193"/>
      <c r="B143" s="193"/>
      <c r="C143" s="193"/>
      <c r="D143" s="193"/>
      <c r="E143" s="193"/>
      <c r="F143" s="193"/>
      <c r="G143" s="193"/>
      <c r="H143" s="81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</row>
    <row r="144" spans="1:27" ht="15.6">
      <c r="A144" s="193"/>
      <c r="B144" s="193"/>
      <c r="C144" s="193"/>
      <c r="D144" s="193"/>
      <c r="E144" s="193"/>
      <c r="F144" s="193"/>
      <c r="G144" s="193"/>
      <c r="H144" s="81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</row>
    <row r="145" spans="1:27" ht="15.6">
      <c r="A145" s="193"/>
      <c r="B145" s="193"/>
      <c r="C145" s="193"/>
      <c r="D145" s="193"/>
      <c r="E145" s="193"/>
      <c r="F145" s="193"/>
      <c r="G145" s="193"/>
      <c r="H145" s="81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</row>
    <row r="146" spans="1:27" ht="15.6">
      <c r="A146" s="193"/>
      <c r="B146" s="193"/>
      <c r="C146" s="193"/>
      <c r="D146" s="193"/>
      <c r="E146" s="193"/>
      <c r="F146" s="193"/>
      <c r="G146" s="193"/>
      <c r="H146" s="81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</row>
    <row r="147" spans="1:27" ht="15.6">
      <c r="A147" s="193"/>
      <c r="B147" s="193"/>
      <c r="C147" s="193"/>
      <c r="D147" s="193"/>
      <c r="E147" s="193"/>
      <c r="F147" s="193"/>
      <c r="G147" s="193"/>
      <c r="H147" s="81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</row>
    <row r="148" spans="1:27" ht="15.6">
      <c r="A148" s="193"/>
      <c r="B148" s="193"/>
      <c r="C148" s="193"/>
      <c r="D148" s="193"/>
      <c r="E148" s="193"/>
      <c r="F148" s="193"/>
      <c r="G148" s="193"/>
      <c r="H148" s="81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</row>
    <row r="149" spans="1:27" ht="15.6">
      <c r="A149" s="193"/>
      <c r="B149" s="193"/>
      <c r="C149" s="193"/>
      <c r="D149" s="193"/>
      <c r="E149" s="193"/>
      <c r="F149" s="193"/>
      <c r="G149" s="193"/>
      <c r="H149" s="81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</row>
    <row r="150" spans="1:27" ht="15.6">
      <c r="A150" s="193"/>
      <c r="B150" s="193"/>
      <c r="C150" s="193"/>
      <c r="D150" s="193"/>
      <c r="E150" s="193"/>
      <c r="F150" s="193"/>
      <c r="G150" s="193"/>
      <c r="H150" s="81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</row>
    <row r="151" spans="1:27" ht="15.6">
      <c r="A151" s="193"/>
      <c r="B151" s="193"/>
      <c r="C151" s="193"/>
      <c r="D151" s="193"/>
      <c r="E151" s="193"/>
      <c r="F151" s="193"/>
      <c r="G151" s="193"/>
      <c r="H151" s="81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</row>
    <row r="152" spans="1:27" ht="15.6">
      <c r="A152" s="193"/>
      <c r="B152" s="193"/>
      <c r="C152" s="193"/>
      <c r="D152" s="193"/>
      <c r="E152" s="193"/>
      <c r="F152" s="193"/>
      <c r="G152" s="193"/>
      <c r="H152" s="81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</row>
    <row r="153" spans="1:27" ht="15.6">
      <c r="A153" s="193"/>
      <c r="B153" s="193"/>
      <c r="C153" s="193"/>
      <c r="D153" s="193"/>
      <c r="E153" s="193"/>
      <c r="F153" s="193"/>
      <c r="G153" s="193"/>
      <c r="H153" s="81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</row>
    <row r="154" spans="1:27" ht="15.6">
      <c r="A154" s="193"/>
      <c r="B154" s="193"/>
      <c r="C154" s="193"/>
      <c r="D154" s="193"/>
      <c r="E154" s="193"/>
      <c r="F154" s="193"/>
      <c r="G154" s="193"/>
      <c r="H154" s="81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</row>
    <row r="155" spans="1:27" ht="15.6">
      <c r="A155" s="193"/>
      <c r="B155" s="193"/>
      <c r="C155" s="193"/>
      <c r="D155" s="193"/>
      <c r="E155" s="193"/>
      <c r="F155" s="193"/>
      <c r="G155" s="193"/>
      <c r="H155" s="81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</row>
    <row r="156" spans="1:27" ht="15.6">
      <c r="A156" s="193"/>
      <c r="B156" s="193"/>
      <c r="C156" s="193"/>
      <c r="D156" s="193"/>
      <c r="E156" s="193"/>
      <c r="F156" s="193"/>
      <c r="G156" s="193"/>
      <c r="H156" s="81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</row>
    <row r="157" spans="1:27" ht="15.6">
      <c r="A157" s="193"/>
      <c r="B157" s="193"/>
      <c r="C157" s="193"/>
      <c r="D157" s="193"/>
      <c r="E157" s="193"/>
      <c r="F157" s="193"/>
      <c r="G157" s="193"/>
      <c r="H157" s="81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</row>
    <row r="158" spans="1:27" ht="15.6">
      <c r="A158" s="193"/>
      <c r="B158" s="193"/>
      <c r="C158" s="193"/>
      <c r="D158" s="193"/>
      <c r="E158" s="193"/>
      <c r="F158" s="193"/>
      <c r="G158" s="193"/>
      <c r="H158" s="81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</row>
    <row r="159" spans="1:27" ht="15.6">
      <c r="A159" s="193"/>
      <c r="B159" s="193"/>
      <c r="C159" s="193"/>
      <c r="D159" s="193"/>
      <c r="E159" s="193"/>
      <c r="F159" s="193"/>
      <c r="G159" s="193"/>
      <c r="H159" s="81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</row>
    <row r="160" spans="1:27" ht="15.6">
      <c r="A160" s="193"/>
      <c r="B160" s="193"/>
      <c r="C160" s="193"/>
      <c r="D160" s="193"/>
      <c r="E160" s="193"/>
      <c r="F160" s="193"/>
      <c r="G160" s="193"/>
      <c r="H160" s="81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</row>
    <row r="161" spans="1:27" ht="15.6">
      <c r="A161" s="193"/>
      <c r="B161" s="193"/>
      <c r="C161" s="193"/>
      <c r="D161" s="193"/>
      <c r="E161" s="193"/>
      <c r="F161" s="193"/>
      <c r="G161" s="193"/>
      <c r="H161" s="81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</row>
    <row r="162" spans="1:27" ht="15.6">
      <c r="A162" s="193"/>
      <c r="B162" s="193"/>
      <c r="C162" s="193"/>
      <c r="D162" s="193"/>
      <c r="E162" s="193"/>
      <c r="F162" s="193"/>
      <c r="G162" s="193"/>
      <c r="H162" s="81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</row>
    <row r="163" spans="1:27" ht="15.6">
      <c r="A163" s="193"/>
      <c r="B163" s="193"/>
      <c r="C163" s="193"/>
      <c r="D163" s="193"/>
      <c r="E163" s="193"/>
      <c r="F163" s="193"/>
      <c r="G163" s="193"/>
      <c r="H163" s="81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</row>
    <row r="164" spans="1:27" ht="15.6">
      <c r="A164" s="193"/>
      <c r="B164" s="193"/>
      <c r="C164" s="193"/>
      <c r="D164" s="193"/>
      <c r="E164" s="193"/>
      <c r="F164" s="193"/>
      <c r="G164" s="193"/>
      <c r="H164" s="81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</row>
    <row r="165" spans="1:27" ht="15.6">
      <c r="A165" s="193"/>
      <c r="B165" s="193"/>
      <c r="C165" s="193"/>
      <c r="D165" s="193"/>
      <c r="E165" s="193"/>
      <c r="F165" s="193"/>
      <c r="G165" s="193"/>
      <c r="H165" s="81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</row>
    <row r="166" spans="1:27" ht="15.6">
      <c r="A166" s="193"/>
      <c r="B166" s="193"/>
      <c r="C166" s="193"/>
      <c r="D166" s="193"/>
      <c r="E166" s="193"/>
      <c r="F166" s="193"/>
      <c r="G166" s="193"/>
      <c r="H166" s="81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</row>
    <row r="167" spans="1:27" ht="15.6">
      <c r="A167" s="193"/>
      <c r="B167" s="193"/>
      <c r="C167" s="193"/>
      <c r="D167" s="193"/>
      <c r="E167" s="193"/>
      <c r="F167" s="193"/>
      <c r="G167" s="193"/>
      <c r="H167" s="81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</row>
    <row r="168" spans="1:27" ht="15.6">
      <c r="A168" s="193"/>
      <c r="B168" s="193"/>
      <c r="C168" s="193"/>
      <c r="D168" s="193"/>
      <c r="E168" s="193"/>
      <c r="F168" s="193"/>
      <c r="G168" s="193"/>
      <c r="H168" s="81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</row>
    <row r="169" spans="1:27" ht="15.6">
      <c r="A169" s="193"/>
      <c r="B169" s="193"/>
      <c r="C169" s="193"/>
      <c r="D169" s="193"/>
      <c r="E169" s="193"/>
      <c r="F169" s="193"/>
      <c r="G169" s="193"/>
      <c r="H169" s="81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</row>
    <row r="170" spans="1:27" ht="15.6">
      <c r="A170" s="193"/>
      <c r="B170" s="193"/>
      <c r="C170" s="193"/>
      <c r="D170" s="193"/>
      <c r="E170" s="193"/>
      <c r="F170" s="193"/>
      <c r="G170" s="193"/>
      <c r="H170" s="81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</row>
    <row r="171" spans="1:27" ht="15.6">
      <c r="A171" s="193"/>
      <c r="B171" s="193"/>
      <c r="C171" s="193"/>
      <c r="D171" s="193"/>
      <c r="E171" s="193"/>
      <c r="F171" s="193"/>
      <c r="G171" s="193"/>
      <c r="H171" s="81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</row>
    <row r="172" spans="1:27" ht="15.6">
      <c r="A172" s="193"/>
      <c r="B172" s="193"/>
      <c r="C172" s="193"/>
      <c r="D172" s="193"/>
      <c r="E172" s="193"/>
      <c r="F172" s="193"/>
      <c r="G172" s="193"/>
      <c r="H172" s="81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</row>
    <row r="173" spans="1:27" ht="15.6">
      <c r="A173" s="193"/>
      <c r="B173" s="193"/>
      <c r="C173" s="193"/>
      <c r="D173" s="193"/>
      <c r="E173" s="193"/>
      <c r="F173" s="193"/>
      <c r="G173" s="193"/>
      <c r="H173" s="81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</row>
    <row r="174" spans="1:27" ht="15.6">
      <c r="A174" s="193"/>
      <c r="B174" s="193"/>
      <c r="C174" s="193"/>
      <c r="D174" s="193"/>
      <c r="E174" s="193"/>
      <c r="F174" s="193"/>
      <c r="G174" s="193"/>
      <c r="H174" s="81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</row>
    <row r="175" spans="1:27" ht="15.6">
      <c r="A175" s="193"/>
      <c r="B175" s="193"/>
      <c r="C175" s="193"/>
      <c r="D175" s="193"/>
      <c r="E175" s="193"/>
      <c r="F175" s="193"/>
      <c r="G175" s="193"/>
      <c r="H175" s="81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</row>
    <row r="176" spans="1:27" ht="15.6">
      <c r="A176" s="193"/>
      <c r="B176" s="193"/>
      <c r="C176" s="193"/>
      <c r="D176" s="193"/>
      <c r="E176" s="193"/>
      <c r="F176" s="193"/>
      <c r="G176" s="193"/>
      <c r="H176" s="81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</row>
    <row r="177" spans="1:27" ht="15.6">
      <c r="A177" s="193"/>
      <c r="B177" s="193"/>
      <c r="C177" s="193"/>
      <c r="D177" s="193"/>
      <c r="E177" s="193"/>
      <c r="F177" s="193"/>
      <c r="G177" s="193"/>
      <c r="H177" s="81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spans="1:27" ht="15.6">
      <c r="A178" s="193"/>
      <c r="B178" s="193"/>
      <c r="C178" s="193"/>
      <c r="D178" s="193"/>
      <c r="E178" s="193"/>
      <c r="F178" s="193"/>
      <c r="G178" s="193"/>
      <c r="H178" s="81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</row>
    <row r="179" spans="1:27" ht="15.6">
      <c r="A179" s="193"/>
      <c r="B179" s="193"/>
      <c r="C179" s="193"/>
      <c r="D179" s="193"/>
      <c r="E179" s="193"/>
      <c r="F179" s="193"/>
      <c r="G179" s="193"/>
      <c r="H179" s="81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</row>
    <row r="180" spans="1:27" ht="15.6">
      <c r="A180" s="193"/>
      <c r="B180" s="193"/>
      <c r="C180" s="193"/>
      <c r="D180" s="193"/>
      <c r="E180" s="193"/>
      <c r="F180" s="193"/>
      <c r="G180" s="193"/>
      <c r="H180" s="81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</row>
    <row r="181" spans="1:27" ht="15.6">
      <c r="A181" s="193"/>
      <c r="B181" s="193"/>
      <c r="C181" s="193"/>
      <c r="D181" s="193"/>
      <c r="E181" s="193"/>
      <c r="F181" s="193"/>
      <c r="G181" s="193"/>
      <c r="H181" s="81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</row>
    <row r="182" spans="1:27" ht="15.6">
      <c r="A182" s="193"/>
      <c r="B182" s="193"/>
      <c r="C182" s="193"/>
      <c r="D182" s="193"/>
      <c r="E182" s="193"/>
      <c r="F182" s="193"/>
      <c r="G182" s="193"/>
      <c r="H182" s="81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</row>
    <row r="183" spans="1:27" ht="15.6">
      <c r="A183" s="193"/>
      <c r="B183" s="193"/>
      <c r="C183" s="193"/>
      <c r="D183" s="193"/>
      <c r="E183" s="193"/>
      <c r="F183" s="193"/>
      <c r="G183" s="193"/>
      <c r="H183" s="81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</row>
    <row r="184" spans="1:27" ht="15.6">
      <c r="A184" s="193"/>
      <c r="B184" s="193"/>
      <c r="C184" s="193"/>
      <c r="D184" s="193"/>
      <c r="E184" s="193"/>
      <c r="F184" s="193"/>
      <c r="G184" s="193"/>
      <c r="H184" s="81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</row>
    <row r="185" spans="1:27" ht="15.6">
      <c r="A185" s="193"/>
      <c r="B185" s="193"/>
      <c r="C185" s="193"/>
      <c r="D185" s="193"/>
      <c r="E185" s="193"/>
      <c r="F185" s="193"/>
      <c r="G185" s="193"/>
      <c r="H185" s="81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</row>
    <row r="186" spans="1:27" ht="15.6">
      <c r="A186" s="193"/>
      <c r="B186" s="193"/>
      <c r="C186" s="193"/>
      <c r="D186" s="193"/>
      <c r="E186" s="193"/>
      <c r="F186" s="193"/>
      <c r="G186" s="193"/>
      <c r="H186" s="81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</row>
    <row r="187" spans="1:27" ht="15.6">
      <c r="A187" s="193"/>
      <c r="B187" s="193"/>
      <c r="C187" s="193"/>
      <c r="D187" s="193"/>
      <c r="E187" s="193"/>
      <c r="F187" s="193"/>
      <c r="G187" s="193"/>
      <c r="H187" s="81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</row>
    <row r="188" spans="1:27" ht="15.6">
      <c r="A188" s="193"/>
      <c r="B188" s="193"/>
      <c r="C188" s="193"/>
      <c r="D188" s="193"/>
      <c r="E188" s="193"/>
      <c r="F188" s="193"/>
      <c r="G188" s="193"/>
      <c r="H188" s="81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</row>
    <row r="189" spans="1:27" ht="15.6">
      <c r="A189" s="193"/>
      <c r="B189" s="193"/>
      <c r="C189" s="193"/>
      <c r="D189" s="193"/>
      <c r="E189" s="193"/>
      <c r="F189" s="193"/>
      <c r="G189" s="193"/>
      <c r="H189" s="81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</row>
    <row r="190" spans="1:27" ht="15.6">
      <c r="A190" s="193"/>
      <c r="B190" s="193"/>
      <c r="C190" s="193"/>
      <c r="D190" s="193"/>
      <c r="E190" s="193"/>
      <c r="F190" s="193"/>
      <c r="G190" s="193"/>
      <c r="H190" s="81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</row>
    <row r="191" spans="1:27" ht="15.6">
      <c r="A191" s="193"/>
      <c r="B191" s="193"/>
      <c r="C191" s="193"/>
      <c r="D191" s="193"/>
      <c r="E191" s="193"/>
      <c r="F191" s="193"/>
      <c r="G191" s="193"/>
      <c r="H191" s="81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</row>
    <row r="192" spans="1:27" ht="15.6">
      <c r="A192" s="193"/>
      <c r="B192" s="193"/>
      <c r="C192" s="193"/>
      <c r="D192" s="193"/>
      <c r="E192" s="193"/>
      <c r="F192" s="193"/>
      <c r="G192" s="193"/>
      <c r="H192" s="81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</row>
    <row r="193" spans="1:27" ht="15.6">
      <c r="A193" s="193"/>
      <c r="B193" s="193"/>
      <c r="C193" s="193"/>
      <c r="D193" s="193"/>
      <c r="E193" s="193"/>
      <c r="F193" s="193"/>
      <c r="G193" s="193"/>
      <c r="H193" s="81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</row>
    <row r="194" spans="1:27" ht="15.6">
      <c r="A194" s="193"/>
      <c r="B194" s="193"/>
      <c r="C194" s="193"/>
      <c r="D194" s="193"/>
      <c r="E194" s="193"/>
      <c r="F194" s="193"/>
      <c r="G194" s="193"/>
      <c r="H194" s="81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</row>
    <row r="195" spans="1:27" ht="15.6">
      <c r="A195" s="193"/>
      <c r="B195" s="193"/>
      <c r="C195" s="193"/>
      <c r="D195" s="193"/>
      <c r="E195" s="193"/>
      <c r="F195" s="193"/>
      <c r="G195" s="193"/>
      <c r="H195" s="81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</row>
    <row r="196" spans="1:27" ht="15.6">
      <c r="A196" s="193"/>
      <c r="B196" s="193"/>
      <c r="C196" s="193"/>
      <c r="D196" s="193"/>
      <c r="E196" s="193"/>
      <c r="F196" s="193"/>
      <c r="G196" s="193"/>
      <c r="H196" s="81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</row>
    <row r="197" spans="1:27" ht="15.6">
      <c r="A197" s="193"/>
      <c r="B197" s="193"/>
      <c r="C197" s="193"/>
      <c r="D197" s="193"/>
      <c r="E197" s="193"/>
      <c r="F197" s="193"/>
      <c r="G197" s="193"/>
      <c r="H197" s="81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</row>
    <row r="198" spans="1:27" ht="15.6">
      <c r="A198" s="193"/>
      <c r="B198" s="193"/>
      <c r="C198" s="193"/>
      <c r="D198" s="193"/>
      <c r="E198" s="193"/>
      <c r="F198" s="193"/>
      <c r="G198" s="193"/>
      <c r="H198" s="81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</row>
    <row r="199" spans="1:27" ht="15.6">
      <c r="A199" s="193"/>
      <c r="B199" s="193"/>
      <c r="C199" s="193"/>
      <c r="D199" s="193"/>
      <c r="E199" s="193"/>
      <c r="F199" s="193"/>
      <c r="G199" s="193"/>
      <c r="H199" s="81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</row>
    <row r="200" spans="1:27" ht="15.6">
      <c r="A200" s="193"/>
      <c r="B200" s="193"/>
      <c r="C200" s="193"/>
      <c r="D200" s="193"/>
      <c r="E200" s="193"/>
      <c r="F200" s="193"/>
      <c r="G200" s="193"/>
      <c r="H200" s="81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</row>
    <row r="201" spans="1:27" ht="15.6">
      <c r="A201" s="193"/>
      <c r="B201" s="193"/>
      <c r="C201" s="193"/>
      <c r="D201" s="193"/>
      <c r="E201" s="193"/>
      <c r="F201" s="193"/>
      <c r="G201" s="193"/>
      <c r="H201" s="81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 spans="1:27" ht="15.6">
      <c r="A202" s="193"/>
      <c r="B202" s="193"/>
      <c r="C202" s="193"/>
      <c r="D202" s="193"/>
      <c r="E202" s="193"/>
      <c r="F202" s="193"/>
      <c r="G202" s="193"/>
      <c r="H202" s="81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 spans="1:27" ht="15.6">
      <c r="A203" s="193"/>
      <c r="B203" s="193"/>
      <c r="C203" s="193"/>
      <c r="D203" s="193"/>
      <c r="E203" s="193"/>
      <c r="F203" s="193"/>
      <c r="G203" s="193"/>
      <c r="H203" s="81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 spans="1:27" ht="15.6">
      <c r="A204" s="193"/>
      <c r="B204" s="193"/>
      <c r="C204" s="193"/>
      <c r="D204" s="193"/>
      <c r="E204" s="193"/>
      <c r="F204" s="193"/>
      <c r="G204" s="193"/>
      <c r="H204" s="81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 spans="1:27" ht="15.6">
      <c r="A205" s="193"/>
      <c r="B205" s="193"/>
      <c r="C205" s="193"/>
      <c r="D205" s="193"/>
      <c r="E205" s="193"/>
      <c r="F205" s="193"/>
      <c r="G205" s="193"/>
      <c r="H205" s="81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 spans="1:27" ht="15.6">
      <c r="A206" s="193"/>
      <c r="B206" s="193"/>
      <c r="C206" s="193"/>
      <c r="D206" s="193"/>
      <c r="E206" s="193"/>
      <c r="F206" s="193"/>
      <c r="G206" s="193"/>
      <c r="H206" s="81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 spans="1:27" ht="15.6">
      <c r="A207" s="193"/>
      <c r="B207" s="193"/>
      <c r="C207" s="193"/>
      <c r="D207" s="193"/>
      <c r="E207" s="193"/>
      <c r="F207" s="193"/>
      <c r="G207" s="193"/>
      <c r="H207" s="81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 spans="1:27" ht="15.6">
      <c r="A208" s="193"/>
      <c r="B208" s="193"/>
      <c r="C208" s="193"/>
      <c r="D208" s="193"/>
      <c r="E208" s="193"/>
      <c r="F208" s="193"/>
      <c r="G208" s="193"/>
      <c r="H208" s="81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 spans="1:27" ht="15.6">
      <c r="A209" s="193"/>
      <c r="B209" s="193"/>
      <c r="C209" s="193"/>
      <c r="D209" s="193"/>
      <c r="E209" s="193"/>
      <c r="F209" s="193"/>
      <c r="G209" s="193"/>
      <c r="H209" s="81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spans="1:27" ht="15.6">
      <c r="A210" s="193"/>
      <c r="B210" s="193"/>
      <c r="C210" s="193"/>
      <c r="D210" s="193"/>
      <c r="E210" s="193"/>
      <c r="F210" s="193"/>
      <c r="G210" s="193"/>
      <c r="H210" s="81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 spans="1:27" ht="15.6">
      <c r="A211" s="193"/>
      <c r="B211" s="193"/>
      <c r="C211" s="193"/>
      <c r="D211" s="193"/>
      <c r="E211" s="193"/>
      <c r="F211" s="193"/>
      <c r="G211" s="193"/>
      <c r="H211" s="81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 spans="1:27" ht="15.6">
      <c r="A212" s="193"/>
      <c r="B212" s="193"/>
      <c r="C212" s="193"/>
      <c r="D212" s="193"/>
      <c r="E212" s="193"/>
      <c r="F212" s="193"/>
      <c r="G212" s="193"/>
      <c r="H212" s="81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 spans="1:27" ht="15.6">
      <c r="A213" s="193"/>
      <c r="B213" s="193"/>
      <c r="C213" s="193"/>
      <c r="D213" s="193"/>
      <c r="E213" s="193"/>
      <c r="F213" s="193"/>
      <c r="G213" s="193"/>
      <c r="H213" s="81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 spans="1:27" ht="15.6">
      <c r="A214" s="193"/>
      <c r="B214" s="193"/>
      <c r="C214" s="193"/>
      <c r="D214" s="193"/>
      <c r="E214" s="193"/>
      <c r="F214" s="193"/>
      <c r="G214" s="193"/>
      <c r="H214" s="81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 spans="1:27" ht="15.6">
      <c r="A215" s="193"/>
      <c r="B215" s="193"/>
      <c r="C215" s="193"/>
      <c r="D215" s="193"/>
      <c r="E215" s="193"/>
      <c r="F215" s="193"/>
      <c r="G215" s="193"/>
      <c r="H215" s="81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 spans="1:27" ht="15.6">
      <c r="A216" s="193"/>
      <c r="B216" s="193"/>
      <c r="C216" s="193"/>
      <c r="D216" s="193"/>
      <c r="E216" s="193"/>
      <c r="F216" s="193"/>
      <c r="G216" s="193"/>
      <c r="H216" s="81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 spans="1:27" ht="15.6">
      <c r="A217" s="193"/>
      <c r="B217" s="193"/>
      <c r="C217" s="193"/>
      <c r="D217" s="193"/>
      <c r="E217" s="193"/>
      <c r="F217" s="193"/>
      <c r="G217" s="193"/>
      <c r="H217" s="81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 spans="1:27" ht="15.6">
      <c r="A218" s="193"/>
      <c r="B218" s="193"/>
      <c r="C218" s="193"/>
      <c r="D218" s="193"/>
      <c r="E218" s="193"/>
      <c r="F218" s="193"/>
      <c r="G218" s="193"/>
      <c r="H218" s="81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 spans="1:27" ht="15.6">
      <c r="A219" s="193"/>
      <c r="B219" s="193"/>
      <c r="C219" s="193"/>
      <c r="D219" s="193"/>
      <c r="E219" s="193"/>
      <c r="F219" s="193"/>
      <c r="G219" s="193"/>
      <c r="H219" s="81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 spans="1:27" ht="15.6">
      <c r="A220" s="193"/>
      <c r="B220" s="193"/>
      <c r="C220" s="193"/>
      <c r="D220" s="193"/>
      <c r="E220" s="193"/>
      <c r="F220" s="193"/>
      <c r="G220" s="193"/>
      <c r="H220" s="81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 spans="1:27" ht="15.6">
      <c r="A221" s="193"/>
      <c r="B221" s="193"/>
      <c r="C221" s="193"/>
      <c r="D221" s="193"/>
      <c r="E221" s="193"/>
      <c r="F221" s="193"/>
      <c r="G221" s="193"/>
      <c r="H221" s="81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 spans="1:27" ht="15.6">
      <c r="A222" s="193"/>
      <c r="B222" s="193"/>
      <c r="C222" s="193"/>
      <c r="D222" s="193"/>
      <c r="E222" s="193"/>
      <c r="F222" s="193"/>
      <c r="G222" s="193"/>
      <c r="H222" s="81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 spans="1:27" ht="15.6">
      <c r="A223" s="193"/>
      <c r="B223" s="193"/>
      <c r="C223" s="193"/>
      <c r="D223" s="193"/>
      <c r="E223" s="193"/>
      <c r="F223" s="193"/>
      <c r="G223" s="193"/>
      <c r="H223" s="81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 spans="1:27" ht="15.6">
      <c r="A224" s="193"/>
      <c r="B224" s="193"/>
      <c r="C224" s="193"/>
      <c r="D224" s="193"/>
      <c r="E224" s="193"/>
      <c r="F224" s="193"/>
      <c r="G224" s="193"/>
      <c r="H224" s="81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 spans="1:27" ht="15.6">
      <c r="A225" s="193"/>
      <c r="B225" s="193"/>
      <c r="C225" s="193"/>
      <c r="D225" s="193"/>
      <c r="E225" s="193"/>
      <c r="F225" s="193"/>
      <c r="G225" s="193"/>
      <c r="H225" s="81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 spans="1:27" ht="15.6">
      <c r="A226" s="193"/>
      <c r="B226" s="193"/>
      <c r="C226" s="193"/>
      <c r="D226" s="193"/>
      <c r="E226" s="193"/>
      <c r="F226" s="193"/>
      <c r="G226" s="193"/>
      <c r="H226" s="81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 spans="1:27" ht="15.6">
      <c r="A227" s="193"/>
      <c r="B227" s="193"/>
      <c r="C227" s="193"/>
      <c r="D227" s="193"/>
      <c r="E227" s="193"/>
      <c r="F227" s="193"/>
      <c r="G227" s="193"/>
      <c r="H227" s="81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 spans="1:27" ht="15.6">
      <c r="A228" s="193"/>
      <c r="B228" s="193"/>
      <c r="C228" s="193"/>
      <c r="D228" s="193"/>
      <c r="E228" s="193"/>
      <c r="F228" s="193"/>
      <c r="G228" s="193"/>
      <c r="H228" s="81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 spans="1:27" ht="15.6">
      <c r="A229" s="193"/>
      <c r="B229" s="193"/>
      <c r="C229" s="193"/>
      <c r="D229" s="193"/>
      <c r="E229" s="193"/>
      <c r="F229" s="193"/>
      <c r="G229" s="193"/>
      <c r="H229" s="81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 spans="1:27" ht="15.6">
      <c r="A230" s="193"/>
      <c r="B230" s="193"/>
      <c r="C230" s="193"/>
      <c r="D230" s="193"/>
      <c r="E230" s="193"/>
      <c r="F230" s="193"/>
      <c r="G230" s="193"/>
      <c r="H230" s="81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 spans="1:27" ht="15.6">
      <c r="A231" s="193"/>
      <c r="B231" s="193"/>
      <c r="C231" s="193"/>
      <c r="D231" s="193"/>
      <c r="E231" s="193"/>
      <c r="F231" s="193"/>
      <c r="G231" s="193"/>
      <c r="H231" s="81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 spans="1:27" ht="15.6">
      <c r="A232" s="193"/>
      <c r="B232" s="193"/>
      <c r="C232" s="193"/>
      <c r="D232" s="193"/>
      <c r="E232" s="193"/>
      <c r="F232" s="193"/>
      <c r="G232" s="193"/>
      <c r="H232" s="81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 spans="1:27" ht="15.6">
      <c r="A233" s="193"/>
      <c r="B233" s="193"/>
      <c r="C233" s="193"/>
      <c r="D233" s="193"/>
      <c r="E233" s="193"/>
      <c r="F233" s="193"/>
      <c r="G233" s="193"/>
      <c r="H233" s="81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 spans="1:27" ht="15.6">
      <c r="A234" s="193"/>
      <c r="B234" s="193"/>
      <c r="C234" s="193"/>
      <c r="D234" s="193"/>
      <c r="E234" s="193"/>
      <c r="F234" s="193"/>
      <c r="G234" s="193"/>
      <c r="H234" s="81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 spans="1:27" ht="15.6">
      <c r="A235" s="193"/>
      <c r="B235" s="193"/>
      <c r="C235" s="193"/>
      <c r="D235" s="193"/>
      <c r="E235" s="193"/>
      <c r="F235" s="193"/>
      <c r="G235" s="193"/>
      <c r="H235" s="81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 spans="1:27" ht="15.6">
      <c r="A236" s="193"/>
      <c r="B236" s="193"/>
      <c r="C236" s="193"/>
      <c r="D236" s="193"/>
      <c r="E236" s="193"/>
      <c r="F236" s="193"/>
      <c r="G236" s="193"/>
      <c r="H236" s="81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 spans="1:27" ht="15.6">
      <c r="A237" s="193"/>
      <c r="B237" s="193"/>
      <c r="C237" s="193"/>
      <c r="D237" s="193"/>
      <c r="E237" s="193"/>
      <c r="F237" s="193"/>
      <c r="G237" s="193"/>
      <c r="H237" s="81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 spans="1:27" ht="15.6">
      <c r="A238" s="193"/>
      <c r="B238" s="193"/>
      <c r="C238" s="193"/>
      <c r="D238" s="193"/>
      <c r="E238" s="193"/>
      <c r="F238" s="193"/>
      <c r="G238" s="193"/>
      <c r="H238" s="81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 spans="1:27" ht="15.6">
      <c r="A239" s="193"/>
      <c r="B239" s="193"/>
      <c r="C239" s="193"/>
      <c r="D239" s="193"/>
      <c r="E239" s="193"/>
      <c r="F239" s="193"/>
      <c r="G239" s="193"/>
      <c r="H239" s="81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 spans="1:27" ht="15.6">
      <c r="A240" s="193"/>
      <c r="B240" s="193"/>
      <c r="C240" s="193"/>
      <c r="D240" s="193"/>
      <c r="E240" s="193"/>
      <c r="F240" s="193"/>
      <c r="G240" s="193"/>
      <c r="H240" s="81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 spans="1:27" ht="15.6">
      <c r="A241" s="193"/>
      <c r="B241" s="193"/>
      <c r="C241" s="193"/>
      <c r="D241" s="193"/>
      <c r="E241" s="193"/>
      <c r="F241" s="193"/>
      <c r="G241" s="193"/>
      <c r="H241" s="81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 spans="1:27" ht="15.6">
      <c r="A242" s="193"/>
      <c r="B242" s="193"/>
      <c r="C242" s="193"/>
      <c r="D242" s="193"/>
      <c r="E242" s="193"/>
      <c r="F242" s="193"/>
      <c r="G242" s="193"/>
      <c r="H242" s="81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 spans="1:27" ht="15.6">
      <c r="A243" s="193"/>
      <c r="B243" s="193"/>
      <c r="C243" s="193"/>
      <c r="D243" s="193"/>
      <c r="E243" s="193"/>
      <c r="F243" s="193"/>
      <c r="G243" s="193"/>
      <c r="H243" s="81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 spans="1:27" ht="15.6">
      <c r="A244" s="193"/>
      <c r="B244" s="193"/>
      <c r="C244" s="193"/>
      <c r="D244" s="193"/>
      <c r="E244" s="193"/>
      <c r="F244" s="193"/>
      <c r="G244" s="193"/>
      <c r="H244" s="81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 spans="1:27" ht="15.6">
      <c r="A245" s="193"/>
      <c r="B245" s="193"/>
      <c r="C245" s="193"/>
      <c r="D245" s="193"/>
      <c r="E245" s="193"/>
      <c r="F245" s="193"/>
      <c r="G245" s="193"/>
      <c r="H245" s="81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 spans="1:27" ht="15.6">
      <c r="A246" s="193"/>
      <c r="B246" s="193"/>
      <c r="C246" s="193"/>
      <c r="D246" s="193"/>
      <c r="E246" s="193"/>
      <c r="F246" s="193"/>
      <c r="G246" s="193"/>
      <c r="H246" s="81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 spans="1:27" ht="15.6">
      <c r="A247" s="193"/>
      <c r="B247" s="193"/>
      <c r="C247" s="193"/>
      <c r="D247" s="193"/>
      <c r="E247" s="193"/>
      <c r="F247" s="193"/>
      <c r="G247" s="193"/>
      <c r="H247" s="81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 spans="1:27" ht="15.6">
      <c r="A248" s="193"/>
      <c r="B248" s="193"/>
      <c r="C248" s="193"/>
      <c r="D248" s="193"/>
      <c r="E248" s="193"/>
      <c r="F248" s="193"/>
      <c r="G248" s="193"/>
      <c r="H248" s="81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 spans="1:27" ht="15.6">
      <c r="A249" s="193"/>
      <c r="B249" s="193"/>
      <c r="C249" s="193"/>
      <c r="D249" s="193"/>
      <c r="E249" s="193"/>
      <c r="F249" s="193"/>
      <c r="G249" s="193"/>
      <c r="H249" s="81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 spans="1:27" ht="15.6">
      <c r="A250" s="193"/>
      <c r="B250" s="193"/>
      <c r="C250" s="193"/>
      <c r="D250" s="193"/>
      <c r="E250" s="193"/>
      <c r="F250" s="193"/>
      <c r="G250" s="193"/>
      <c r="H250" s="81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 spans="1:27" ht="15.6">
      <c r="A251" s="193"/>
      <c r="B251" s="193"/>
      <c r="C251" s="193"/>
      <c r="D251" s="193"/>
      <c r="E251" s="193"/>
      <c r="F251" s="193"/>
      <c r="G251" s="193"/>
      <c r="H251" s="81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 spans="1:27" ht="15.6">
      <c r="A252" s="193"/>
      <c r="B252" s="193"/>
      <c r="C252" s="193"/>
      <c r="D252" s="193"/>
      <c r="E252" s="193"/>
      <c r="F252" s="193"/>
      <c r="G252" s="193"/>
      <c r="H252" s="81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 spans="1:27" ht="15.6">
      <c r="A253" s="193"/>
      <c r="B253" s="193"/>
      <c r="C253" s="193"/>
      <c r="D253" s="193"/>
      <c r="E253" s="193"/>
      <c r="F253" s="193"/>
      <c r="G253" s="193"/>
      <c r="H253" s="81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 spans="1:27" ht="15.6">
      <c r="A254" s="193"/>
      <c r="B254" s="193"/>
      <c r="C254" s="193"/>
      <c r="D254" s="193"/>
      <c r="E254" s="193"/>
      <c r="F254" s="193"/>
      <c r="G254" s="193"/>
      <c r="H254" s="81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 spans="1:27" ht="15.6">
      <c r="A255" s="193"/>
      <c r="B255" s="193"/>
      <c r="C255" s="193"/>
      <c r="D255" s="193"/>
      <c r="E255" s="193"/>
      <c r="F255" s="193"/>
      <c r="G255" s="193"/>
      <c r="H255" s="81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 spans="1:27" ht="15.6">
      <c r="A256" s="193"/>
      <c r="B256" s="193"/>
      <c r="C256" s="193"/>
      <c r="D256" s="193"/>
      <c r="E256" s="193"/>
      <c r="F256" s="193"/>
      <c r="G256" s="193"/>
      <c r="H256" s="81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 spans="1:27" ht="15.6">
      <c r="A257" s="193"/>
      <c r="B257" s="193"/>
      <c r="C257" s="193"/>
      <c r="D257" s="193"/>
      <c r="E257" s="193"/>
      <c r="F257" s="193"/>
      <c r="G257" s="193"/>
      <c r="H257" s="81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 spans="1:27" ht="15.6">
      <c r="A258" s="193"/>
      <c r="B258" s="193"/>
      <c r="C258" s="193"/>
      <c r="D258" s="193"/>
      <c r="E258" s="193"/>
      <c r="F258" s="193"/>
      <c r="G258" s="193"/>
      <c r="H258" s="81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 spans="1:27" ht="15.6">
      <c r="A259" s="193"/>
      <c r="B259" s="193"/>
      <c r="C259" s="193"/>
      <c r="D259" s="193"/>
      <c r="E259" s="193"/>
      <c r="F259" s="193"/>
      <c r="G259" s="193"/>
      <c r="H259" s="81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 spans="1:27" ht="15.6">
      <c r="A260" s="193"/>
      <c r="B260" s="193"/>
      <c r="C260" s="193"/>
      <c r="D260" s="193"/>
      <c r="E260" s="193"/>
      <c r="F260" s="193"/>
      <c r="G260" s="193"/>
      <c r="H260" s="81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 spans="1:27" ht="15.6">
      <c r="A261" s="193"/>
      <c r="B261" s="193"/>
      <c r="C261" s="193"/>
      <c r="D261" s="193"/>
      <c r="E261" s="193"/>
      <c r="F261" s="193"/>
      <c r="G261" s="193"/>
      <c r="H261" s="81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 spans="1:27" ht="15.6">
      <c r="A262" s="193"/>
      <c r="B262" s="193"/>
      <c r="C262" s="193"/>
      <c r="D262" s="193"/>
      <c r="E262" s="193"/>
      <c r="F262" s="193"/>
      <c r="G262" s="193"/>
      <c r="H262" s="81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 spans="1:27" ht="15.6">
      <c r="A263" s="193"/>
      <c r="B263" s="193"/>
      <c r="C263" s="193"/>
      <c r="D263" s="193"/>
      <c r="E263" s="193"/>
      <c r="F263" s="193"/>
      <c r="G263" s="193"/>
      <c r="H263" s="81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 spans="1:27" ht="15.6">
      <c r="A264" s="193"/>
      <c r="B264" s="193"/>
      <c r="C264" s="193"/>
      <c r="D264" s="193"/>
      <c r="E264" s="193"/>
      <c r="F264" s="193"/>
      <c r="G264" s="193"/>
      <c r="H264" s="81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 spans="1:27" ht="15.6">
      <c r="A265" s="193"/>
      <c r="B265" s="193"/>
      <c r="C265" s="193"/>
      <c r="D265" s="193"/>
      <c r="E265" s="193"/>
      <c r="F265" s="193"/>
      <c r="G265" s="193"/>
      <c r="H265" s="81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 spans="1:27" ht="15.6">
      <c r="A266" s="193"/>
      <c r="B266" s="193"/>
      <c r="C266" s="193"/>
      <c r="D266" s="193"/>
      <c r="E266" s="193"/>
      <c r="F266" s="193"/>
      <c r="G266" s="193"/>
      <c r="H266" s="81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 spans="1:27" ht="15.6">
      <c r="A267" s="193"/>
      <c r="B267" s="193"/>
      <c r="C267" s="193"/>
      <c r="D267" s="193"/>
      <c r="E267" s="193"/>
      <c r="F267" s="193"/>
      <c r="G267" s="193"/>
      <c r="H267" s="81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 spans="1:27" ht="15.6">
      <c r="A268" s="193"/>
      <c r="B268" s="193"/>
      <c r="C268" s="193"/>
      <c r="D268" s="193"/>
      <c r="E268" s="193"/>
      <c r="F268" s="193"/>
      <c r="G268" s="193"/>
      <c r="H268" s="81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 spans="1:27" ht="15.6">
      <c r="A269" s="193"/>
      <c r="B269" s="193"/>
      <c r="C269" s="193"/>
      <c r="D269" s="193"/>
      <c r="E269" s="193"/>
      <c r="F269" s="193"/>
      <c r="G269" s="193"/>
      <c r="H269" s="81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 spans="1:27" ht="15.6">
      <c r="A270" s="193"/>
      <c r="B270" s="193"/>
      <c r="C270" s="193"/>
      <c r="D270" s="193"/>
      <c r="E270" s="193"/>
      <c r="F270" s="193"/>
      <c r="G270" s="193"/>
      <c r="H270" s="81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 spans="1:27" ht="15.6">
      <c r="A271" s="193"/>
      <c r="B271" s="193"/>
      <c r="C271" s="193"/>
      <c r="D271" s="193"/>
      <c r="E271" s="193"/>
      <c r="F271" s="193"/>
      <c r="G271" s="193"/>
      <c r="H271" s="81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 spans="1:27" ht="15.6">
      <c r="A272" s="193"/>
      <c r="B272" s="193"/>
      <c r="C272" s="193"/>
      <c r="D272" s="193"/>
      <c r="E272" s="193"/>
      <c r="F272" s="193"/>
      <c r="G272" s="193"/>
      <c r="H272" s="81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 spans="1:27" ht="15.6">
      <c r="A273" s="193"/>
      <c r="B273" s="193"/>
      <c r="C273" s="193"/>
      <c r="D273" s="193"/>
      <c r="E273" s="193"/>
      <c r="F273" s="193"/>
      <c r="G273" s="193"/>
      <c r="H273" s="81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 spans="1:27" ht="15.6">
      <c r="A274" s="193"/>
      <c r="B274" s="193"/>
      <c r="C274" s="193"/>
      <c r="D274" s="193"/>
      <c r="E274" s="193"/>
      <c r="F274" s="193"/>
      <c r="G274" s="193"/>
      <c r="H274" s="81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 spans="1:27" ht="15.6">
      <c r="A275" s="193"/>
      <c r="B275" s="193"/>
      <c r="C275" s="193"/>
      <c r="D275" s="193"/>
      <c r="E275" s="193"/>
      <c r="F275" s="193"/>
      <c r="G275" s="193"/>
      <c r="H275" s="81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 spans="1:27" ht="15.6">
      <c r="A276" s="193"/>
      <c r="B276" s="193"/>
      <c r="C276" s="193"/>
      <c r="D276" s="193"/>
      <c r="E276" s="193"/>
      <c r="F276" s="193"/>
      <c r="G276" s="193"/>
      <c r="H276" s="81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 spans="1:27" ht="15.6">
      <c r="A277" s="193"/>
      <c r="B277" s="193"/>
      <c r="C277" s="193"/>
      <c r="D277" s="193"/>
      <c r="E277" s="193"/>
      <c r="F277" s="193"/>
      <c r="G277" s="193"/>
      <c r="H277" s="81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 spans="1:27" ht="15.6">
      <c r="A278" s="193"/>
      <c r="B278" s="193"/>
      <c r="C278" s="193"/>
      <c r="D278" s="193"/>
      <c r="E278" s="193"/>
      <c r="F278" s="193"/>
      <c r="G278" s="193"/>
      <c r="H278" s="81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 spans="1:27" ht="15.6">
      <c r="A279" s="193"/>
      <c r="B279" s="193"/>
      <c r="C279" s="193"/>
      <c r="D279" s="193"/>
      <c r="E279" s="193"/>
      <c r="F279" s="193"/>
      <c r="G279" s="193"/>
      <c r="H279" s="81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 spans="1:27" ht="15.6">
      <c r="A280" s="193"/>
      <c r="B280" s="193"/>
      <c r="C280" s="193"/>
      <c r="D280" s="193"/>
      <c r="E280" s="193"/>
      <c r="F280" s="193"/>
      <c r="G280" s="193"/>
      <c r="H280" s="81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 spans="1:27" ht="15.6">
      <c r="A281" s="193"/>
      <c r="B281" s="193"/>
      <c r="C281" s="193"/>
      <c r="D281" s="193"/>
      <c r="E281" s="193"/>
      <c r="F281" s="193"/>
      <c r="G281" s="193"/>
      <c r="H281" s="81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 spans="1:27" ht="15.6">
      <c r="A282" s="193"/>
      <c r="B282" s="193"/>
      <c r="C282" s="193"/>
      <c r="D282" s="193"/>
      <c r="E282" s="193"/>
      <c r="F282" s="193"/>
      <c r="G282" s="193"/>
      <c r="H282" s="81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 spans="1:27" ht="15.6">
      <c r="A283" s="193"/>
      <c r="B283" s="193"/>
      <c r="C283" s="193"/>
      <c r="D283" s="193"/>
      <c r="E283" s="193"/>
      <c r="F283" s="193"/>
      <c r="G283" s="193"/>
      <c r="H283" s="81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 spans="1:27" ht="15.6">
      <c r="A284" s="193"/>
      <c r="B284" s="193"/>
      <c r="C284" s="193"/>
      <c r="D284" s="193"/>
      <c r="E284" s="193"/>
      <c r="F284" s="193"/>
      <c r="G284" s="193"/>
      <c r="H284" s="81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 spans="1:27" ht="15.6">
      <c r="A285" s="193"/>
      <c r="B285" s="193"/>
      <c r="C285" s="193"/>
      <c r="D285" s="193"/>
      <c r="E285" s="193"/>
      <c r="F285" s="193"/>
      <c r="G285" s="193"/>
      <c r="H285" s="81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 spans="1:27" ht="15.6">
      <c r="A286" s="193"/>
      <c r="B286" s="193"/>
      <c r="C286" s="193"/>
      <c r="D286" s="193"/>
      <c r="E286" s="193"/>
      <c r="F286" s="193"/>
      <c r="G286" s="193"/>
      <c r="H286" s="81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 spans="1:27" ht="15.6">
      <c r="A287" s="193"/>
      <c r="B287" s="193"/>
      <c r="C287" s="193"/>
      <c r="D287" s="193"/>
      <c r="E287" s="193"/>
      <c r="F287" s="193"/>
      <c r="G287" s="193"/>
      <c r="H287" s="81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 spans="1:27" ht="15.6">
      <c r="A288" s="193"/>
      <c r="B288" s="193"/>
      <c r="C288" s="193"/>
      <c r="D288" s="193"/>
      <c r="E288" s="193"/>
      <c r="F288" s="193"/>
      <c r="G288" s="193"/>
      <c r="H288" s="81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 spans="1:27" ht="15.6">
      <c r="A289" s="193"/>
      <c r="B289" s="193"/>
      <c r="C289" s="193"/>
      <c r="D289" s="193"/>
      <c r="E289" s="193"/>
      <c r="F289" s="193"/>
      <c r="G289" s="193"/>
      <c r="H289" s="81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 spans="1:27" ht="15.6">
      <c r="A290" s="193"/>
      <c r="B290" s="193"/>
      <c r="C290" s="193"/>
      <c r="D290" s="193"/>
      <c r="E290" s="193"/>
      <c r="F290" s="193"/>
      <c r="G290" s="193"/>
      <c r="H290" s="81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 spans="1:27" ht="15.6">
      <c r="A291" s="193"/>
      <c r="B291" s="193"/>
      <c r="C291" s="193"/>
      <c r="D291" s="193"/>
      <c r="E291" s="193"/>
      <c r="F291" s="193"/>
      <c r="G291" s="193"/>
      <c r="H291" s="81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 spans="1:27" ht="15.6">
      <c r="A292" s="193"/>
      <c r="B292" s="193"/>
      <c r="C292" s="193"/>
      <c r="D292" s="193"/>
      <c r="E292" s="193"/>
      <c r="F292" s="193"/>
      <c r="G292" s="193"/>
      <c r="H292" s="81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 spans="1:27" ht="15.6">
      <c r="A293" s="193"/>
      <c r="B293" s="193"/>
      <c r="C293" s="193"/>
      <c r="D293" s="193"/>
      <c r="E293" s="193"/>
      <c r="F293" s="193"/>
      <c r="G293" s="193"/>
      <c r="H293" s="81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 spans="1:27" ht="15.6">
      <c r="A294" s="193"/>
      <c r="B294" s="193"/>
      <c r="C294" s="193"/>
      <c r="D294" s="193"/>
      <c r="E294" s="193"/>
      <c r="F294" s="193"/>
      <c r="G294" s="193"/>
      <c r="H294" s="81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 spans="1:27" ht="15.6">
      <c r="A295" s="193"/>
      <c r="B295" s="193"/>
      <c r="C295" s="193"/>
      <c r="D295" s="193"/>
      <c r="E295" s="193"/>
      <c r="F295" s="193"/>
      <c r="G295" s="193"/>
      <c r="H295" s="81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 spans="1:27" ht="15.6">
      <c r="A296" s="193"/>
      <c r="B296" s="193"/>
      <c r="C296" s="193"/>
      <c r="D296" s="193"/>
      <c r="E296" s="193"/>
      <c r="F296" s="193"/>
      <c r="G296" s="193"/>
      <c r="H296" s="81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 spans="1:27" ht="15.6">
      <c r="A297" s="193"/>
      <c r="B297" s="193"/>
      <c r="C297" s="193"/>
      <c r="D297" s="193"/>
      <c r="E297" s="193"/>
      <c r="F297" s="193"/>
      <c r="G297" s="193"/>
      <c r="H297" s="81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 spans="1:27" ht="15.6">
      <c r="A298" s="193"/>
      <c r="B298" s="193"/>
      <c r="C298" s="193"/>
      <c r="D298" s="193"/>
      <c r="E298" s="193"/>
      <c r="F298" s="193"/>
      <c r="G298" s="193"/>
      <c r="H298" s="81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 spans="1:27" ht="15.6">
      <c r="A299" s="193"/>
      <c r="B299" s="193"/>
      <c r="C299" s="193"/>
      <c r="D299" s="193"/>
      <c r="E299" s="193"/>
      <c r="F299" s="193"/>
      <c r="G299" s="193"/>
      <c r="H299" s="81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 spans="1:27" ht="15.6">
      <c r="A300" s="193"/>
      <c r="B300" s="193"/>
      <c r="C300" s="193"/>
      <c r="D300" s="193"/>
      <c r="E300" s="193"/>
      <c r="F300" s="193"/>
      <c r="G300" s="193"/>
      <c r="H300" s="81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 spans="1:27" ht="15.6">
      <c r="A301" s="193"/>
      <c r="B301" s="193"/>
      <c r="C301" s="193"/>
      <c r="D301" s="193"/>
      <c r="E301" s="193"/>
      <c r="F301" s="193"/>
      <c r="G301" s="193"/>
      <c r="H301" s="81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 spans="1:27" ht="15.6">
      <c r="A302" s="193"/>
      <c r="B302" s="193"/>
      <c r="C302" s="193"/>
      <c r="D302" s="193"/>
      <c r="E302" s="193"/>
      <c r="F302" s="193"/>
      <c r="G302" s="193"/>
      <c r="H302" s="81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 spans="1:27" ht="15.6">
      <c r="A303" s="193"/>
      <c r="B303" s="193"/>
      <c r="C303" s="193"/>
      <c r="D303" s="193"/>
      <c r="E303" s="193"/>
      <c r="F303" s="193"/>
      <c r="G303" s="193"/>
      <c r="H303" s="81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 spans="1:27" ht="15.6">
      <c r="A304" s="193"/>
      <c r="B304" s="193"/>
      <c r="C304" s="193"/>
      <c r="D304" s="193"/>
      <c r="E304" s="193"/>
      <c r="F304" s="193"/>
      <c r="G304" s="193"/>
      <c r="H304" s="81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 spans="1:27" ht="15.6">
      <c r="A305" s="193"/>
      <c r="B305" s="193"/>
      <c r="C305" s="193"/>
      <c r="D305" s="193"/>
      <c r="E305" s="193"/>
      <c r="F305" s="193"/>
      <c r="G305" s="193"/>
      <c r="H305" s="81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 spans="1:27" ht="15.6">
      <c r="A306" s="193"/>
      <c r="B306" s="193"/>
      <c r="C306" s="193"/>
      <c r="D306" s="193"/>
      <c r="E306" s="193"/>
      <c r="F306" s="193"/>
      <c r="G306" s="193"/>
      <c r="H306" s="81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 spans="1:27" ht="15.6">
      <c r="A307" s="193"/>
      <c r="B307" s="193"/>
      <c r="C307" s="193"/>
      <c r="D307" s="193"/>
      <c r="E307" s="193"/>
      <c r="F307" s="193"/>
      <c r="G307" s="193"/>
      <c r="H307" s="81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 spans="1:27" ht="15.6">
      <c r="A308" s="193"/>
      <c r="B308" s="193"/>
      <c r="C308" s="193"/>
      <c r="D308" s="193"/>
      <c r="E308" s="193"/>
      <c r="F308" s="193"/>
      <c r="G308" s="193"/>
      <c r="H308" s="81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 spans="1:27" ht="15.6">
      <c r="A309" s="193"/>
      <c r="B309" s="193"/>
      <c r="C309" s="193"/>
      <c r="D309" s="193"/>
      <c r="E309" s="193"/>
      <c r="F309" s="193"/>
      <c r="G309" s="193"/>
      <c r="H309" s="81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 spans="1:27" ht="15.6">
      <c r="A310" s="193"/>
      <c r="B310" s="193"/>
      <c r="C310" s="193"/>
      <c r="D310" s="193"/>
      <c r="E310" s="193"/>
      <c r="F310" s="193"/>
      <c r="G310" s="193"/>
      <c r="H310" s="81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 spans="1:27" ht="15.6">
      <c r="A311" s="193"/>
      <c r="B311" s="193"/>
      <c r="C311" s="193"/>
      <c r="D311" s="193"/>
      <c r="E311" s="193"/>
      <c r="F311" s="193"/>
      <c r="G311" s="193"/>
      <c r="H311" s="81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 spans="1:27" ht="15.6">
      <c r="A312" s="193"/>
      <c r="B312" s="193"/>
      <c r="C312" s="193"/>
      <c r="D312" s="193"/>
      <c r="E312" s="193"/>
      <c r="F312" s="193"/>
      <c r="G312" s="193"/>
      <c r="H312" s="81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 spans="1:27" ht="15.6">
      <c r="A313" s="193"/>
      <c r="B313" s="193"/>
      <c r="C313" s="193"/>
      <c r="D313" s="193"/>
      <c r="E313" s="193"/>
      <c r="F313" s="193"/>
      <c r="G313" s="193"/>
      <c r="H313" s="81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 spans="1:27" ht="15.6">
      <c r="A314" s="193"/>
      <c r="B314" s="193"/>
      <c r="C314" s="193"/>
      <c r="D314" s="193"/>
      <c r="E314" s="193"/>
      <c r="F314" s="193"/>
      <c r="G314" s="193"/>
      <c r="H314" s="81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 spans="1:27" ht="15.6">
      <c r="A315" s="193"/>
      <c r="B315" s="193"/>
      <c r="C315" s="193"/>
      <c r="D315" s="193"/>
      <c r="E315" s="193"/>
      <c r="F315" s="193"/>
      <c r="G315" s="193"/>
      <c r="H315" s="81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 spans="1:27" ht="15.6">
      <c r="A316" s="193"/>
      <c r="B316" s="193"/>
      <c r="C316" s="193"/>
      <c r="D316" s="193"/>
      <c r="E316" s="193"/>
      <c r="F316" s="193"/>
      <c r="G316" s="193"/>
      <c r="H316" s="81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 spans="1:27" ht="15.6">
      <c r="A317" s="193"/>
      <c r="B317" s="193"/>
      <c r="C317" s="193"/>
      <c r="D317" s="193"/>
      <c r="E317" s="193"/>
      <c r="F317" s="193"/>
      <c r="G317" s="193"/>
      <c r="H317" s="81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 spans="1:27" ht="15.6">
      <c r="A318" s="193"/>
      <c r="B318" s="193"/>
      <c r="C318" s="193"/>
      <c r="D318" s="193"/>
      <c r="E318" s="193"/>
      <c r="F318" s="193"/>
      <c r="G318" s="193"/>
      <c r="H318" s="81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 spans="1:27" ht="15.6">
      <c r="A319" s="193"/>
      <c r="B319" s="193"/>
      <c r="C319" s="193"/>
      <c r="D319" s="193"/>
      <c r="E319" s="193"/>
      <c r="F319" s="193"/>
      <c r="G319" s="193"/>
      <c r="H319" s="81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 spans="1:27" ht="15.6">
      <c r="A320" s="193"/>
      <c r="B320" s="193"/>
      <c r="C320" s="193"/>
      <c r="D320" s="193"/>
      <c r="E320" s="193"/>
      <c r="F320" s="193"/>
      <c r="G320" s="193"/>
      <c r="H320" s="81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 spans="1:27" ht="15.6">
      <c r="A321" s="193"/>
      <c r="B321" s="193"/>
      <c r="C321" s="193"/>
      <c r="D321" s="193"/>
      <c r="E321" s="193"/>
      <c r="F321" s="193"/>
      <c r="G321" s="193"/>
      <c r="H321" s="81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 spans="1:27" ht="15.6">
      <c r="A322" s="193"/>
      <c r="B322" s="193"/>
      <c r="C322" s="193"/>
      <c r="D322" s="193"/>
      <c r="E322" s="193"/>
      <c r="F322" s="193"/>
      <c r="G322" s="193"/>
      <c r="H322" s="81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 spans="1:27" ht="15.6">
      <c r="A323" s="193"/>
      <c r="B323" s="193"/>
      <c r="C323" s="193"/>
      <c r="D323" s="193"/>
      <c r="E323" s="193"/>
      <c r="F323" s="193"/>
      <c r="G323" s="193"/>
      <c r="H323" s="81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 spans="1:27" ht="15.6">
      <c r="A324" s="193"/>
      <c r="B324" s="193"/>
      <c r="C324" s="193"/>
      <c r="D324" s="193"/>
      <c r="E324" s="193"/>
      <c r="F324" s="193"/>
      <c r="G324" s="193"/>
      <c r="H324" s="81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 spans="1:27" ht="15.6">
      <c r="A325" s="193"/>
      <c r="B325" s="193"/>
      <c r="C325" s="193"/>
      <c r="D325" s="193"/>
      <c r="E325" s="193"/>
      <c r="F325" s="193"/>
      <c r="G325" s="193"/>
      <c r="H325" s="81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 spans="1:27" ht="15.6">
      <c r="A326" s="193"/>
      <c r="B326" s="193"/>
      <c r="C326" s="193"/>
      <c r="D326" s="193"/>
      <c r="E326" s="193"/>
      <c r="F326" s="193"/>
      <c r="G326" s="193"/>
      <c r="H326" s="81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 spans="1:27" ht="15.6">
      <c r="A327" s="193"/>
      <c r="B327" s="193"/>
      <c r="C327" s="193"/>
      <c r="D327" s="193"/>
      <c r="E327" s="193"/>
      <c r="F327" s="193"/>
      <c r="G327" s="193"/>
      <c r="H327" s="81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 spans="1:27" ht="15.6">
      <c r="A328" s="193"/>
      <c r="B328" s="193"/>
      <c r="C328" s="193"/>
      <c r="D328" s="193"/>
      <c r="E328" s="193"/>
      <c r="F328" s="193"/>
      <c r="G328" s="193"/>
      <c r="H328" s="81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 spans="1:27" ht="15.6">
      <c r="A329" s="193"/>
      <c r="B329" s="193"/>
      <c r="C329" s="193"/>
      <c r="D329" s="193"/>
      <c r="E329" s="193"/>
      <c r="F329" s="193"/>
      <c r="G329" s="193"/>
      <c r="H329" s="81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 spans="1:27" ht="15.6">
      <c r="A330" s="193"/>
      <c r="B330" s="193"/>
      <c r="C330" s="193"/>
      <c r="D330" s="193"/>
      <c r="E330" s="193"/>
      <c r="F330" s="193"/>
      <c r="G330" s="193"/>
      <c r="H330" s="81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 spans="1:27" ht="15.6">
      <c r="A331" s="193"/>
      <c r="B331" s="193"/>
      <c r="C331" s="193"/>
      <c r="D331" s="193"/>
      <c r="E331" s="193"/>
      <c r="F331" s="193"/>
      <c r="G331" s="193"/>
      <c r="H331" s="81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 spans="1:27" ht="15.6">
      <c r="A332" s="193"/>
      <c r="B332" s="193"/>
      <c r="C332" s="193"/>
      <c r="D332" s="193"/>
      <c r="E332" s="193"/>
      <c r="F332" s="193"/>
      <c r="G332" s="193"/>
      <c r="H332" s="81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 spans="1:27" ht="15.6">
      <c r="A333" s="193"/>
      <c r="B333" s="193"/>
      <c r="C333" s="193"/>
      <c r="D333" s="193"/>
      <c r="E333" s="193"/>
      <c r="F333" s="193"/>
      <c r="G333" s="193"/>
      <c r="H333" s="81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 spans="1:27" ht="15.6">
      <c r="A334" s="193"/>
      <c r="B334" s="193"/>
      <c r="C334" s="193"/>
      <c r="D334" s="193"/>
      <c r="E334" s="193"/>
      <c r="F334" s="193"/>
      <c r="G334" s="193"/>
      <c r="H334" s="81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 spans="1:27" ht="15.6">
      <c r="A335" s="193"/>
      <c r="B335" s="193"/>
      <c r="C335" s="193"/>
      <c r="D335" s="193"/>
      <c r="E335" s="193"/>
      <c r="F335" s="193"/>
      <c r="G335" s="193"/>
      <c r="H335" s="81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 spans="1:27" ht="15.6">
      <c r="A336" s="193"/>
      <c r="B336" s="193"/>
      <c r="C336" s="193"/>
      <c r="D336" s="193"/>
      <c r="E336" s="193"/>
      <c r="F336" s="193"/>
      <c r="G336" s="193"/>
      <c r="H336" s="81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 spans="1:27" ht="15.6">
      <c r="A337" s="193"/>
      <c r="B337" s="193"/>
      <c r="C337" s="193"/>
      <c r="D337" s="193"/>
      <c r="E337" s="193"/>
      <c r="F337" s="193"/>
      <c r="G337" s="193"/>
      <c r="H337" s="81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 spans="1:27" ht="15.6">
      <c r="A338" s="193"/>
      <c r="B338" s="193"/>
      <c r="C338" s="193"/>
      <c r="D338" s="193"/>
      <c r="E338" s="193"/>
      <c r="F338" s="193"/>
      <c r="G338" s="193"/>
      <c r="H338" s="81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 spans="1:27" ht="15.6">
      <c r="A339" s="193"/>
      <c r="B339" s="193"/>
      <c r="C339" s="193"/>
      <c r="D339" s="193"/>
      <c r="E339" s="193"/>
      <c r="F339" s="193"/>
      <c r="G339" s="193"/>
      <c r="H339" s="81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 spans="1:27" ht="15.6">
      <c r="A340" s="193"/>
      <c r="B340" s="193"/>
      <c r="C340" s="193"/>
      <c r="D340" s="193"/>
      <c r="E340" s="193"/>
      <c r="F340" s="193"/>
      <c r="G340" s="193"/>
      <c r="H340" s="81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 spans="1:27" ht="15.6">
      <c r="A341" s="193"/>
      <c r="B341" s="193"/>
      <c r="C341" s="193"/>
      <c r="D341" s="193"/>
      <c r="E341" s="193"/>
      <c r="F341" s="193"/>
      <c r="G341" s="193"/>
      <c r="H341" s="81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 spans="1:27" ht="15.6">
      <c r="A342" s="193"/>
      <c r="B342" s="193"/>
      <c r="C342" s="193"/>
      <c r="D342" s="193"/>
      <c r="E342" s="193"/>
      <c r="F342" s="193"/>
      <c r="G342" s="193"/>
      <c r="H342" s="81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 spans="1:27" ht="15.6">
      <c r="A343" s="193"/>
      <c r="B343" s="193"/>
      <c r="C343" s="193"/>
      <c r="D343" s="193"/>
      <c r="E343" s="193"/>
      <c r="F343" s="193"/>
      <c r="G343" s="193"/>
      <c r="H343" s="81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 spans="1:27" ht="15.6">
      <c r="A344" s="193"/>
      <c r="B344" s="193"/>
      <c r="C344" s="193"/>
      <c r="D344" s="193"/>
      <c r="E344" s="193"/>
      <c r="F344" s="193"/>
      <c r="G344" s="193"/>
      <c r="H344" s="81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 spans="1:27" ht="15.6">
      <c r="A345" s="193"/>
      <c r="B345" s="193"/>
      <c r="C345" s="193"/>
      <c r="D345" s="193"/>
      <c r="E345" s="193"/>
      <c r="F345" s="193"/>
      <c r="G345" s="193"/>
      <c r="H345" s="81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 spans="1:27" ht="15.6">
      <c r="A346" s="193"/>
      <c r="B346" s="193"/>
      <c r="C346" s="193"/>
      <c r="D346" s="193"/>
      <c r="E346" s="193"/>
      <c r="F346" s="193"/>
      <c r="G346" s="193"/>
      <c r="H346" s="81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 spans="1:27" ht="15.6">
      <c r="A347" s="193"/>
      <c r="B347" s="193"/>
      <c r="C347" s="193"/>
      <c r="D347" s="193"/>
      <c r="E347" s="193"/>
      <c r="F347" s="193"/>
      <c r="G347" s="193"/>
      <c r="H347" s="81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 spans="1:27" ht="15.6">
      <c r="A348" s="193"/>
      <c r="B348" s="193"/>
      <c r="C348" s="193"/>
      <c r="D348" s="193"/>
      <c r="E348" s="193"/>
      <c r="F348" s="193"/>
      <c r="G348" s="193"/>
      <c r="H348" s="81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 spans="1:27" ht="15.6">
      <c r="A349" s="193"/>
      <c r="B349" s="193"/>
      <c r="C349" s="193"/>
      <c r="D349" s="193"/>
      <c r="E349" s="193"/>
      <c r="F349" s="193"/>
      <c r="G349" s="193"/>
      <c r="H349" s="81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 spans="1:27" ht="15.6">
      <c r="A350" s="193"/>
      <c r="B350" s="193"/>
      <c r="C350" s="193"/>
      <c r="D350" s="193"/>
      <c r="E350" s="193"/>
      <c r="F350" s="193"/>
      <c r="G350" s="193"/>
      <c r="H350" s="81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 spans="1:27" ht="15.6">
      <c r="A351" s="193"/>
      <c r="B351" s="193"/>
      <c r="C351" s="193"/>
      <c r="D351" s="193"/>
      <c r="E351" s="193"/>
      <c r="F351" s="193"/>
      <c r="G351" s="193"/>
      <c r="H351" s="81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 spans="1:27" ht="15.6">
      <c r="A352" s="193"/>
      <c r="B352" s="193"/>
      <c r="C352" s="193"/>
      <c r="D352" s="193"/>
      <c r="E352" s="193"/>
      <c r="F352" s="193"/>
      <c r="G352" s="193"/>
      <c r="H352" s="81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 spans="1:27" ht="15.6">
      <c r="A353" s="193"/>
      <c r="B353" s="193"/>
      <c r="C353" s="193"/>
      <c r="D353" s="193"/>
      <c r="E353" s="193"/>
      <c r="F353" s="193"/>
      <c r="G353" s="193"/>
      <c r="H353" s="81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 spans="1:27" ht="15.6">
      <c r="A354" s="193"/>
      <c r="B354" s="193"/>
      <c r="C354" s="193"/>
      <c r="D354" s="193"/>
      <c r="E354" s="193"/>
      <c r="F354" s="193"/>
      <c r="G354" s="193"/>
      <c r="H354" s="81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 spans="1:27" ht="15.6">
      <c r="A355" s="193"/>
      <c r="B355" s="193"/>
      <c r="C355" s="193"/>
      <c r="D355" s="193"/>
      <c r="E355" s="193"/>
      <c r="F355" s="193"/>
      <c r="G355" s="193"/>
      <c r="H355" s="81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 spans="1:27" ht="15.6">
      <c r="A356" s="193"/>
      <c r="B356" s="193"/>
      <c r="C356" s="193"/>
      <c r="D356" s="193"/>
      <c r="E356" s="193"/>
      <c r="F356" s="193"/>
      <c r="G356" s="193"/>
      <c r="H356" s="81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 spans="1:27" ht="15.6">
      <c r="A357" s="193"/>
      <c r="B357" s="193"/>
      <c r="C357" s="193"/>
      <c r="D357" s="193"/>
      <c r="E357" s="193"/>
      <c r="F357" s="193"/>
      <c r="G357" s="193"/>
      <c r="H357" s="81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 spans="1:27" ht="15.6">
      <c r="A358" s="193"/>
      <c r="B358" s="193"/>
      <c r="C358" s="193"/>
      <c r="D358" s="193"/>
      <c r="E358" s="193"/>
      <c r="F358" s="193"/>
      <c r="G358" s="193"/>
      <c r="H358" s="81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 spans="1:27" ht="15.6">
      <c r="A359" s="193"/>
      <c r="B359" s="193"/>
      <c r="C359" s="193"/>
      <c r="D359" s="193"/>
      <c r="E359" s="193"/>
      <c r="F359" s="193"/>
      <c r="G359" s="193"/>
      <c r="H359" s="81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 spans="1:27" ht="15.6">
      <c r="A360" s="193"/>
      <c r="B360" s="193"/>
      <c r="C360" s="193"/>
      <c r="D360" s="193"/>
      <c r="E360" s="193"/>
      <c r="F360" s="193"/>
      <c r="G360" s="193"/>
      <c r="H360" s="81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 spans="1:27" ht="15.6">
      <c r="A361" s="193"/>
      <c r="B361" s="193"/>
      <c r="C361" s="193"/>
      <c r="D361" s="193"/>
      <c r="E361" s="193"/>
      <c r="F361" s="193"/>
      <c r="G361" s="193"/>
      <c r="H361" s="81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 spans="1:27" ht="15.6">
      <c r="A362" s="193"/>
      <c r="B362" s="193"/>
      <c r="C362" s="193"/>
      <c r="D362" s="193"/>
      <c r="E362" s="193"/>
      <c r="F362" s="193"/>
      <c r="G362" s="193"/>
      <c r="H362" s="81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 spans="1:27" ht="15.6">
      <c r="A363" s="193"/>
      <c r="B363" s="193"/>
      <c r="C363" s="193"/>
      <c r="D363" s="193"/>
      <c r="E363" s="193"/>
      <c r="F363" s="193"/>
      <c r="G363" s="193"/>
      <c r="H363" s="81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 spans="1:27" ht="15.6">
      <c r="A364" s="193"/>
      <c r="B364" s="193"/>
      <c r="C364" s="193"/>
      <c r="D364" s="193"/>
      <c r="E364" s="193"/>
      <c r="F364" s="193"/>
      <c r="G364" s="193"/>
      <c r="H364" s="81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 spans="1:27" ht="15.6">
      <c r="A365" s="193"/>
      <c r="B365" s="193"/>
      <c r="C365" s="193"/>
      <c r="D365" s="193"/>
      <c r="E365" s="193"/>
      <c r="F365" s="193"/>
      <c r="G365" s="193"/>
      <c r="H365" s="81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 spans="1:27" ht="15.6">
      <c r="A366" s="193"/>
      <c r="B366" s="193"/>
      <c r="C366" s="193"/>
      <c r="D366" s="193"/>
      <c r="E366" s="193"/>
      <c r="F366" s="193"/>
      <c r="G366" s="193"/>
      <c r="H366" s="81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 spans="1:27" ht="15.6">
      <c r="A367" s="193"/>
      <c r="B367" s="193"/>
      <c r="C367" s="193"/>
      <c r="D367" s="193"/>
      <c r="E367" s="193"/>
      <c r="F367" s="193"/>
      <c r="G367" s="193"/>
      <c r="H367" s="81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 spans="1:27" ht="15.6">
      <c r="A368" s="193"/>
      <c r="B368" s="193"/>
      <c r="C368" s="193"/>
      <c r="D368" s="193"/>
      <c r="E368" s="193"/>
      <c r="F368" s="193"/>
      <c r="G368" s="193"/>
      <c r="H368" s="81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 spans="1:27" ht="15.6">
      <c r="A369" s="193"/>
      <c r="B369" s="193"/>
      <c r="C369" s="193"/>
      <c r="D369" s="193"/>
      <c r="E369" s="193"/>
      <c r="F369" s="193"/>
      <c r="G369" s="193"/>
      <c r="H369" s="81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 spans="1:27" ht="15.6">
      <c r="A370" s="193"/>
      <c r="B370" s="193"/>
      <c r="C370" s="193"/>
      <c r="D370" s="193"/>
      <c r="E370" s="193"/>
      <c r="F370" s="193"/>
      <c r="G370" s="193"/>
      <c r="H370" s="81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 spans="1:27" ht="15.6">
      <c r="A371" s="193"/>
      <c r="B371" s="193"/>
      <c r="C371" s="193"/>
      <c r="D371" s="193"/>
      <c r="E371" s="193"/>
      <c r="F371" s="193"/>
      <c r="G371" s="193"/>
      <c r="H371" s="81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 spans="1:27" ht="15.6">
      <c r="A372" s="193"/>
      <c r="B372" s="193"/>
      <c r="C372" s="193"/>
      <c r="D372" s="193"/>
      <c r="E372" s="193"/>
      <c r="F372" s="193"/>
      <c r="G372" s="193"/>
      <c r="H372" s="81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 spans="1:27" ht="15.6">
      <c r="A373" s="193"/>
      <c r="B373" s="193"/>
      <c r="C373" s="193"/>
      <c r="D373" s="193"/>
      <c r="E373" s="193"/>
      <c r="F373" s="193"/>
      <c r="G373" s="193"/>
      <c r="H373" s="81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 spans="1:27" ht="15.6">
      <c r="A374" s="193"/>
      <c r="B374" s="193"/>
      <c r="C374" s="193"/>
      <c r="D374" s="193"/>
      <c r="E374" s="193"/>
      <c r="F374" s="193"/>
      <c r="G374" s="193"/>
      <c r="H374" s="81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 spans="1:27" ht="15.6">
      <c r="A375" s="193"/>
      <c r="B375" s="193"/>
      <c r="C375" s="193"/>
      <c r="D375" s="193"/>
      <c r="E375" s="193"/>
      <c r="F375" s="193"/>
      <c r="G375" s="193"/>
      <c r="H375" s="81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 spans="1:27" ht="15.6">
      <c r="A376" s="193"/>
      <c r="B376" s="193"/>
      <c r="C376" s="193"/>
      <c r="D376" s="193"/>
      <c r="E376" s="193"/>
      <c r="F376" s="193"/>
      <c r="G376" s="193"/>
      <c r="H376" s="81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 spans="1:27" ht="15.6">
      <c r="A377" s="193"/>
      <c r="B377" s="193"/>
      <c r="C377" s="193"/>
      <c r="D377" s="193"/>
      <c r="E377" s="193"/>
      <c r="F377" s="193"/>
      <c r="G377" s="193"/>
      <c r="H377" s="81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 spans="1:27" ht="15.6">
      <c r="A378" s="193"/>
      <c r="B378" s="193"/>
      <c r="C378" s="193"/>
      <c r="D378" s="193"/>
      <c r="E378" s="193"/>
      <c r="F378" s="193"/>
      <c r="G378" s="193"/>
      <c r="H378" s="81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 spans="1:27" ht="15.6">
      <c r="A379" s="193"/>
      <c r="B379" s="193"/>
      <c r="C379" s="193"/>
      <c r="D379" s="193"/>
      <c r="E379" s="193"/>
      <c r="F379" s="193"/>
      <c r="G379" s="193"/>
      <c r="H379" s="81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 spans="1:27" ht="15.6">
      <c r="A380" s="193"/>
      <c r="B380" s="193"/>
      <c r="C380" s="193"/>
      <c r="D380" s="193"/>
      <c r="E380" s="193"/>
      <c r="F380" s="193"/>
      <c r="G380" s="193"/>
      <c r="H380" s="81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 spans="1:27" ht="15.6">
      <c r="A381" s="193"/>
      <c r="B381" s="193"/>
      <c r="C381" s="193"/>
      <c r="D381" s="193"/>
      <c r="E381" s="193"/>
      <c r="F381" s="193"/>
      <c r="G381" s="193"/>
      <c r="H381" s="81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 spans="1:27" ht="15.6">
      <c r="A382" s="193"/>
      <c r="B382" s="193"/>
      <c r="C382" s="193"/>
      <c r="D382" s="193"/>
      <c r="E382" s="193"/>
      <c r="F382" s="193"/>
      <c r="G382" s="193"/>
      <c r="H382" s="81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 spans="1:27" ht="15.6">
      <c r="A383" s="193"/>
      <c r="B383" s="193"/>
      <c r="C383" s="193"/>
      <c r="D383" s="193"/>
      <c r="E383" s="193"/>
      <c r="F383" s="193"/>
      <c r="G383" s="193"/>
      <c r="H383" s="81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 spans="1:27" ht="15.6">
      <c r="A384" s="193"/>
      <c r="B384" s="193"/>
      <c r="C384" s="193"/>
      <c r="D384" s="193"/>
      <c r="E384" s="193"/>
      <c r="F384" s="193"/>
      <c r="G384" s="193"/>
      <c r="H384" s="81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 spans="1:27" ht="15.6">
      <c r="A385" s="193"/>
      <c r="B385" s="193"/>
      <c r="C385" s="193"/>
      <c r="D385" s="193"/>
      <c r="E385" s="193"/>
      <c r="F385" s="193"/>
      <c r="G385" s="193"/>
      <c r="H385" s="81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 spans="1:27" ht="15.6">
      <c r="A386" s="193"/>
      <c r="B386" s="193"/>
      <c r="C386" s="193"/>
      <c r="D386" s="193"/>
      <c r="E386" s="193"/>
      <c r="F386" s="193"/>
      <c r="G386" s="193"/>
      <c r="H386" s="81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 spans="1:27" ht="15.6">
      <c r="A387" s="193"/>
      <c r="B387" s="193"/>
      <c r="C387" s="193"/>
      <c r="D387" s="193"/>
      <c r="E387" s="193"/>
      <c r="F387" s="193"/>
      <c r="G387" s="193"/>
      <c r="H387" s="81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 spans="1:27" ht="15.6">
      <c r="A388" s="193"/>
      <c r="B388" s="193"/>
      <c r="C388" s="193"/>
      <c r="D388" s="193"/>
      <c r="E388" s="193"/>
      <c r="F388" s="193"/>
      <c r="G388" s="193"/>
      <c r="H388" s="81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 spans="1:27" ht="15.6">
      <c r="A389" s="193"/>
      <c r="B389" s="193"/>
      <c r="C389" s="193"/>
      <c r="D389" s="193"/>
      <c r="E389" s="193"/>
      <c r="F389" s="193"/>
      <c r="G389" s="193"/>
      <c r="H389" s="81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 spans="1:27" ht="15.6">
      <c r="A390" s="193"/>
      <c r="B390" s="193"/>
      <c r="C390" s="193"/>
      <c r="D390" s="193"/>
      <c r="E390" s="193"/>
      <c r="F390" s="193"/>
      <c r="G390" s="193"/>
      <c r="H390" s="81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 spans="1:27" ht="15.6">
      <c r="A391" s="193"/>
      <c r="B391" s="193"/>
      <c r="C391" s="193"/>
      <c r="D391" s="193"/>
      <c r="E391" s="193"/>
      <c r="F391" s="193"/>
      <c r="G391" s="193"/>
      <c r="H391" s="81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 spans="1:27" ht="15.6">
      <c r="A392" s="193"/>
      <c r="B392" s="193"/>
      <c r="C392" s="193"/>
      <c r="D392" s="193"/>
      <c r="E392" s="193"/>
      <c r="F392" s="193"/>
      <c r="G392" s="193"/>
      <c r="H392" s="81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 spans="1:27" ht="15.6">
      <c r="A393" s="193"/>
      <c r="B393" s="193"/>
      <c r="C393" s="193"/>
      <c r="D393" s="193"/>
      <c r="E393" s="193"/>
      <c r="F393" s="193"/>
      <c r="G393" s="193"/>
      <c r="H393" s="81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 spans="1:27" ht="15.6">
      <c r="A394" s="193"/>
      <c r="B394" s="193"/>
      <c r="C394" s="193"/>
      <c r="D394" s="193"/>
      <c r="E394" s="193"/>
      <c r="F394" s="193"/>
      <c r="G394" s="193"/>
      <c r="H394" s="81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 spans="1:27" ht="15.6">
      <c r="A395" s="193"/>
      <c r="B395" s="193"/>
      <c r="C395" s="193"/>
      <c r="D395" s="193"/>
      <c r="E395" s="193"/>
      <c r="F395" s="193"/>
      <c r="G395" s="193"/>
      <c r="H395" s="81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 spans="1:27" ht="15.6">
      <c r="A396" s="193"/>
      <c r="B396" s="193"/>
      <c r="C396" s="193"/>
      <c r="D396" s="193"/>
      <c r="E396" s="193"/>
      <c r="F396" s="193"/>
      <c r="G396" s="193"/>
      <c r="H396" s="81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 spans="1:27" ht="15.6">
      <c r="A397" s="193"/>
      <c r="B397" s="193"/>
      <c r="C397" s="193"/>
      <c r="D397" s="193"/>
      <c r="E397" s="193"/>
      <c r="F397" s="193"/>
      <c r="G397" s="193"/>
      <c r="H397" s="81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 spans="1:27" ht="15.6">
      <c r="A398" s="193"/>
      <c r="B398" s="193"/>
      <c r="C398" s="193"/>
      <c r="D398" s="193"/>
      <c r="E398" s="193"/>
      <c r="F398" s="193"/>
      <c r="G398" s="193"/>
      <c r="H398" s="81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 spans="1:27" ht="15.6">
      <c r="A399" s="193"/>
      <c r="B399" s="193"/>
      <c r="C399" s="193"/>
      <c r="D399" s="193"/>
      <c r="E399" s="193"/>
      <c r="F399" s="193"/>
      <c r="G399" s="193"/>
      <c r="H399" s="81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 spans="1:27" ht="15.6">
      <c r="A400" s="193"/>
      <c r="B400" s="193"/>
      <c r="C400" s="193"/>
      <c r="D400" s="193"/>
      <c r="E400" s="193"/>
      <c r="F400" s="193"/>
      <c r="G400" s="193"/>
      <c r="H400" s="81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 spans="1:27" ht="15.6">
      <c r="A401" s="193"/>
      <c r="B401" s="193"/>
      <c r="C401" s="193"/>
      <c r="D401" s="193"/>
      <c r="E401" s="193"/>
      <c r="F401" s="193"/>
      <c r="G401" s="193"/>
      <c r="H401" s="81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 spans="1:27" ht="15.6">
      <c r="A402" s="193"/>
      <c r="B402" s="193"/>
      <c r="C402" s="193"/>
      <c r="D402" s="193"/>
      <c r="E402" s="193"/>
      <c r="F402" s="193"/>
      <c r="G402" s="193"/>
      <c r="H402" s="81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 spans="1:27" ht="15.6">
      <c r="A403" s="193"/>
      <c r="B403" s="193"/>
      <c r="C403" s="193"/>
      <c r="D403" s="193"/>
      <c r="E403" s="193"/>
      <c r="F403" s="193"/>
      <c r="G403" s="193"/>
      <c r="H403" s="81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 spans="1:27" ht="15.6">
      <c r="A404" s="193"/>
      <c r="B404" s="193"/>
      <c r="C404" s="193"/>
      <c r="D404" s="193"/>
      <c r="E404" s="193"/>
      <c r="F404" s="193"/>
      <c r="G404" s="193"/>
      <c r="H404" s="81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 spans="1:27" ht="15.6">
      <c r="A405" s="193"/>
      <c r="B405" s="193"/>
      <c r="C405" s="193"/>
      <c r="D405" s="193"/>
      <c r="E405" s="193"/>
      <c r="F405" s="193"/>
      <c r="G405" s="193"/>
      <c r="H405" s="81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 spans="1:27" ht="15.6">
      <c r="A406" s="193"/>
      <c r="B406" s="193"/>
      <c r="C406" s="193"/>
      <c r="D406" s="193"/>
      <c r="E406" s="193"/>
      <c r="F406" s="193"/>
      <c r="G406" s="193"/>
      <c r="H406" s="81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 spans="1:27" ht="15.6">
      <c r="A407" s="193"/>
      <c r="B407" s="193"/>
      <c r="C407" s="193"/>
      <c r="D407" s="193"/>
      <c r="E407" s="193"/>
      <c r="F407" s="193"/>
      <c r="G407" s="193"/>
      <c r="H407" s="81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 spans="1:27" ht="15.6">
      <c r="A408" s="193"/>
      <c r="B408" s="193"/>
      <c r="C408" s="193"/>
      <c r="D408" s="193"/>
      <c r="E408" s="193"/>
      <c r="F408" s="193"/>
      <c r="G408" s="193"/>
      <c r="H408" s="81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 spans="1:27" ht="15.6">
      <c r="A409" s="193"/>
      <c r="B409" s="193"/>
      <c r="C409" s="193"/>
      <c r="D409" s="193"/>
      <c r="E409" s="193"/>
      <c r="F409" s="193"/>
      <c r="G409" s="193"/>
      <c r="H409" s="81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 spans="1:27" ht="15.6">
      <c r="A410" s="193"/>
      <c r="B410" s="193"/>
      <c r="C410" s="193"/>
      <c r="D410" s="193"/>
      <c r="E410" s="193"/>
      <c r="F410" s="193"/>
      <c r="G410" s="193"/>
      <c r="H410" s="81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 spans="1:27" ht="15.6">
      <c r="A411" s="193"/>
      <c r="B411" s="193"/>
      <c r="C411" s="193"/>
      <c r="D411" s="193"/>
      <c r="E411" s="193"/>
      <c r="F411" s="193"/>
      <c r="G411" s="193"/>
      <c r="H411" s="81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 spans="1:27" ht="15.6">
      <c r="A412" s="193"/>
      <c r="B412" s="193"/>
      <c r="C412" s="193"/>
      <c r="D412" s="193"/>
      <c r="E412" s="193"/>
      <c r="F412" s="193"/>
      <c r="G412" s="193"/>
      <c r="H412" s="81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 spans="1:27" ht="15.6">
      <c r="A413" s="193"/>
      <c r="B413" s="193"/>
      <c r="C413" s="193"/>
      <c r="D413" s="193"/>
      <c r="E413" s="193"/>
      <c r="F413" s="193"/>
      <c r="G413" s="193"/>
      <c r="H413" s="81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 spans="1:27" ht="15.6">
      <c r="A414" s="193"/>
      <c r="B414" s="193"/>
      <c r="C414" s="193"/>
      <c r="D414" s="193"/>
      <c r="E414" s="193"/>
      <c r="F414" s="193"/>
      <c r="G414" s="193"/>
      <c r="H414" s="81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 spans="1:27" ht="15.6">
      <c r="A415" s="193"/>
      <c r="B415" s="193"/>
      <c r="C415" s="193"/>
      <c r="D415" s="193"/>
      <c r="E415" s="193"/>
      <c r="F415" s="193"/>
      <c r="G415" s="193"/>
      <c r="H415" s="81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 spans="1:27" ht="15.6">
      <c r="A416" s="193"/>
      <c r="B416" s="193"/>
      <c r="C416" s="193"/>
      <c r="D416" s="193"/>
      <c r="E416" s="193"/>
      <c r="F416" s="193"/>
      <c r="G416" s="193"/>
      <c r="H416" s="81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 spans="1:27" ht="15.6">
      <c r="A417" s="193"/>
      <c r="B417" s="193"/>
      <c r="C417" s="193"/>
      <c r="D417" s="193"/>
      <c r="E417" s="193"/>
      <c r="F417" s="193"/>
      <c r="G417" s="193"/>
      <c r="H417" s="81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 spans="1:27" ht="15.6">
      <c r="A418" s="193"/>
      <c r="B418" s="193"/>
      <c r="C418" s="193"/>
      <c r="D418" s="193"/>
      <c r="E418" s="193"/>
      <c r="F418" s="193"/>
      <c r="G418" s="193"/>
      <c r="H418" s="81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 spans="1:27" ht="15.6">
      <c r="A419" s="193"/>
      <c r="B419" s="193"/>
      <c r="C419" s="193"/>
      <c r="D419" s="193"/>
      <c r="E419" s="193"/>
      <c r="F419" s="193"/>
      <c r="G419" s="193"/>
      <c r="H419" s="81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 spans="1:27" ht="15.6">
      <c r="A420" s="193"/>
      <c r="B420" s="193"/>
      <c r="C420" s="193"/>
      <c r="D420" s="193"/>
      <c r="E420" s="193"/>
      <c r="F420" s="193"/>
      <c r="G420" s="193"/>
      <c r="H420" s="81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 spans="1:27" ht="15.6">
      <c r="A421" s="193"/>
      <c r="B421" s="193"/>
      <c r="C421" s="193"/>
      <c r="D421" s="193"/>
      <c r="E421" s="193"/>
      <c r="F421" s="193"/>
      <c r="G421" s="193"/>
      <c r="H421" s="81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 spans="1:27" ht="15.6">
      <c r="A422" s="193"/>
      <c r="B422" s="193"/>
      <c r="C422" s="193"/>
      <c r="D422" s="193"/>
      <c r="E422" s="193"/>
      <c r="F422" s="193"/>
      <c r="G422" s="193"/>
      <c r="H422" s="81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 spans="1:27" ht="15.6">
      <c r="A423" s="193"/>
      <c r="B423" s="193"/>
      <c r="C423" s="193"/>
      <c r="D423" s="193"/>
      <c r="E423" s="193"/>
      <c r="F423" s="193"/>
      <c r="G423" s="193"/>
      <c r="H423" s="81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 spans="1:27" ht="15.6">
      <c r="A424" s="193"/>
      <c r="B424" s="193"/>
      <c r="C424" s="193"/>
      <c r="D424" s="193"/>
      <c r="E424" s="193"/>
      <c r="F424" s="193"/>
      <c r="G424" s="193"/>
      <c r="H424" s="81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 spans="1:27" ht="15.6">
      <c r="A425" s="193"/>
      <c r="B425" s="193"/>
      <c r="C425" s="193"/>
      <c r="D425" s="193"/>
      <c r="E425" s="193"/>
      <c r="F425" s="193"/>
      <c r="G425" s="193"/>
      <c r="H425" s="81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 spans="1:27" ht="15.6">
      <c r="A426" s="193"/>
      <c r="B426" s="193"/>
      <c r="C426" s="193"/>
      <c r="D426" s="193"/>
      <c r="E426" s="193"/>
      <c r="F426" s="193"/>
      <c r="G426" s="193"/>
      <c r="H426" s="81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 spans="1:27" ht="15.6">
      <c r="A427" s="193"/>
      <c r="B427" s="193"/>
      <c r="C427" s="193"/>
      <c r="D427" s="193"/>
      <c r="E427" s="193"/>
      <c r="F427" s="193"/>
      <c r="G427" s="193"/>
      <c r="H427" s="81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 spans="1:27" ht="15.6">
      <c r="A428" s="193"/>
      <c r="B428" s="193"/>
      <c r="C428" s="193"/>
      <c r="D428" s="193"/>
      <c r="E428" s="193"/>
      <c r="F428" s="193"/>
      <c r="G428" s="193"/>
      <c r="H428" s="81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 spans="1:27" ht="15.6">
      <c r="A429" s="193"/>
      <c r="B429" s="193"/>
      <c r="C429" s="193"/>
      <c r="D429" s="193"/>
      <c r="E429" s="193"/>
      <c r="F429" s="193"/>
      <c r="G429" s="193"/>
      <c r="H429" s="81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 spans="1:27" ht="15.6">
      <c r="A430" s="193"/>
      <c r="B430" s="193"/>
      <c r="C430" s="193"/>
      <c r="D430" s="193"/>
      <c r="E430" s="193"/>
      <c r="F430" s="193"/>
      <c r="G430" s="193"/>
      <c r="H430" s="81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 spans="1:27" ht="15.6">
      <c r="A431" s="193"/>
      <c r="B431" s="193"/>
      <c r="C431" s="193"/>
      <c r="D431" s="193"/>
      <c r="E431" s="193"/>
      <c r="F431" s="193"/>
      <c r="G431" s="193"/>
      <c r="H431" s="81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 spans="1:27" ht="15.6">
      <c r="A432" s="193"/>
      <c r="B432" s="193"/>
      <c r="C432" s="193"/>
      <c r="D432" s="193"/>
      <c r="E432" s="193"/>
      <c r="F432" s="193"/>
      <c r="G432" s="193"/>
      <c r="H432" s="81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 spans="1:27" ht="15.6">
      <c r="A433" s="193"/>
      <c r="B433" s="193"/>
      <c r="C433" s="193"/>
      <c r="D433" s="193"/>
      <c r="E433" s="193"/>
      <c r="F433" s="193"/>
      <c r="G433" s="193"/>
      <c r="H433" s="81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 spans="1:27" ht="15.6">
      <c r="A434" s="193"/>
      <c r="B434" s="193"/>
      <c r="C434" s="193"/>
      <c r="D434" s="193"/>
      <c r="E434" s="193"/>
      <c r="F434" s="193"/>
      <c r="G434" s="193"/>
      <c r="H434" s="81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 spans="1:27" ht="15.6">
      <c r="A435" s="193"/>
      <c r="B435" s="193"/>
      <c r="C435" s="193"/>
      <c r="D435" s="193"/>
      <c r="E435" s="193"/>
      <c r="F435" s="193"/>
      <c r="G435" s="193"/>
      <c r="H435" s="81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 spans="1:27" ht="15.6">
      <c r="A436" s="193"/>
      <c r="B436" s="193"/>
      <c r="C436" s="193"/>
      <c r="D436" s="193"/>
      <c r="E436" s="193"/>
      <c r="F436" s="193"/>
      <c r="G436" s="193"/>
      <c r="H436" s="81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 spans="1:27" ht="15.6">
      <c r="A437" s="193"/>
      <c r="B437" s="193"/>
      <c r="C437" s="193"/>
      <c r="D437" s="193"/>
      <c r="E437" s="193"/>
      <c r="F437" s="193"/>
      <c r="G437" s="193"/>
      <c r="H437" s="81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 spans="1:27" ht="15.6">
      <c r="A438" s="193"/>
      <c r="B438" s="193"/>
      <c r="C438" s="193"/>
      <c r="D438" s="193"/>
      <c r="E438" s="193"/>
      <c r="F438" s="193"/>
      <c r="G438" s="193"/>
      <c r="H438" s="81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 spans="1:27" ht="15.6">
      <c r="A439" s="193"/>
      <c r="B439" s="193"/>
      <c r="C439" s="193"/>
      <c r="D439" s="193"/>
      <c r="E439" s="193"/>
      <c r="F439" s="193"/>
      <c r="G439" s="193"/>
      <c r="H439" s="81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 spans="1:27" ht="15.6">
      <c r="A440" s="193"/>
      <c r="B440" s="193"/>
      <c r="C440" s="193"/>
      <c r="D440" s="193"/>
      <c r="E440" s="193"/>
      <c r="F440" s="193"/>
      <c r="G440" s="193"/>
      <c r="H440" s="81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 spans="1:27" ht="15.6">
      <c r="A441" s="193"/>
      <c r="B441" s="193"/>
      <c r="C441" s="193"/>
      <c r="D441" s="193"/>
      <c r="E441" s="193"/>
      <c r="F441" s="193"/>
      <c r="G441" s="193"/>
      <c r="H441" s="81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 spans="1:27" ht="15.6">
      <c r="A442" s="193"/>
      <c r="B442" s="193"/>
      <c r="C442" s="193"/>
      <c r="D442" s="193"/>
      <c r="E442" s="193"/>
      <c r="F442" s="193"/>
      <c r="G442" s="193"/>
      <c r="H442" s="81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 spans="1:27" ht="15.6">
      <c r="A443" s="193"/>
      <c r="B443" s="193"/>
      <c r="C443" s="193"/>
      <c r="D443" s="193"/>
      <c r="E443" s="193"/>
      <c r="F443" s="193"/>
      <c r="G443" s="193"/>
      <c r="H443" s="81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 spans="1:27" ht="15.6">
      <c r="A444" s="193"/>
      <c r="B444" s="193"/>
      <c r="C444" s="193"/>
      <c r="D444" s="193"/>
      <c r="E444" s="193"/>
      <c r="F444" s="193"/>
      <c r="G444" s="193"/>
      <c r="H444" s="81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 spans="1:27" ht="15.6">
      <c r="A445" s="193"/>
      <c r="B445" s="193"/>
      <c r="C445" s="193"/>
      <c r="D445" s="193"/>
      <c r="E445" s="193"/>
      <c r="F445" s="193"/>
      <c r="G445" s="193"/>
      <c r="H445" s="81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 spans="1:27" ht="15.6">
      <c r="A446" s="193"/>
      <c r="B446" s="193"/>
      <c r="C446" s="193"/>
      <c r="D446" s="193"/>
      <c r="E446" s="193"/>
      <c r="F446" s="193"/>
      <c r="G446" s="193"/>
      <c r="H446" s="81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 spans="1:27" ht="15.6">
      <c r="A447" s="193"/>
      <c r="B447" s="193"/>
      <c r="C447" s="193"/>
      <c r="D447" s="193"/>
      <c r="E447" s="193"/>
      <c r="F447" s="193"/>
      <c r="G447" s="193"/>
      <c r="H447" s="81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 spans="1:27" ht="15.6">
      <c r="A448" s="193"/>
      <c r="B448" s="193"/>
      <c r="C448" s="193"/>
      <c r="D448" s="193"/>
      <c r="E448" s="193"/>
      <c r="F448" s="193"/>
      <c r="G448" s="193"/>
      <c r="H448" s="81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 spans="1:27" ht="15.6">
      <c r="A449" s="193"/>
      <c r="B449" s="193"/>
      <c r="C449" s="193"/>
      <c r="D449" s="193"/>
      <c r="E449" s="193"/>
      <c r="F449" s="193"/>
      <c r="G449" s="193"/>
      <c r="H449" s="81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 spans="1:27" ht="15.6">
      <c r="A450" s="193"/>
      <c r="B450" s="193"/>
      <c r="C450" s="193"/>
      <c r="D450" s="193"/>
      <c r="E450" s="193"/>
      <c r="F450" s="193"/>
      <c r="G450" s="193"/>
      <c r="H450" s="81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 spans="1:27" ht="15.6">
      <c r="A451" s="193"/>
      <c r="B451" s="193"/>
      <c r="C451" s="193"/>
      <c r="D451" s="193"/>
      <c r="E451" s="193"/>
      <c r="F451" s="193"/>
      <c r="G451" s="193"/>
      <c r="H451" s="81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 spans="1:27" ht="15.6">
      <c r="A452" s="193"/>
      <c r="B452" s="193"/>
      <c r="C452" s="193"/>
      <c r="D452" s="193"/>
      <c r="E452" s="193"/>
      <c r="F452" s="193"/>
      <c r="G452" s="193"/>
      <c r="H452" s="81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 spans="1:27" ht="15.6">
      <c r="A453" s="193"/>
      <c r="B453" s="193"/>
      <c r="C453" s="193"/>
      <c r="D453" s="193"/>
      <c r="E453" s="193"/>
      <c r="F453" s="193"/>
      <c r="G453" s="193"/>
      <c r="H453" s="81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 spans="1:27" ht="15.6">
      <c r="A454" s="193"/>
      <c r="B454" s="193"/>
      <c r="C454" s="193"/>
      <c r="D454" s="193"/>
      <c r="E454" s="193"/>
      <c r="F454" s="193"/>
      <c r="G454" s="193"/>
      <c r="H454" s="81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 spans="1:27" ht="15.6">
      <c r="A455" s="193"/>
      <c r="B455" s="193"/>
      <c r="C455" s="193"/>
      <c r="D455" s="193"/>
      <c r="E455" s="193"/>
      <c r="F455" s="193"/>
      <c r="G455" s="193"/>
      <c r="H455" s="81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 spans="1:27" ht="15.6">
      <c r="A456" s="193"/>
      <c r="B456" s="193"/>
      <c r="C456" s="193"/>
      <c r="D456" s="193"/>
      <c r="E456" s="193"/>
      <c r="F456" s="193"/>
      <c r="G456" s="193"/>
      <c r="H456" s="81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 spans="1:27" ht="15.6">
      <c r="A457" s="193"/>
      <c r="B457" s="193"/>
      <c r="C457" s="193"/>
      <c r="D457" s="193"/>
      <c r="E457" s="193"/>
      <c r="F457" s="193"/>
      <c r="G457" s="193"/>
      <c r="H457" s="81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 spans="1:27" ht="15.6">
      <c r="A458" s="193"/>
      <c r="B458" s="193"/>
      <c r="C458" s="193"/>
      <c r="D458" s="193"/>
      <c r="E458" s="193"/>
      <c r="F458" s="193"/>
      <c r="G458" s="193"/>
      <c r="H458" s="81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 spans="1:27" ht="15.6">
      <c r="A459" s="193"/>
      <c r="B459" s="193"/>
      <c r="C459" s="193"/>
      <c r="D459" s="193"/>
      <c r="E459" s="193"/>
      <c r="F459" s="193"/>
      <c r="G459" s="193"/>
      <c r="H459" s="81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 spans="1:27" ht="15.6">
      <c r="A460" s="193"/>
      <c r="B460" s="193"/>
      <c r="C460" s="193"/>
      <c r="D460" s="193"/>
      <c r="E460" s="193"/>
      <c r="F460" s="193"/>
      <c r="G460" s="193"/>
      <c r="H460" s="81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 spans="1:27" ht="15.6">
      <c r="A461" s="193"/>
      <c r="B461" s="193"/>
      <c r="C461" s="193"/>
      <c r="D461" s="193"/>
      <c r="E461" s="193"/>
      <c r="F461" s="193"/>
      <c r="G461" s="193"/>
      <c r="H461" s="81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 spans="1:27" ht="15.6">
      <c r="A462" s="193"/>
      <c r="B462" s="193"/>
      <c r="C462" s="193"/>
      <c r="D462" s="193"/>
      <c r="E462" s="193"/>
      <c r="F462" s="193"/>
      <c r="G462" s="193"/>
      <c r="H462" s="81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 spans="1:27" ht="15.6">
      <c r="A463" s="193"/>
      <c r="B463" s="193"/>
      <c r="C463" s="193"/>
      <c r="D463" s="193"/>
      <c r="E463" s="193"/>
      <c r="F463" s="193"/>
      <c r="G463" s="193"/>
      <c r="H463" s="81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 spans="1:27" ht="15.6">
      <c r="A464" s="193"/>
      <c r="B464" s="193"/>
      <c r="C464" s="193"/>
      <c r="D464" s="193"/>
      <c r="E464" s="193"/>
      <c r="F464" s="193"/>
      <c r="G464" s="193"/>
      <c r="H464" s="81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 spans="1:27" ht="15.6">
      <c r="A465" s="193"/>
      <c r="B465" s="193"/>
      <c r="C465" s="193"/>
      <c r="D465" s="193"/>
      <c r="E465" s="193"/>
      <c r="F465" s="193"/>
      <c r="G465" s="193"/>
      <c r="H465" s="81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 spans="1:27" ht="15.6">
      <c r="A466" s="193"/>
      <c r="B466" s="193"/>
      <c r="C466" s="193"/>
      <c r="D466" s="193"/>
      <c r="E466" s="193"/>
      <c r="F466" s="193"/>
      <c r="G466" s="193"/>
      <c r="H466" s="81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 spans="1:27" ht="15.6">
      <c r="A467" s="193"/>
      <c r="B467" s="193"/>
      <c r="C467" s="193"/>
      <c r="D467" s="193"/>
      <c r="E467" s="193"/>
      <c r="F467" s="193"/>
      <c r="G467" s="193"/>
      <c r="H467" s="81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 spans="1:27" ht="15.6">
      <c r="A468" s="193"/>
      <c r="B468" s="193"/>
      <c r="C468" s="193"/>
      <c r="D468" s="193"/>
      <c r="E468" s="193"/>
      <c r="F468" s="193"/>
      <c r="G468" s="193"/>
      <c r="H468" s="81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 spans="1:27" ht="15.6">
      <c r="A469" s="193"/>
      <c r="B469" s="193"/>
      <c r="C469" s="193"/>
      <c r="D469" s="193"/>
      <c r="E469" s="193"/>
      <c r="F469" s="193"/>
      <c r="G469" s="193"/>
      <c r="H469" s="81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 spans="1:27" ht="15.6">
      <c r="A470" s="193"/>
      <c r="B470" s="193"/>
      <c r="C470" s="193"/>
      <c r="D470" s="193"/>
      <c r="E470" s="193"/>
      <c r="F470" s="193"/>
      <c r="G470" s="193"/>
      <c r="H470" s="81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 spans="1:27" ht="15.6">
      <c r="A471" s="193"/>
      <c r="B471" s="193"/>
      <c r="C471" s="193"/>
      <c r="D471" s="193"/>
      <c r="E471" s="193"/>
      <c r="F471" s="193"/>
      <c r="G471" s="193"/>
      <c r="H471" s="81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 spans="1:27" ht="15.6">
      <c r="A472" s="193"/>
      <c r="B472" s="193"/>
      <c r="C472" s="193"/>
      <c r="D472" s="193"/>
      <c r="E472" s="193"/>
      <c r="F472" s="193"/>
      <c r="G472" s="193"/>
      <c r="H472" s="81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 spans="1:27" ht="15.6">
      <c r="A473" s="193"/>
      <c r="B473" s="193"/>
      <c r="C473" s="193"/>
      <c r="D473" s="193"/>
      <c r="E473" s="193"/>
      <c r="F473" s="193"/>
      <c r="G473" s="193"/>
      <c r="H473" s="81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 spans="1:27" ht="15.6">
      <c r="A474" s="193"/>
      <c r="B474" s="193"/>
      <c r="C474" s="193"/>
      <c r="D474" s="193"/>
      <c r="E474" s="193"/>
      <c r="F474" s="193"/>
      <c r="G474" s="193"/>
      <c r="H474" s="81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 spans="1:27" ht="15.6">
      <c r="A475" s="193"/>
      <c r="B475" s="193"/>
      <c r="C475" s="193"/>
      <c r="D475" s="193"/>
      <c r="E475" s="193"/>
      <c r="F475" s="193"/>
      <c r="G475" s="193"/>
      <c r="H475" s="81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 spans="1:27" ht="15.6">
      <c r="A476" s="193"/>
      <c r="B476" s="193"/>
      <c r="C476" s="193"/>
      <c r="D476" s="193"/>
      <c r="E476" s="193"/>
      <c r="F476" s="193"/>
      <c r="G476" s="193"/>
      <c r="H476" s="81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 spans="1:27" ht="15.6">
      <c r="A477" s="193"/>
      <c r="B477" s="193"/>
      <c r="C477" s="193"/>
      <c r="D477" s="193"/>
      <c r="E477" s="193"/>
      <c r="F477" s="193"/>
      <c r="G477" s="193"/>
      <c r="H477" s="81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 spans="1:27" ht="15.6">
      <c r="A478" s="193"/>
      <c r="B478" s="193"/>
      <c r="C478" s="193"/>
      <c r="D478" s="193"/>
      <c r="E478" s="193"/>
      <c r="F478" s="193"/>
      <c r="G478" s="193"/>
      <c r="H478" s="81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 spans="1:27" ht="15.6">
      <c r="A479" s="193"/>
      <c r="B479" s="193"/>
      <c r="C479" s="193"/>
      <c r="D479" s="193"/>
      <c r="E479" s="193"/>
      <c r="F479" s="193"/>
      <c r="G479" s="193"/>
      <c r="H479" s="81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 spans="1:27" ht="15.6">
      <c r="A480" s="193"/>
      <c r="B480" s="193"/>
      <c r="C480" s="193"/>
      <c r="D480" s="193"/>
      <c r="E480" s="193"/>
      <c r="F480" s="193"/>
      <c r="G480" s="193"/>
      <c r="H480" s="81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 spans="1:27" ht="15.6">
      <c r="A481" s="193"/>
      <c r="B481" s="193"/>
      <c r="C481" s="193"/>
      <c r="D481" s="193"/>
      <c r="E481" s="193"/>
      <c r="F481" s="193"/>
      <c r="G481" s="193"/>
      <c r="H481" s="81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 spans="1:27" ht="15.6">
      <c r="A482" s="193"/>
      <c r="B482" s="193"/>
      <c r="C482" s="193"/>
      <c r="D482" s="193"/>
      <c r="E482" s="193"/>
      <c r="F482" s="193"/>
      <c r="G482" s="193"/>
      <c r="H482" s="81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 spans="1:27" ht="15.6">
      <c r="A483" s="193"/>
      <c r="B483" s="193"/>
      <c r="C483" s="193"/>
      <c r="D483" s="193"/>
      <c r="E483" s="193"/>
      <c r="F483" s="193"/>
      <c r="G483" s="193"/>
      <c r="H483" s="81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 spans="1:27" ht="15.6">
      <c r="A484" s="193"/>
      <c r="B484" s="193"/>
      <c r="C484" s="193"/>
      <c r="D484" s="193"/>
      <c r="E484" s="193"/>
      <c r="F484" s="193"/>
      <c r="G484" s="193"/>
      <c r="H484" s="81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 spans="1:27" ht="15.6">
      <c r="A485" s="193"/>
      <c r="B485" s="193"/>
      <c r="C485" s="193"/>
      <c r="D485" s="193"/>
      <c r="E485" s="193"/>
      <c r="F485" s="193"/>
      <c r="G485" s="193"/>
      <c r="H485" s="81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 spans="1:27" ht="15.6">
      <c r="A486" s="193"/>
      <c r="B486" s="193"/>
      <c r="C486" s="193"/>
      <c r="D486" s="193"/>
      <c r="E486" s="193"/>
      <c r="F486" s="193"/>
      <c r="G486" s="193"/>
      <c r="H486" s="81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 spans="1:27" ht="15.6">
      <c r="A487" s="193"/>
      <c r="B487" s="193"/>
      <c r="C487" s="193"/>
      <c r="D487" s="193"/>
      <c r="E487" s="193"/>
      <c r="F487" s="193"/>
      <c r="G487" s="193"/>
      <c r="H487" s="81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 spans="1:27" ht="15.6">
      <c r="A488" s="193"/>
      <c r="B488" s="193"/>
      <c r="C488" s="193"/>
      <c r="D488" s="193"/>
      <c r="E488" s="193"/>
      <c r="F488" s="193"/>
      <c r="G488" s="193"/>
      <c r="H488" s="81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 spans="1:27" ht="15.6">
      <c r="A489" s="193"/>
      <c r="B489" s="193"/>
      <c r="C489" s="193"/>
      <c r="D489" s="193"/>
      <c r="E489" s="193"/>
      <c r="F489" s="193"/>
      <c r="G489" s="193"/>
      <c r="H489" s="81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 spans="1:27" ht="15.6">
      <c r="A490" s="193"/>
      <c r="B490" s="193"/>
      <c r="C490" s="193"/>
      <c r="D490" s="193"/>
      <c r="E490" s="193"/>
      <c r="F490" s="193"/>
      <c r="G490" s="193"/>
      <c r="H490" s="81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 spans="1:27" ht="15.6">
      <c r="A491" s="193"/>
      <c r="B491" s="193"/>
      <c r="C491" s="193"/>
      <c r="D491" s="193"/>
      <c r="E491" s="193"/>
      <c r="F491" s="193"/>
      <c r="G491" s="193"/>
      <c r="H491" s="81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 spans="1:27" ht="15.6">
      <c r="A492" s="193"/>
      <c r="B492" s="193"/>
      <c r="C492" s="193"/>
      <c r="D492" s="193"/>
      <c r="E492" s="193"/>
      <c r="F492" s="193"/>
      <c r="G492" s="193"/>
      <c r="H492" s="81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 spans="1:27" ht="15.6">
      <c r="A493" s="193"/>
      <c r="B493" s="193"/>
      <c r="C493" s="193"/>
      <c r="D493" s="193"/>
      <c r="E493" s="193"/>
      <c r="F493" s="193"/>
      <c r="G493" s="193"/>
      <c r="H493" s="81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 spans="1:27" ht="15.6">
      <c r="A494" s="193"/>
      <c r="B494" s="193"/>
      <c r="C494" s="193"/>
      <c r="D494" s="193"/>
      <c r="E494" s="193"/>
      <c r="F494" s="193"/>
      <c r="G494" s="193"/>
      <c r="H494" s="81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 spans="1:27" ht="15.6">
      <c r="A495" s="193"/>
      <c r="B495" s="193"/>
      <c r="C495" s="193"/>
      <c r="D495" s="193"/>
      <c r="E495" s="193"/>
      <c r="F495" s="193"/>
      <c r="G495" s="193"/>
      <c r="H495" s="81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 spans="1:27" ht="15.6">
      <c r="A496" s="193"/>
      <c r="B496" s="193"/>
      <c r="C496" s="193"/>
      <c r="D496" s="193"/>
      <c r="E496" s="193"/>
      <c r="F496" s="193"/>
      <c r="G496" s="193"/>
      <c r="H496" s="81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 spans="1:27" ht="15.6">
      <c r="A497" s="193"/>
      <c r="B497" s="193"/>
      <c r="C497" s="193"/>
      <c r="D497" s="193"/>
      <c r="E497" s="193"/>
      <c r="F497" s="193"/>
      <c r="G497" s="193"/>
      <c r="H497" s="81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 spans="1:27" ht="15.6">
      <c r="A498" s="193"/>
      <c r="B498" s="193"/>
      <c r="C498" s="193"/>
      <c r="D498" s="193"/>
      <c r="E498" s="193"/>
      <c r="F498" s="193"/>
      <c r="G498" s="193"/>
      <c r="H498" s="81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 spans="1:27" ht="15.6">
      <c r="A499" s="193"/>
      <c r="B499" s="193"/>
      <c r="C499" s="193"/>
      <c r="D499" s="193"/>
      <c r="E499" s="193"/>
      <c r="F499" s="193"/>
      <c r="G499" s="193"/>
      <c r="H499" s="81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 spans="1:27" ht="15.6">
      <c r="A500" s="193"/>
      <c r="B500" s="193"/>
      <c r="C500" s="193"/>
      <c r="D500" s="193"/>
      <c r="E500" s="193"/>
      <c r="F500" s="193"/>
      <c r="G500" s="193"/>
      <c r="H500" s="81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 spans="1:27" ht="15.6">
      <c r="A501" s="193"/>
      <c r="B501" s="193"/>
      <c r="C501" s="193"/>
      <c r="D501" s="193"/>
      <c r="E501" s="193"/>
      <c r="F501" s="193"/>
      <c r="G501" s="193"/>
      <c r="H501" s="81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 spans="1:27" ht="15.6">
      <c r="A502" s="193"/>
      <c r="B502" s="193"/>
      <c r="C502" s="193"/>
      <c r="D502" s="193"/>
      <c r="E502" s="193"/>
      <c r="F502" s="193"/>
      <c r="G502" s="193"/>
      <c r="H502" s="81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 spans="1:27" ht="15.6">
      <c r="A503" s="193"/>
      <c r="B503" s="193"/>
      <c r="C503" s="193"/>
      <c r="D503" s="193"/>
      <c r="E503" s="193"/>
      <c r="F503" s="193"/>
      <c r="G503" s="193"/>
      <c r="H503" s="81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 spans="1:27" ht="15.6">
      <c r="A504" s="193"/>
      <c r="B504" s="193"/>
      <c r="C504" s="193"/>
      <c r="D504" s="193"/>
      <c r="E504" s="193"/>
      <c r="F504" s="193"/>
      <c r="G504" s="193"/>
      <c r="H504" s="81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 spans="1:27" ht="15.6">
      <c r="A505" s="193"/>
      <c r="B505" s="193"/>
      <c r="C505" s="193"/>
      <c r="D505" s="193"/>
      <c r="E505" s="193"/>
      <c r="F505" s="193"/>
      <c r="G505" s="193"/>
      <c r="H505" s="81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 spans="1:27" ht="15.6">
      <c r="A506" s="193"/>
      <c r="B506" s="193"/>
      <c r="C506" s="193"/>
      <c r="D506" s="193"/>
      <c r="E506" s="193"/>
      <c r="F506" s="193"/>
      <c r="G506" s="193"/>
      <c r="H506" s="81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 spans="1:27" ht="15.6">
      <c r="A507" s="193"/>
      <c r="B507" s="193"/>
      <c r="C507" s="193"/>
      <c r="D507" s="193"/>
      <c r="E507" s="193"/>
      <c r="F507" s="193"/>
      <c r="G507" s="193"/>
      <c r="H507" s="81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 spans="1:27" ht="15.6">
      <c r="A508" s="193"/>
      <c r="B508" s="193"/>
      <c r="C508" s="193"/>
      <c r="D508" s="193"/>
      <c r="E508" s="193"/>
      <c r="F508" s="193"/>
      <c r="G508" s="193"/>
      <c r="H508" s="81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 spans="1:27" ht="15.6">
      <c r="A509" s="193"/>
      <c r="B509" s="193"/>
      <c r="C509" s="193"/>
      <c r="D509" s="193"/>
      <c r="E509" s="193"/>
      <c r="F509" s="193"/>
      <c r="G509" s="193"/>
      <c r="H509" s="81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 spans="1:27" ht="15.6">
      <c r="A510" s="193"/>
      <c r="B510" s="193"/>
      <c r="C510" s="193"/>
      <c r="D510" s="193"/>
      <c r="E510" s="193"/>
      <c r="F510" s="193"/>
      <c r="G510" s="193"/>
      <c r="H510" s="81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 spans="1:27" ht="15.6">
      <c r="A511" s="193"/>
      <c r="B511" s="193"/>
      <c r="C511" s="193"/>
      <c r="D511" s="193"/>
      <c r="E511" s="193"/>
      <c r="F511" s="193"/>
      <c r="G511" s="193"/>
      <c r="H511" s="81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 spans="1:27" ht="15.6">
      <c r="A512" s="193"/>
      <c r="B512" s="193"/>
      <c r="C512" s="193"/>
      <c r="D512" s="193"/>
      <c r="E512" s="193"/>
      <c r="F512" s="193"/>
      <c r="G512" s="193"/>
      <c r="H512" s="81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 spans="1:27" ht="15.6">
      <c r="A513" s="193"/>
      <c r="B513" s="193"/>
      <c r="C513" s="193"/>
      <c r="D513" s="193"/>
      <c r="E513" s="193"/>
      <c r="F513" s="193"/>
      <c r="G513" s="193"/>
      <c r="H513" s="81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 spans="1:27" ht="15.6">
      <c r="A514" s="193"/>
      <c r="B514" s="193"/>
      <c r="C514" s="193"/>
      <c r="D514" s="193"/>
      <c r="E514" s="193"/>
      <c r="F514" s="193"/>
      <c r="G514" s="193"/>
      <c r="H514" s="81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 spans="1:27" ht="15.6">
      <c r="A515" s="193"/>
      <c r="B515" s="193"/>
      <c r="C515" s="193"/>
      <c r="D515" s="193"/>
      <c r="E515" s="193"/>
      <c r="F515" s="193"/>
      <c r="G515" s="193"/>
      <c r="H515" s="81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 spans="1:27" ht="15.6">
      <c r="A516" s="193"/>
      <c r="B516" s="193"/>
      <c r="C516" s="193"/>
      <c r="D516" s="193"/>
      <c r="E516" s="193"/>
      <c r="F516" s="193"/>
      <c r="G516" s="193"/>
      <c r="H516" s="81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 spans="1:27" ht="15.6">
      <c r="A517" s="193"/>
      <c r="B517" s="193"/>
      <c r="C517" s="193"/>
      <c r="D517" s="193"/>
      <c r="E517" s="193"/>
      <c r="F517" s="193"/>
      <c r="G517" s="193"/>
      <c r="H517" s="81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 spans="1:27" ht="15.6">
      <c r="A518" s="193"/>
      <c r="B518" s="193"/>
      <c r="C518" s="193"/>
      <c r="D518" s="193"/>
      <c r="E518" s="193"/>
      <c r="F518" s="193"/>
      <c r="G518" s="193"/>
      <c r="H518" s="81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 spans="1:27" ht="15.6">
      <c r="A519" s="193"/>
      <c r="B519" s="193"/>
      <c r="C519" s="193"/>
      <c r="D519" s="193"/>
      <c r="E519" s="193"/>
      <c r="F519" s="193"/>
      <c r="G519" s="193"/>
      <c r="H519" s="81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 spans="1:27" ht="15.6">
      <c r="A520" s="193"/>
      <c r="B520" s="193"/>
      <c r="C520" s="193"/>
      <c r="D520" s="193"/>
      <c r="E520" s="193"/>
      <c r="F520" s="193"/>
      <c r="G520" s="193"/>
      <c r="H520" s="81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 spans="1:27" ht="15.6">
      <c r="A521" s="193"/>
      <c r="B521" s="193"/>
      <c r="C521" s="193"/>
      <c r="D521" s="193"/>
      <c r="E521" s="193"/>
      <c r="F521" s="193"/>
      <c r="G521" s="193"/>
      <c r="H521" s="81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 spans="1:27" ht="15.6">
      <c r="A522" s="193"/>
      <c r="B522" s="193"/>
      <c r="C522" s="193"/>
      <c r="D522" s="193"/>
      <c r="E522" s="193"/>
      <c r="F522" s="193"/>
      <c r="G522" s="193"/>
      <c r="H522" s="81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 spans="1:27" ht="15.6">
      <c r="A523" s="193"/>
      <c r="B523" s="193"/>
      <c r="C523" s="193"/>
      <c r="D523" s="193"/>
      <c r="E523" s="193"/>
      <c r="F523" s="193"/>
      <c r="G523" s="193"/>
      <c r="H523" s="81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 spans="1:27" ht="15.6">
      <c r="A524" s="193"/>
      <c r="B524" s="193"/>
      <c r="C524" s="193"/>
      <c r="D524" s="193"/>
      <c r="E524" s="193"/>
      <c r="F524" s="193"/>
      <c r="G524" s="193"/>
      <c r="H524" s="81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 spans="1:27" ht="15.6">
      <c r="A525" s="193"/>
      <c r="B525" s="193"/>
      <c r="C525" s="193"/>
      <c r="D525" s="193"/>
      <c r="E525" s="193"/>
      <c r="F525" s="193"/>
      <c r="G525" s="193"/>
      <c r="H525" s="81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 spans="1:27" ht="15.6">
      <c r="A526" s="193"/>
      <c r="B526" s="193"/>
      <c r="C526" s="193"/>
      <c r="D526" s="193"/>
      <c r="E526" s="193"/>
      <c r="F526" s="193"/>
      <c r="G526" s="193"/>
      <c r="H526" s="81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 spans="1:27" ht="15.6">
      <c r="A527" s="193"/>
      <c r="B527" s="193"/>
      <c r="C527" s="193"/>
      <c r="D527" s="193"/>
      <c r="E527" s="193"/>
      <c r="F527" s="193"/>
      <c r="G527" s="193"/>
      <c r="H527" s="81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 spans="1:27" ht="15.6">
      <c r="A528" s="193"/>
      <c r="B528" s="193"/>
      <c r="C528" s="193"/>
      <c r="D528" s="193"/>
      <c r="E528" s="193"/>
      <c r="F528" s="193"/>
      <c r="G528" s="193"/>
      <c r="H528" s="81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 spans="1:27" ht="15.6">
      <c r="A529" s="193"/>
      <c r="B529" s="193"/>
      <c r="C529" s="193"/>
      <c r="D529" s="193"/>
      <c r="E529" s="193"/>
      <c r="F529" s="193"/>
      <c r="G529" s="193"/>
      <c r="H529" s="81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 spans="1:27" ht="15.6">
      <c r="A530" s="193"/>
      <c r="B530" s="193"/>
      <c r="C530" s="193"/>
      <c r="D530" s="193"/>
      <c r="E530" s="193"/>
      <c r="F530" s="193"/>
      <c r="G530" s="193"/>
      <c r="H530" s="81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 spans="1:27" ht="15.6">
      <c r="A531" s="193"/>
      <c r="B531" s="193"/>
      <c r="C531" s="193"/>
      <c r="D531" s="193"/>
      <c r="E531" s="193"/>
      <c r="F531" s="193"/>
      <c r="G531" s="193"/>
      <c r="H531" s="81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 spans="1:27" ht="15.6">
      <c r="A532" s="193"/>
      <c r="B532" s="193"/>
      <c r="C532" s="193"/>
      <c r="D532" s="193"/>
      <c r="E532" s="193"/>
      <c r="F532" s="193"/>
      <c r="G532" s="193"/>
      <c r="H532" s="81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 spans="1:27" ht="15.6">
      <c r="A533" s="193"/>
      <c r="B533" s="193"/>
      <c r="C533" s="193"/>
      <c r="D533" s="193"/>
      <c r="E533" s="193"/>
      <c r="F533" s="193"/>
      <c r="G533" s="193"/>
      <c r="H533" s="81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 spans="1:27" ht="15.6">
      <c r="A534" s="193"/>
      <c r="B534" s="193"/>
      <c r="C534" s="193"/>
      <c r="D534" s="193"/>
      <c r="E534" s="193"/>
      <c r="F534" s="193"/>
      <c r="G534" s="193"/>
      <c r="H534" s="81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 spans="1:27" ht="15.6">
      <c r="A535" s="193"/>
      <c r="B535" s="193"/>
      <c r="C535" s="193"/>
      <c r="D535" s="193"/>
      <c r="E535" s="193"/>
      <c r="F535" s="193"/>
      <c r="G535" s="193"/>
      <c r="H535" s="81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 spans="1:27" ht="15.6">
      <c r="A536" s="193"/>
      <c r="B536" s="193"/>
      <c r="C536" s="193"/>
      <c r="D536" s="193"/>
      <c r="E536" s="193"/>
      <c r="F536" s="193"/>
      <c r="G536" s="193"/>
      <c r="H536" s="81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 spans="1:27" ht="15.6">
      <c r="A537" s="193"/>
      <c r="B537" s="193"/>
      <c r="C537" s="193"/>
      <c r="D537" s="193"/>
      <c r="E537" s="193"/>
      <c r="F537" s="193"/>
      <c r="G537" s="193"/>
      <c r="H537" s="81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 spans="1:27" ht="15.6">
      <c r="A538" s="193"/>
      <c r="B538" s="193"/>
      <c r="C538" s="193"/>
      <c r="D538" s="193"/>
      <c r="E538" s="193"/>
      <c r="F538" s="193"/>
      <c r="G538" s="193"/>
      <c r="H538" s="81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 spans="1:27" ht="15.6">
      <c r="A539" s="193"/>
      <c r="B539" s="193"/>
      <c r="C539" s="193"/>
      <c r="D539" s="193"/>
      <c r="E539" s="193"/>
      <c r="F539" s="193"/>
      <c r="G539" s="193"/>
      <c r="H539" s="81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 spans="1:27" ht="15.6">
      <c r="A540" s="193"/>
      <c r="B540" s="193"/>
      <c r="C540" s="193"/>
      <c r="D540" s="193"/>
      <c r="E540" s="193"/>
      <c r="F540" s="193"/>
      <c r="G540" s="193"/>
      <c r="H540" s="81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 spans="1:27" ht="15.6">
      <c r="A541" s="193"/>
      <c r="B541" s="193"/>
      <c r="C541" s="193"/>
      <c r="D541" s="193"/>
      <c r="E541" s="193"/>
      <c r="F541" s="193"/>
      <c r="G541" s="193"/>
      <c r="H541" s="81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 spans="1:27" ht="15.6">
      <c r="A542" s="193"/>
      <c r="B542" s="193"/>
      <c r="C542" s="193"/>
      <c r="D542" s="193"/>
      <c r="E542" s="193"/>
      <c r="F542" s="193"/>
      <c r="G542" s="193"/>
      <c r="H542" s="81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 spans="1:27" ht="15.6">
      <c r="A543" s="193"/>
      <c r="B543" s="193"/>
      <c r="C543" s="193"/>
      <c r="D543" s="193"/>
      <c r="E543" s="193"/>
      <c r="F543" s="193"/>
      <c r="G543" s="193"/>
      <c r="H543" s="81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 spans="1:27" ht="15.6">
      <c r="A544" s="193"/>
      <c r="B544" s="193"/>
      <c r="C544" s="193"/>
      <c r="D544" s="193"/>
      <c r="E544" s="193"/>
      <c r="F544" s="193"/>
      <c r="G544" s="193"/>
      <c r="H544" s="81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 spans="1:27" ht="15.6">
      <c r="A545" s="193"/>
      <c r="B545" s="193"/>
      <c r="C545" s="193"/>
      <c r="D545" s="193"/>
      <c r="E545" s="193"/>
      <c r="F545" s="193"/>
      <c r="G545" s="193"/>
      <c r="H545" s="81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 spans="1:27" ht="15.6">
      <c r="A546" s="193"/>
      <c r="B546" s="193"/>
      <c r="C546" s="193"/>
      <c r="D546" s="193"/>
      <c r="E546" s="193"/>
      <c r="F546" s="193"/>
      <c r="G546" s="193"/>
      <c r="H546" s="81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 spans="1:27" ht="15.6">
      <c r="A547" s="193"/>
      <c r="B547" s="193"/>
      <c r="C547" s="193"/>
      <c r="D547" s="193"/>
      <c r="E547" s="193"/>
      <c r="F547" s="193"/>
      <c r="G547" s="193"/>
      <c r="H547" s="81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 spans="1:27" ht="15.6">
      <c r="A548" s="193"/>
      <c r="B548" s="193"/>
      <c r="C548" s="193"/>
      <c r="D548" s="193"/>
      <c r="E548" s="193"/>
      <c r="F548" s="193"/>
      <c r="G548" s="193"/>
      <c r="H548" s="81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 spans="1:27" ht="15.6">
      <c r="A549" s="193"/>
      <c r="B549" s="193"/>
      <c r="C549" s="193"/>
      <c r="D549" s="193"/>
      <c r="E549" s="193"/>
      <c r="F549" s="193"/>
      <c r="G549" s="193"/>
      <c r="H549" s="81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 spans="1:27" ht="15.6">
      <c r="A550" s="193"/>
      <c r="B550" s="193"/>
      <c r="C550" s="193"/>
      <c r="D550" s="193"/>
      <c r="E550" s="193"/>
      <c r="F550" s="193"/>
      <c r="G550" s="193"/>
      <c r="H550" s="81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 spans="1:27" ht="15.6">
      <c r="A551" s="193"/>
      <c r="B551" s="193"/>
      <c r="C551" s="193"/>
      <c r="D551" s="193"/>
      <c r="E551" s="193"/>
      <c r="F551" s="193"/>
      <c r="G551" s="193"/>
      <c r="H551" s="81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 spans="1:27" ht="15.6">
      <c r="A552" s="193"/>
      <c r="B552" s="193"/>
      <c r="C552" s="193"/>
      <c r="D552" s="193"/>
      <c r="E552" s="193"/>
      <c r="F552" s="193"/>
      <c r="G552" s="193"/>
      <c r="H552" s="81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 spans="1:27" ht="15.6">
      <c r="A553" s="193"/>
      <c r="B553" s="193"/>
      <c r="C553" s="193"/>
      <c r="D553" s="193"/>
      <c r="E553" s="193"/>
      <c r="F553" s="193"/>
      <c r="G553" s="193"/>
      <c r="H553" s="81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 spans="1:27" ht="15.6">
      <c r="A554" s="193"/>
      <c r="B554" s="193"/>
      <c r="C554" s="193"/>
      <c r="D554" s="193"/>
      <c r="E554" s="193"/>
      <c r="F554" s="193"/>
      <c r="G554" s="193"/>
      <c r="H554" s="81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 spans="1:27" ht="15.6">
      <c r="A555" s="193"/>
      <c r="B555" s="193"/>
      <c r="C555" s="193"/>
      <c r="D555" s="193"/>
      <c r="E555" s="193"/>
      <c r="F555" s="193"/>
      <c r="G555" s="193"/>
      <c r="H555" s="81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 spans="1:27" ht="15.6">
      <c r="A556" s="193"/>
      <c r="B556" s="193"/>
      <c r="C556" s="193"/>
      <c r="D556" s="193"/>
      <c r="E556" s="193"/>
      <c r="F556" s="193"/>
      <c r="G556" s="193"/>
      <c r="H556" s="81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 spans="1:27" ht="15.6">
      <c r="A557" s="193"/>
      <c r="B557" s="193"/>
      <c r="C557" s="193"/>
      <c r="D557" s="193"/>
      <c r="E557" s="193"/>
      <c r="F557" s="193"/>
      <c r="G557" s="193"/>
      <c r="H557" s="81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 spans="1:27" ht="15.6">
      <c r="A558" s="193"/>
      <c r="B558" s="193"/>
      <c r="C558" s="193"/>
      <c r="D558" s="193"/>
      <c r="E558" s="193"/>
      <c r="F558" s="193"/>
      <c r="G558" s="193"/>
      <c r="H558" s="81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 spans="1:27" ht="15.6">
      <c r="A559" s="193"/>
      <c r="B559" s="193"/>
      <c r="C559" s="193"/>
      <c r="D559" s="193"/>
      <c r="E559" s="193"/>
      <c r="F559" s="193"/>
      <c r="G559" s="193"/>
      <c r="H559" s="81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 spans="1:27" ht="15.6">
      <c r="A560" s="193"/>
      <c r="B560" s="193"/>
      <c r="C560" s="193"/>
      <c r="D560" s="193"/>
      <c r="E560" s="193"/>
      <c r="F560" s="193"/>
      <c r="G560" s="193"/>
      <c r="H560" s="81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 spans="1:27" ht="15.6">
      <c r="A561" s="193"/>
      <c r="B561" s="193"/>
      <c r="C561" s="193"/>
      <c r="D561" s="193"/>
      <c r="E561" s="193"/>
      <c r="F561" s="193"/>
      <c r="G561" s="193"/>
      <c r="H561" s="81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 spans="1:27" ht="15.6">
      <c r="A562" s="193"/>
      <c r="B562" s="193"/>
      <c r="C562" s="193"/>
      <c r="D562" s="193"/>
      <c r="E562" s="193"/>
      <c r="F562" s="193"/>
      <c r="G562" s="193"/>
      <c r="H562" s="81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 spans="1:27" ht="15.6">
      <c r="A563" s="193"/>
      <c r="B563" s="193"/>
      <c r="C563" s="193"/>
      <c r="D563" s="193"/>
      <c r="E563" s="193"/>
      <c r="F563" s="193"/>
      <c r="G563" s="193"/>
      <c r="H563" s="81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 spans="1:27" ht="15.6">
      <c r="A564" s="193"/>
      <c r="B564" s="193"/>
      <c r="C564" s="193"/>
      <c r="D564" s="193"/>
      <c r="E564" s="193"/>
      <c r="F564" s="193"/>
      <c r="G564" s="193"/>
      <c r="H564" s="81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 spans="1:27" ht="15.6">
      <c r="A565" s="193"/>
      <c r="B565" s="193"/>
      <c r="C565" s="193"/>
      <c r="D565" s="193"/>
      <c r="E565" s="193"/>
      <c r="F565" s="193"/>
      <c r="G565" s="193"/>
      <c r="H565" s="81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 spans="1:27" ht="15.6">
      <c r="A566" s="193"/>
      <c r="B566" s="193"/>
      <c r="C566" s="193"/>
      <c r="D566" s="193"/>
      <c r="E566" s="193"/>
      <c r="F566" s="193"/>
      <c r="G566" s="193"/>
      <c r="H566" s="81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 spans="1:27" ht="15.6">
      <c r="A567" s="193"/>
      <c r="B567" s="193"/>
      <c r="C567" s="193"/>
      <c r="D567" s="193"/>
      <c r="E567" s="193"/>
      <c r="F567" s="193"/>
      <c r="G567" s="193"/>
      <c r="H567" s="81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 spans="1:27" ht="15.6">
      <c r="A568" s="193"/>
      <c r="B568" s="193"/>
      <c r="C568" s="193"/>
      <c r="D568" s="193"/>
      <c r="E568" s="193"/>
      <c r="F568" s="193"/>
      <c r="G568" s="193"/>
      <c r="H568" s="81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 spans="1:27" ht="15.6">
      <c r="A569" s="193"/>
      <c r="B569" s="193"/>
      <c r="C569" s="193"/>
      <c r="D569" s="193"/>
      <c r="E569" s="193"/>
      <c r="F569" s="193"/>
      <c r="G569" s="193"/>
      <c r="H569" s="81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 spans="1:27" ht="15.6">
      <c r="A570" s="193"/>
      <c r="B570" s="193"/>
      <c r="C570" s="193"/>
      <c r="D570" s="193"/>
      <c r="E570" s="193"/>
      <c r="F570" s="193"/>
      <c r="G570" s="193"/>
      <c r="H570" s="81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 spans="1:27" ht="15.6">
      <c r="A571" s="193"/>
      <c r="B571" s="193"/>
      <c r="C571" s="193"/>
      <c r="D571" s="193"/>
      <c r="E571" s="193"/>
      <c r="F571" s="193"/>
      <c r="G571" s="193"/>
      <c r="H571" s="81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 spans="1:27" ht="15.6">
      <c r="A572" s="193"/>
      <c r="B572" s="193"/>
      <c r="C572" s="193"/>
      <c r="D572" s="193"/>
      <c r="E572" s="193"/>
      <c r="F572" s="193"/>
      <c r="G572" s="193"/>
      <c r="H572" s="81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 spans="1:27" ht="15.6">
      <c r="A573" s="193"/>
      <c r="B573" s="193"/>
      <c r="C573" s="193"/>
      <c r="D573" s="193"/>
      <c r="E573" s="193"/>
      <c r="F573" s="193"/>
      <c r="G573" s="193"/>
      <c r="H573" s="81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 spans="1:27" ht="15.6">
      <c r="A574" s="193"/>
      <c r="B574" s="193"/>
      <c r="C574" s="193"/>
      <c r="D574" s="193"/>
      <c r="E574" s="193"/>
      <c r="F574" s="193"/>
      <c r="G574" s="193"/>
      <c r="H574" s="81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 spans="1:27" ht="15.6">
      <c r="A575" s="193"/>
      <c r="B575" s="193"/>
      <c r="C575" s="193"/>
      <c r="D575" s="193"/>
      <c r="E575" s="193"/>
      <c r="F575" s="193"/>
      <c r="G575" s="193"/>
      <c r="H575" s="81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 spans="1:27" ht="15.6">
      <c r="A576" s="193"/>
      <c r="B576" s="193"/>
      <c r="C576" s="193"/>
      <c r="D576" s="193"/>
      <c r="E576" s="193"/>
      <c r="F576" s="193"/>
      <c r="G576" s="193"/>
      <c r="H576" s="81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 spans="1:27" ht="15.6">
      <c r="A577" s="193"/>
      <c r="B577" s="193"/>
      <c r="C577" s="193"/>
      <c r="D577" s="193"/>
      <c r="E577" s="193"/>
      <c r="F577" s="193"/>
      <c r="G577" s="193"/>
      <c r="H577" s="81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 spans="1:27" ht="15.6">
      <c r="A578" s="193"/>
      <c r="B578" s="193"/>
      <c r="C578" s="193"/>
      <c r="D578" s="193"/>
      <c r="E578" s="193"/>
      <c r="F578" s="193"/>
      <c r="G578" s="193"/>
      <c r="H578" s="81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 spans="1:27" ht="15.6">
      <c r="A579" s="193"/>
      <c r="B579" s="193"/>
      <c r="C579" s="193"/>
      <c r="D579" s="193"/>
      <c r="E579" s="193"/>
      <c r="F579" s="193"/>
      <c r="G579" s="193"/>
      <c r="H579" s="81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 spans="1:27" ht="15.6">
      <c r="A580" s="193"/>
      <c r="B580" s="193"/>
      <c r="C580" s="193"/>
      <c r="D580" s="193"/>
      <c r="E580" s="193"/>
      <c r="F580" s="193"/>
      <c r="G580" s="193"/>
      <c r="H580" s="81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 spans="1:27" ht="15.6">
      <c r="A581" s="193"/>
      <c r="B581" s="193"/>
      <c r="C581" s="193"/>
      <c r="D581" s="193"/>
      <c r="E581" s="193"/>
      <c r="F581" s="193"/>
      <c r="G581" s="193"/>
      <c r="H581" s="81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 spans="1:27" ht="15.6">
      <c r="A582" s="193"/>
      <c r="B582" s="193"/>
      <c r="C582" s="193"/>
      <c r="D582" s="193"/>
      <c r="E582" s="193"/>
      <c r="F582" s="193"/>
      <c r="G582" s="193"/>
      <c r="H582" s="81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 spans="1:27" ht="15.6">
      <c r="A583" s="193"/>
      <c r="B583" s="193"/>
      <c r="C583" s="193"/>
      <c r="D583" s="193"/>
      <c r="E583" s="193"/>
      <c r="F583" s="193"/>
      <c r="G583" s="193"/>
      <c r="H583" s="81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 spans="1:27" ht="15.6">
      <c r="A584" s="193"/>
      <c r="B584" s="193"/>
      <c r="C584" s="193"/>
      <c r="D584" s="193"/>
      <c r="E584" s="193"/>
      <c r="F584" s="193"/>
      <c r="G584" s="193"/>
      <c r="H584" s="81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 spans="1:27" ht="15.6">
      <c r="A585" s="193"/>
      <c r="B585" s="193"/>
      <c r="C585" s="193"/>
      <c r="D585" s="193"/>
      <c r="E585" s="193"/>
      <c r="F585" s="193"/>
      <c r="G585" s="193"/>
      <c r="H585" s="81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 spans="1:27" ht="15.6">
      <c r="A586" s="193"/>
      <c r="B586" s="193"/>
      <c r="C586" s="193"/>
      <c r="D586" s="193"/>
      <c r="E586" s="193"/>
      <c r="F586" s="193"/>
      <c r="G586" s="193"/>
      <c r="H586" s="81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 spans="1:27" ht="15.6">
      <c r="A587" s="193"/>
      <c r="B587" s="193"/>
      <c r="C587" s="193"/>
      <c r="D587" s="193"/>
      <c r="E587" s="193"/>
      <c r="F587" s="193"/>
      <c r="G587" s="193"/>
      <c r="H587" s="81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 spans="1:27" ht="15.6">
      <c r="A588" s="193"/>
      <c r="B588" s="193"/>
      <c r="C588" s="193"/>
      <c r="D588" s="193"/>
      <c r="E588" s="193"/>
      <c r="F588" s="193"/>
      <c r="G588" s="193"/>
      <c r="H588" s="81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 spans="1:27" ht="15.6">
      <c r="A589" s="193"/>
      <c r="B589" s="193"/>
      <c r="C589" s="193"/>
      <c r="D589" s="193"/>
      <c r="E589" s="193"/>
      <c r="F589" s="193"/>
      <c r="G589" s="193"/>
      <c r="H589" s="81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 spans="1:27" ht="15.6">
      <c r="A590" s="193"/>
      <c r="B590" s="193"/>
      <c r="C590" s="193"/>
      <c r="D590" s="193"/>
      <c r="E590" s="193"/>
      <c r="F590" s="193"/>
      <c r="G590" s="193"/>
      <c r="H590" s="81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 spans="1:27" ht="15.6">
      <c r="A591" s="193"/>
      <c r="B591" s="193"/>
      <c r="C591" s="193"/>
      <c r="D591" s="193"/>
      <c r="E591" s="193"/>
      <c r="F591" s="193"/>
      <c r="G591" s="193"/>
      <c r="H591" s="81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 spans="1:27" ht="15.6">
      <c r="A592" s="193"/>
      <c r="B592" s="193"/>
      <c r="C592" s="193"/>
      <c r="D592" s="193"/>
      <c r="E592" s="193"/>
      <c r="F592" s="193"/>
      <c r="G592" s="193"/>
      <c r="H592" s="81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 spans="1:27" ht="15.6">
      <c r="A593" s="193"/>
      <c r="B593" s="193"/>
      <c r="C593" s="193"/>
      <c r="D593" s="193"/>
      <c r="E593" s="193"/>
      <c r="F593" s="193"/>
      <c r="G593" s="193"/>
      <c r="H593" s="81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 spans="1:27" ht="15.6">
      <c r="A594" s="193"/>
      <c r="B594" s="193"/>
      <c r="C594" s="193"/>
      <c r="D594" s="193"/>
      <c r="E594" s="193"/>
      <c r="F594" s="193"/>
      <c r="G594" s="193"/>
      <c r="H594" s="81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 spans="1:27" ht="15.6">
      <c r="A595" s="193"/>
      <c r="B595" s="193"/>
      <c r="C595" s="193"/>
      <c r="D595" s="193"/>
      <c r="E595" s="193"/>
      <c r="F595" s="193"/>
      <c r="G595" s="193"/>
      <c r="H595" s="81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 spans="1:27" ht="15.6">
      <c r="A596" s="193"/>
      <c r="B596" s="193"/>
      <c r="C596" s="193"/>
      <c r="D596" s="193"/>
      <c r="E596" s="193"/>
      <c r="F596" s="193"/>
      <c r="G596" s="193"/>
      <c r="H596" s="81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 spans="1:27" ht="15.6">
      <c r="A597" s="193"/>
      <c r="B597" s="193"/>
      <c r="C597" s="193"/>
      <c r="D597" s="193"/>
      <c r="E597" s="193"/>
      <c r="F597" s="193"/>
      <c r="G597" s="193"/>
      <c r="H597" s="81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 spans="1:27" ht="15.6">
      <c r="A598" s="193"/>
      <c r="B598" s="193"/>
      <c r="C598" s="193"/>
      <c r="D598" s="193"/>
      <c r="E598" s="193"/>
      <c r="F598" s="193"/>
      <c r="G598" s="193"/>
      <c r="H598" s="81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 spans="1:27" ht="15.6">
      <c r="A599" s="193"/>
      <c r="B599" s="193"/>
      <c r="C599" s="193"/>
      <c r="D599" s="193"/>
      <c r="E599" s="193"/>
      <c r="F599" s="193"/>
      <c r="G599" s="193"/>
      <c r="H599" s="81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 spans="1:27" ht="15.6">
      <c r="A600" s="193"/>
      <c r="B600" s="193"/>
      <c r="C600" s="193"/>
      <c r="D600" s="193"/>
      <c r="E600" s="193"/>
      <c r="F600" s="193"/>
      <c r="G600" s="193"/>
      <c r="H600" s="81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 spans="1:27" ht="15.6">
      <c r="A601" s="193"/>
      <c r="B601" s="193"/>
      <c r="C601" s="193"/>
      <c r="D601" s="193"/>
      <c r="E601" s="193"/>
      <c r="F601" s="193"/>
      <c r="G601" s="193"/>
      <c r="H601" s="81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 spans="1:27" ht="15.6">
      <c r="A602" s="193"/>
      <c r="B602" s="193"/>
      <c r="C602" s="193"/>
      <c r="D602" s="193"/>
      <c r="E602" s="193"/>
      <c r="F602" s="193"/>
      <c r="G602" s="193"/>
      <c r="H602" s="81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 spans="1:27" ht="15.6">
      <c r="A603" s="193"/>
      <c r="B603" s="193"/>
      <c r="C603" s="193"/>
      <c r="D603" s="193"/>
      <c r="E603" s="193"/>
      <c r="F603" s="193"/>
      <c r="G603" s="193"/>
      <c r="H603" s="81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 spans="1:27" ht="15.6">
      <c r="A604" s="193"/>
      <c r="B604" s="193"/>
      <c r="C604" s="193"/>
      <c r="D604" s="193"/>
      <c r="E604" s="193"/>
      <c r="F604" s="193"/>
      <c r="G604" s="193"/>
      <c r="H604" s="81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 spans="1:27" ht="15.6">
      <c r="A605" s="193"/>
      <c r="B605" s="193"/>
      <c r="C605" s="193"/>
      <c r="D605" s="193"/>
      <c r="E605" s="193"/>
      <c r="F605" s="193"/>
      <c r="G605" s="193"/>
      <c r="H605" s="81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 spans="1:27" ht="15.6">
      <c r="A606" s="193"/>
      <c r="B606" s="193"/>
      <c r="C606" s="193"/>
      <c r="D606" s="193"/>
      <c r="E606" s="193"/>
      <c r="F606" s="193"/>
      <c r="G606" s="193"/>
      <c r="H606" s="81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 spans="1:27" ht="15.6">
      <c r="A607" s="193"/>
      <c r="B607" s="193"/>
      <c r="C607" s="193"/>
      <c r="D607" s="193"/>
      <c r="E607" s="193"/>
      <c r="F607" s="193"/>
      <c r="G607" s="193"/>
      <c r="H607" s="81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 spans="1:27" ht="15.6">
      <c r="A608" s="193"/>
      <c r="B608" s="193"/>
      <c r="C608" s="193"/>
      <c r="D608" s="193"/>
      <c r="E608" s="193"/>
      <c r="F608" s="193"/>
      <c r="G608" s="193"/>
      <c r="H608" s="81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 spans="1:27" ht="15.6">
      <c r="A609" s="193"/>
      <c r="B609" s="193"/>
      <c r="C609" s="193"/>
      <c r="D609" s="193"/>
      <c r="E609" s="193"/>
      <c r="F609" s="193"/>
      <c r="G609" s="193"/>
      <c r="H609" s="81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 spans="1:27" ht="15.6">
      <c r="A610" s="193"/>
      <c r="B610" s="193"/>
      <c r="C610" s="193"/>
      <c r="D610" s="193"/>
      <c r="E610" s="193"/>
      <c r="F610" s="193"/>
      <c r="G610" s="193"/>
      <c r="H610" s="81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 spans="1:27" ht="15.6">
      <c r="A611" s="193"/>
      <c r="B611" s="193"/>
      <c r="C611" s="193"/>
      <c r="D611" s="193"/>
      <c r="E611" s="193"/>
      <c r="F611" s="193"/>
      <c r="G611" s="193"/>
      <c r="H611" s="81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 spans="1:27" ht="15.6">
      <c r="A612" s="193"/>
      <c r="B612" s="193"/>
      <c r="C612" s="193"/>
      <c r="D612" s="193"/>
      <c r="E612" s="193"/>
      <c r="F612" s="193"/>
      <c r="G612" s="193"/>
      <c r="H612" s="81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 spans="1:27" ht="15.6">
      <c r="A613" s="193"/>
      <c r="B613" s="193"/>
      <c r="C613" s="193"/>
      <c r="D613" s="193"/>
      <c r="E613" s="193"/>
      <c r="F613" s="193"/>
      <c r="G613" s="193"/>
      <c r="H613" s="81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 spans="1:27" ht="15.6">
      <c r="A614" s="193"/>
      <c r="B614" s="193"/>
      <c r="C614" s="193"/>
      <c r="D614" s="193"/>
      <c r="E614" s="193"/>
      <c r="F614" s="193"/>
      <c r="G614" s="193"/>
      <c r="H614" s="81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 spans="1:27" ht="15.6">
      <c r="A615" s="193"/>
      <c r="B615" s="193"/>
      <c r="C615" s="193"/>
      <c r="D615" s="193"/>
      <c r="E615" s="193"/>
      <c r="F615" s="193"/>
      <c r="G615" s="193"/>
      <c r="H615" s="81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 spans="1:27" ht="15.6">
      <c r="A616" s="193"/>
      <c r="B616" s="193"/>
      <c r="C616" s="193"/>
      <c r="D616" s="193"/>
      <c r="E616" s="193"/>
      <c r="F616" s="193"/>
      <c r="G616" s="193"/>
      <c r="H616" s="81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 spans="1:27" ht="15.6">
      <c r="A617" s="193"/>
      <c r="B617" s="193"/>
      <c r="C617" s="193"/>
      <c r="D617" s="193"/>
      <c r="E617" s="193"/>
      <c r="F617" s="193"/>
      <c r="G617" s="193"/>
      <c r="H617" s="81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 spans="1:27" ht="15.6">
      <c r="A618" s="193"/>
      <c r="B618" s="193"/>
      <c r="C618" s="193"/>
      <c r="D618" s="193"/>
      <c r="E618" s="193"/>
      <c r="F618" s="193"/>
      <c r="G618" s="193"/>
      <c r="H618" s="81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 spans="1:27" ht="15.6">
      <c r="A619" s="193"/>
      <c r="B619" s="193"/>
      <c r="C619" s="193"/>
      <c r="D619" s="193"/>
      <c r="E619" s="193"/>
      <c r="F619" s="193"/>
      <c r="G619" s="193"/>
      <c r="H619" s="81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 spans="1:27" ht="15.6">
      <c r="A620" s="193"/>
      <c r="B620" s="193"/>
      <c r="C620" s="193"/>
      <c r="D620" s="193"/>
      <c r="E620" s="193"/>
      <c r="F620" s="193"/>
      <c r="G620" s="193"/>
      <c r="H620" s="81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 spans="1:27" ht="15.6">
      <c r="A621" s="193"/>
      <c r="B621" s="193"/>
      <c r="C621" s="193"/>
      <c r="D621" s="193"/>
      <c r="E621" s="193"/>
      <c r="F621" s="193"/>
      <c r="G621" s="193"/>
      <c r="H621" s="81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 spans="1:27" ht="15.6">
      <c r="A622" s="193"/>
      <c r="B622" s="193"/>
      <c r="C622" s="193"/>
      <c r="D622" s="193"/>
      <c r="E622" s="193"/>
      <c r="F622" s="193"/>
      <c r="G622" s="193"/>
      <c r="H622" s="81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 spans="1:27" ht="15.6">
      <c r="A623" s="193"/>
      <c r="B623" s="193"/>
      <c r="C623" s="193"/>
      <c r="D623" s="193"/>
      <c r="E623" s="193"/>
      <c r="F623" s="193"/>
      <c r="G623" s="193"/>
      <c r="H623" s="81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 spans="1:27" ht="15.6">
      <c r="A624" s="193"/>
      <c r="B624" s="193"/>
      <c r="C624" s="193"/>
      <c r="D624" s="193"/>
      <c r="E624" s="193"/>
      <c r="F624" s="193"/>
      <c r="G624" s="193"/>
      <c r="H624" s="81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 spans="1:27" ht="15.6">
      <c r="A625" s="193"/>
      <c r="B625" s="193"/>
      <c r="C625" s="193"/>
      <c r="D625" s="193"/>
      <c r="E625" s="193"/>
      <c r="F625" s="193"/>
      <c r="G625" s="193"/>
      <c r="H625" s="81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 spans="1:27" ht="15.6">
      <c r="A626" s="193"/>
      <c r="B626" s="193"/>
      <c r="C626" s="193"/>
      <c r="D626" s="193"/>
      <c r="E626" s="193"/>
      <c r="F626" s="193"/>
      <c r="G626" s="193"/>
      <c r="H626" s="81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 spans="1:27" ht="15.6">
      <c r="A627" s="193"/>
      <c r="B627" s="193"/>
      <c r="C627" s="193"/>
      <c r="D627" s="193"/>
      <c r="E627" s="193"/>
      <c r="F627" s="193"/>
      <c r="G627" s="193"/>
      <c r="H627" s="81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 spans="1:27" ht="15.6">
      <c r="A628" s="193"/>
      <c r="B628" s="193"/>
      <c r="C628" s="193"/>
      <c r="D628" s="193"/>
      <c r="E628" s="193"/>
      <c r="F628" s="193"/>
      <c r="G628" s="193"/>
      <c r="H628" s="81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 spans="1:27" ht="15.6">
      <c r="A629" s="193"/>
      <c r="B629" s="193"/>
      <c r="C629" s="193"/>
      <c r="D629" s="193"/>
      <c r="E629" s="193"/>
      <c r="F629" s="193"/>
      <c r="G629" s="193"/>
      <c r="H629" s="81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 spans="1:27" ht="15.6">
      <c r="A630" s="193"/>
      <c r="B630" s="193"/>
      <c r="C630" s="193"/>
      <c r="D630" s="193"/>
      <c r="E630" s="193"/>
      <c r="F630" s="193"/>
      <c r="G630" s="193"/>
      <c r="H630" s="81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 spans="1:27" ht="15.6">
      <c r="A631" s="193"/>
      <c r="B631" s="193"/>
      <c r="C631" s="193"/>
      <c r="D631" s="193"/>
      <c r="E631" s="193"/>
      <c r="F631" s="193"/>
      <c r="G631" s="193"/>
      <c r="H631" s="81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 spans="1:27" ht="15.6">
      <c r="A632" s="193"/>
      <c r="B632" s="193"/>
      <c r="C632" s="193"/>
      <c r="D632" s="193"/>
      <c r="E632" s="193"/>
      <c r="F632" s="193"/>
      <c r="G632" s="193"/>
      <c r="H632" s="81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 spans="1:27" ht="15.6">
      <c r="A633" s="193"/>
      <c r="B633" s="193"/>
      <c r="C633" s="193"/>
      <c r="D633" s="193"/>
      <c r="E633" s="193"/>
      <c r="F633" s="193"/>
      <c r="G633" s="193"/>
      <c r="H633" s="81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 spans="1:27" ht="15.6">
      <c r="A634" s="193"/>
      <c r="B634" s="193"/>
      <c r="C634" s="193"/>
      <c r="D634" s="193"/>
      <c r="E634" s="193"/>
      <c r="F634" s="193"/>
      <c r="G634" s="193"/>
      <c r="H634" s="81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 spans="1:27" ht="15.6">
      <c r="A635" s="193"/>
      <c r="B635" s="193"/>
      <c r="C635" s="193"/>
      <c r="D635" s="193"/>
      <c r="E635" s="193"/>
      <c r="F635" s="193"/>
      <c r="G635" s="193"/>
      <c r="H635" s="81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 spans="1:27" ht="15.6">
      <c r="A636" s="193"/>
      <c r="B636" s="193"/>
      <c r="C636" s="193"/>
      <c r="D636" s="193"/>
      <c r="E636" s="193"/>
      <c r="F636" s="193"/>
      <c r="G636" s="193"/>
      <c r="H636" s="81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 spans="1:27" ht="15.6">
      <c r="A637" s="193"/>
      <c r="B637" s="193"/>
      <c r="C637" s="193"/>
      <c r="D637" s="193"/>
      <c r="E637" s="193"/>
      <c r="F637" s="193"/>
      <c r="G637" s="193"/>
      <c r="H637" s="81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 spans="1:27" ht="15.6">
      <c r="A638" s="193"/>
      <c r="B638" s="193"/>
      <c r="C638" s="193"/>
      <c r="D638" s="193"/>
      <c r="E638" s="193"/>
      <c r="F638" s="193"/>
      <c r="G638" s="193"/>
      <c r="H638" s="81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 spans="1:27" ht="15.6">
      <c r="A639" s="193"/>
      <c r="B639" s="193"/>
      <c r="C639" s="193"/>
      <c r="D639" s="193"/>
      <c r="E639" s="193"/>
      <c r="F639" s="193"/>
      <c r="G639" s="193"/>
      <c r="H639" s="81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 spans="1:27" ht="15.6">
      <c r="A640" s="193"/>
      <c r="B640" s="193"/>
      <c r="C640" s="193"/>
      <c r="D640" s="193"/>
      <c r="E640" s="193"/>
      <c r="F640" s="193"/>
      <c r="G640" s="193"/>
      <c r="H640" s="81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 spans="1:27" ht="15.6">
      <c r="A641" s="193"/>
      <c r="B641" s="193"/>
      <c r="C641" s="193"/>
      <c r="D641" s="193"/>
      <c r="E641" s="193"/>
      <c r="F641" s="193"/>
      <c r="G641" s="193"/>
      <c r="H641" s="81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 spans="1:27" ht="15.6">
      <c r="A642" s="193"/>
      <c r="B642" s="193"/>
      <c r="C642" s="193"/>
      <c r="D642" s="193"/>
      <c r="E642" s="193"/>
      <c r="F642" s="193"/>
      <c r="G642" s="193"/>
      <c r="H642" s="81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 spans="1:27" ht="15.6">
      <c r="A643" s="193"/>
      <c r="B643" s="193"/>
      <c r="C643" s="193"/>
      <c r="D643" s="193"/>
      <c r="E643" s="193"/>
      <c r="F643" s="193"/>
      <c r="G643" s="193"/>
      <c r="H643" s="81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 spans="1:27" ht="15.6">
      <c r="A644" s="193"/>
      <c r="B644" s="193"/>
      <c r="C644" s="193"/>
      <c r="D644" s="193"/>
      <c r="E644" s="193"/>
      <c r="F644" s="193"/>
      <c r="G644" s="193"/>
      <c r="H644" s="81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 spans="1:27" ht="15.6">
      <c r="A645" s="193"/>
      <c r="B645" s="193"/>
      <c r="C645" s="193"/>
      <c r="D645" s="193"/>
      <c r="E645" s="193"/>
      <c r="F645" s="193"/>
      <c r="G645" s="193"/>
      <c r="H645" s="81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 spans="1:27" ht="15.6">
      <c r="A646" s="193"/>
      <c r="B646" s="193"/>
      <c r="C646" s="193"/>
      <c r="D646" s="193"/>
      <c r="E646" s="193"/>
      <c r="F646" s="193"/>
      <c r="G646" s="193"/>
      <c r="H646" s="81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 spans="1:27" ht="15.6">
      <c r="A647" s="193"/>
      <c r="B647" s="193"/>
      <c r="C647" s="193"/>
      <c r="D647" s="193"/>
      <c r="E647" s="193"/>
      <c r="F647" s="193"/>
      <c r="G647" s="193"/>
      <c r="H647" s="81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 spans="1:27" ht="15.6">
      <c r="A648" s="193"/>
      <c r="B648" s="193"/>
      <c r="C648" s="193"/>
      <c r="D648" s="193"/>
      <c r="E648" s="193"/>
      <c r="F648" s="193"/>
      <c r="G648" s="193"/>
      <c r="H648" s="81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 spans="1:27" ht="15.6">
      <c r="A649" s="193"/>
      <c r="B649" s="193"/>
      <c r="C649" s="193"/>
      <c r="D649" s="193"/>
      <c r="E649" s="193"/>
      <c r="F649" s="193"/>
      <c r="G649" s="193"/>
      <c r="H649" s="81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 spans="1:27" ht="15.6">
      <c r="A650" s="193"/>
      <c r="B650" s="193"/>
      <c r="C650" s="193"/>
      <c r="D650" s="193"/>
      <c r="E650" s="193"/>
      <c r="F650" s="193"/>
      <c r="G650" s="193"/>
      <c r="H650" s="81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 spans="1:27" ht="15.6">
      <c r="A651" s="193"/>
      <c r="B651" s="193"/>
      <c r="C651" s="193"/>
      <c r="D651" s="193"/>
      <c r="E651" s="193"/>
      <c r="F651" s="193"/>
      <c r="G651" s="193"/>
      <c r="H651" s="81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 spans="1:27" ht="15.6">
      <c r="A652" s="193"/>
      <c r="B652" s="193"/>
      <c r="C652" s="193"/>
      <c r="D652" s="193"/>
      <c r="E652" s="193"/>
      <c r="F652" s="193"/>
      <c r="G652" s="193"/>
      <c r="H652" s="81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 spans="1:27" ht="15.6">
      <c r="A653" s="193"/>
      <c r="B653" s="193"/>
      <c r="C653" s="193"/>
      <c r="D653" s="193"/>
      <c r="E653" s="193"/>
      <c r="F653" s="193"/>
      <c r="G653" s="193"/>
      <c r="H653" s="81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 spans="1:27" ht="15.6">
      <c r="A654" s="193"/>
      <c r="B654" s="193"/>
      <c r="C654" s="193"/>
      <c r="D654" s="193"/>
      <c r="E654" s="193"/>
      <c r="F654" s="193"/>
      <c r="G654" s="193"/>
      <c r="H654" s="81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 spans="1:27" ht="15.6">
      <c r="A655" s="193"/>
      <c r="B655" s="193"/>
      <c r="C655" s="193"/>
      <c r="D655" s="193"/>
      <c r="E655" s="193"/>
      <c r="F655" s="193"/>
      <c r="G655" s="193"/>
      <c r="H655" s="81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 spans="1:27" ht="15.6">
      <c r="A656" s="193"/>
      <c r="B656" s="193"/>
      <c r="C656" s="193"/>
      <c r="D656" s="193"/>
      <c r="E656" s="193"/>
      <c r="F656" s="193"/>
      <c r="G656" s="193"/>
      <c r="H656" s="81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 spans="1:27" ht="15.6">
      <c r="A657" s="193"/>
      <c r="B657" s="193"/>
      <c r="C657" s="193"/>
      <c r="D657" s="193"/>
      <c r="E657" s="193"/>
      <c r="F657" s="193"/>
      <c r="G657" s="193"/>
      <c r="H657" s="81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 spans="1:27" ht="15.6">
      <c r="A658" s="193"/>
      <c r="B658" s="193"/>
      <c r="C658" s="193"/>
      <c r="D658" s="193"/>
      <c r="E658" s="193"/>
      <c r="F658" s="193"/>
      <c r="G658" s="193"/>
      <c r="H658" s="81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 spans="1:27" ht="15.6">
      <c r="A659" s="193"/>
      <c r="B659" s="193"/>
      <c r="C659" s="193"/>
      <c r="D659" s="193"/>
      <c r="E659" s="193"/>
      <c r="F659" s="193"/>
      <c r="G659" s="193"/>
      <c r="H659" s="81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 spans="1:27" ht="15.6">
      <c r="A660" s="193"/>
      <c r="B660" s="193"/>
      <c r="C660" s="193"/>
      <c r="D660" s="193"/>
      <c r="E660" s="193"/>
      <c r="F660" s="193"/>
      <c r="G660" s="193"/>
      <c r="H660" s="81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 spans="1:27" ht="15.6">
      <c r="A661" s="193"/>
      <c r="B661" s="193"/>
      <c r="C661" s="193"/>
      <c r="D661" s="193"/>
      <c r="E661" s="193"/>
      <c r="F661" s="193"/>
      <c r="G661" s="193"/>
      <c r="H661" s="81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 spans="1:27" ht="15.6">
      <c r="A662" s="193"/>
      <c r="B662" s="193"/>
      <c r="C662" s="193"/>
      <c r="D662" s="193"/>
      <c r="E662" s="193"/>
      <c r="F662" s="193"/>
      <c r="G662" s="193"/>
      <c r="H662" s="81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 spans="1:27" ht="15.6">
      <c r="A663" s="193"/>
      <c r="B663" s="193"/>
      <c r="C663" s="193"/>
      <c r="D663" s="193"/>
      <c r="E663" s="193"/>
      <c r="F663" s="193"/>
      <c r="G663" s="193"/>
      <c r="H663" s="81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 spans="1:27" ht="15.6">
      <c r="A664" s="193"/>
      <c r="B664" s="193"/>
      <c r="C664" s="193"/>
      <c r="D664" s="193"/>
      <c r="E664" s="193"/>
      <c r="F664" s="193"/>
      <c r="G664" s="193"/>
      <c r="H664" s="81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 spans="1:27" ht="15.6">
      <c r="A665" s="193"/>
      <c r="B665" s="193"/>
      <c r="C665" s="193"/>
      <c r="D665" s="193"/>
      <c r="E665" s="193"/>
      <c r="F665" s="193"/>
      <c r="G665" s="193"/>
      <c r="H665" s="81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 spans="1:27" ht="15.6">
      <c r="A666" s="193"/>
      <c r="B666" s="193"/>
      <c r="C666" s="193"/>
      <c r="D666" s="193"/>
      <c r="E666" s="193"/>
      <c r="F666" s="193"/>
      <c r="G666" s="193"/>
      <c r="H666" s="81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 spans="1:27" ht="15.6">
      <c r="A667" s="193"/>
      <c r="B667" s="193"/>
      <c r="C667" s="193"/>
      <c r="D667" s="193"/>
      <c r="E667" s="193"/>
      <c r="F667" s="193"/>
      <c r="G667" s="193"/>
      <c r="H667" s="81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 spans="1:27" ht="15.6">
      <c r="A668" s="193"/>
      <c r="B668" s="193"/>
      <c r="C668" s="193"/>
      <c r="D668" s="193"/>
      <c r="E668" s="193"/>
      <c r="F668" s="193"/>
      <c r="G668" s="193"/>
      <c r="H668" s="81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 spans="1:27" ht="15.6">
      <c r="A669" s="193"/>
      <c r="B669" s="193"/>
      <c r="C669" s="193"/>
      <c r="D669" s="193"/>
      <c r="E669" s="193"/>
      <c r="F669" s="193"/>
      <c r="G669" s="193"/>
      <c r="H669" s="81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 spans="1:27" ht="15.6">
      <c r="A670" s="193"/>
      <c r="B670" s="193"/>
      <c r="C670" s="193"/>
      <c r="D670" s="193"/>
      <c r="E670" s="193"/>
      <c r="F670" s="193"/>
      <c r="G670" s="193"/>
      <c r="H670" s="81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 spans="1:27" ht="15.6">
      <c r="A671" s="193"/>
      <c r="B671" s="193"/>
      <c r="C671" s="193"/>
      <c r="D671" s="193"/>
      <c r="E671" s="193"/>
      <c r="F671" s="193"/>
      <c r="G671" s="193"/>
      <c r="H671" s="81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 spans="1:27" ht="15.6">
      <c r="A672" s="193"/>
      <c r="B672" s="193"/>
      <c r="C672" s="193"/>
      <c r="D672" s="193"/>
      <c r="E672" s="193"/>
      <c r="F672" s="193"/>
      <c r="G672" s="193"/>
      <c r="H672" s="81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 spans="1:27" ht="15.6">
      <c r="A673" s="193"/>
      <c r="B673" s="193"/>
      <c r="C673" s="193"/>
      <c r="D673" s="193"/>
      <c r="E673" s="193"/>
      <c r="F673" s="193"/>
      <c r="G673" s="193"/>
      <c r="H673" s="81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</row>
    <row r="674" spans="1:27" ht="15.6">
      <c r="A674" s="193"/>
      <c r="B674" s="193"/>
      <c r="C674" s="193"/>
      <c r="D674" s="193"/>
      <c r="E674" s="193"/>
      <c r="F674" s="193"/>
      <c r="G674" s="193"/>
      <c r="H674" s="81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</row>
    <row r="675" spans="1:27" ht="15.6">
      <c r="A675" s="193"/>
      <c r="B675" s="193"/>
      <c r="C675" s="193"/>
      <c r="D675" s="193"/>
      <c r="E675" s="193"/>
      <c r="F675" s="193"/>
      <c r="G675" s="193"/>
      <c r="H675" s="81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</row>
    <row r="676" spans="1:27" ht="15.6">
      <c r="A676" s="193"/>
      <c r="B676" s="193"/>
      <c r="C676" s="193"/>
      <c r="D676" s="193"/>
      <c r="E676" s="193"/>
      <c r="F676" s="193"/>
      <c r="G676" s="193"/>
      <c r="H676" s="81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</row>
    <row r="677" spans="1:27" ht="15.6">
      <c r="A677" s="193"/>
      <c r="B677" s="193"/>
      <c r="C677" s="193"/>
      <c r="D677" s="193"/>
      <c r="E677" s="193"/>
      <c r="F677" s="193"/>
      <c r="G677" s="193"/>
      <c r="H677" s="81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</row>
    <row r="678" spans="1:27" ht="15.6">
      <c r="A678" s="193"/>
      <c r="B678" s="193"/>
      <c r="C678" s="193"/>
      <c r="D678" s="193"/>
      <c r="E678" s="193"/>
      <c r="F678" s="193"/>
      <c r="G678" s="193"/>
      <c r="H678" s="81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</row>
    <row r="679" spans="1:27" ht="15.6">
      <c r="A679" s="193"/>
      <c r="B679" s="193"/>
      <c r="C679" s="193"/>
      <c r="D679" s="193"/>
      <c r="E679" s="193"/>
      <c r="F679" s="193"/>
      <c r="G679" s="193"/>
      <c r="H679" s="81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</row>
    <row r="680" spans="1:27" ht="15.6">
      <c r="A680" s="193"/>
      <c r="B680" s="193"/>
      <c r="C680" s="193"/>
      <c r="D680" s="193"/>
      <c r="E680" s="193"/>
      <c r="F680" s="193"/>
      <c r="G680" s="193"/>
      <c r="H680" s="81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</row>
    <row r="681" spans="1:27" ht="15.6">
      <c r="A681" s="193"/>
      <c r="B681" s="193"/>
      <c r="C681" s="193"/>
      <c r="D681" s="193"/>
      <c r="E681" s="193"/>
      <c r="F681" s="193"/>
      <c r="G681" s="193"/>
      <c r="H681" s="81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</row>
    <row r="682" spans="1:27" ht="15.6">
      <c r="A682" s="193"/>
      <c r="B682" s="193"/>
      <c r="C682" s="193"/>
      <c r="D682" s="193"/>
      <c r="E682" s="193"/>
      <c r="F682" s="193"/>
      <c r="G682" s="193"/>
      <c r="H682" s="81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</row>
    <row r="683" spans="1:27" ht="15.6">
      <c r="A683" s="193"/>
      <c r="B683" s="193"/>
      <c r="C683" s="193"/>
      <c r="D683" s="193"/>
      <c r="E683" s="193"/>
      <c r="F683" s="193"/>
      <c r="G683" s="193"/>
      <c r="H683" s="81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</row>
    <row r="684" spans="1:27" ht="15.6">
      <c r="A684" s="193"/>
      <c r="B684" s="193"/>
      <c r="C684" s="193"/>
      <c r="D684" s="193"/>
      <c r="E684" s="193"/>
      <c r="F684" s="193"/>
      <c r="G684" s="193"/>
      <c r="H684" s="81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</row>
    <row r="685" spans="1:27" ht="15.6">
      <c r="A685" s="193"/>
      <c r="B685" s="193"/>
      <c r="C685" s="193"/>
      <c r="D685" s="193"/>
      <c r="E685" s="193"/>
      <c r="F685" s="193"/>
      <c r="G685" s="193"/>
      <c r="H685" s="81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</row>
    <row r="686" spans="1:27" ht="15.6">
      <c r="A686" s="193"/>
      <c r="B686" s="193"/>
      <c r="C686" s="193"/>
      <c r="D686" s="193"/>
      <c r="E686" s="193"/>
      <c r="F686" s="193"/>
      <c r="G686" s="193"/>
      <c r="H686" s="81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</row>
    <row r="687" spans="1:27" ht="15.6">
      <c r="A687" s="193"/>
      <c r="B687" s="193"/>
      <c r="C687" s="193"/>
      <c r="D687" s="193"/>
      <c r="E687" s="193"/>
      <c r="F687" s="193"/>
      <c r="G687" s="193"/>
      <c r="H687" s="81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</row>
    <row r="688" spans="1:27" ht="15.6">
      <c r="A688" s="193"/>
      <c r="B688" s="193"/>
      <c r="C688" s="193"/>
      <c r="D688" s="193"/>
      <c r="E688" s="193"/>
      <c r="F688" s="193"/>
      <c r="G688" s="193"/>
      <c r="H688" s="81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</row>
    <row r="689" spans="1:27" ht="15.6">
      <c r="A689" s="193"/>
      <c r="B689" s="193"/>
      <c r="C689" s="193"/>
      <c r="D689" s="193"/>
      <c r="E689" s="193"/>
      <c r="F689" s="193"/>
      <c r="G689" s="193"/>
      <c r="H689" s="81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</row>
    <row r="690" spans="1:27" ht="15.6">
      <c r="A690" s="193"/>
      <c r="B690" s="193"/>
      <c r="C690" s="193"/>
      <c r="D690" s="193"/>
      <c r="E690" s="193"/>
      <c r="F690" s="193"/>
      <c r="G690" s="193"/>
      <c r="H690" s="81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</row>
    <row r="691" spans="1:27" ht="15.6">
      <c r="A691" s="193"/>
      <c r="B691" s="193"/>
      <c r="C691" s="193"/>
      <c r="D691" s="193"/>
      <c r="E691" s="193"/>
      <c r="F691" s="193"/>
      <c r="G691" s="193"/>
      <c r="H691" s="81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</row>
    <row r="692" spans="1:27" ht="15.6">
      <c r="A692" s="193"/>
      <c r="B692" s="193"/>
      <c r="C692" s="193"/>
      <c r="D692" s="193"/>
      <c r="E692" s="193"/>
      <c r="F692" s="193"/>
      <c r="G692" s="193"/>
      <c r="H692" s="81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</row>
    <row r="693" spans="1:27" ht="15.6">
      <c r="A693" s="193"/>
      <c r="B693" s="193"/>
      <c r="C693" s="193"/>
      <c r="D693" s="193"/>
      <c r="E693" s="193"/>
      <c r="F693" s="193"/>
      <c r="G693" s="193"/>
      <c r="H693" s="81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</row>
    <row r="694" spans="1:27" ht="15.6">
      <c r="A694" s="193"/>
      <c r="B694" s="193"/>
      <c r="C694" s="193"/>
      <c r="D694" s="193"/>
      <c r="E694" s="193"/>
      <c r="F694" s="193"/>
      <c r="G694" s="193"/>
      <c r="H694" s="81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</row>
    <row r="695" spans="1:27" ht="15.6">
      <c r="A695" s="193"/>
      <c r="B695" s="193"/>
      <c r="C695" s="193"/>
      <c r="D695" s="193"/>
      <c r="E695" s="193"/>
      <c r="F695" s="193"/>
      <c r="G695" s="193"/>
      <c r="H695" s="81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</row>
    <row r="696" spans="1:27" ht="15.6">
      <c r="A696" s="193"/>
      <c r="B696" s="193"/>
      <c r="C696" s="193"/>
      <c r="D696" s="193"/>
      <c r="E696" s="193"/>
      <c r="F696" s="193"/>
      <c r="G696" s="193"/>
      <c r="H696" s="81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</row>
    <row r="697" spans="1:27" ht="15.6">
      <c r="A697" s="193"/>
      <c r="B697" s="193"/>
      <c r="C697" s="193"/>
      <c r="D697" s="193"/>
      <c r="E697" s="193"/>
      <c r="F697" s="193"/>
      <c r="G697" s="193"/>
      <c r="H697" s="81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</row>
    <row r="698" spans="1:27" ht="15.6">
      <c r="A698" s="193"/>
      <c r="B698" s="193"/>
      <c r="C698" s="193"/>
      <c r="D698" s="193"/>
      <c r="E698" s="193"/>
      <c r="F698" s="193"/>
      <c r="G698" s="193"/>
      <c r="H698" s="81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</row>
    <row r="699" spans="1:27" ht="15.6">
      <c r="A699" s="193"/>
      <c r="B699" s="193"/>
      <c r="C699" s="193"/>
      <c r="D699" s="193"/>
      <c r="E699" s="193"/>
      <c r="F699" s="193"/>
      <c r="G699" s="193"/>
      <c r="H699" s="81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</row>
    <row r="700" spans="1:27" ht="15.6">
      <c r="A700" s="193"/>
      <c r="B700" s="193"/>
      <c r="C700" s="193"/>
      <c r="D700" s="193"/>
      <c r="E700" s="193"/>
      <c r="F700" s="193"/>
      <c r="G700" s="193"/>
      <c r="H700" s="81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</row>
    <row r="701" spans="1:27" ht="15.6">
      <c r="A701" s="193"/>
      <c r="B701" s="193"/>
      <c r="C701" s="193"/>
      <c r="D701" s="193"/>
      <c r="E701" s="193"/>
      <c r="F701" s="193"/>
      <c r="G701" s="193"/>
      <c r="H701" s="81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</row>
    <row r="702" spans="1:27" ht="15.6">
      <c r="A702" s="193"/>
      <c r="B702" s="193"/>
      <c r="C702" s="193"/>
      <c r="D702" s="193"/>
      <c r="E702" s="193"/>
      <c r="F702" s="193"/>
      <c r="G702" s="193"/>
      <c r="H702" s="81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</row>
    <row r="703" spans="1:27" ht="15.6">
      <c r="A703" s="193"/>
      <c r="B703" s="193"/>
      <c r="C703" s="193"/>
      <c r="D703" s="193"/>
      <c r="E703" s="193"/>
      <c r="F703" s="193"/>
      <c r="G703" s="193"/>
      <c r="H703" s="81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</row>
    <row r="704" spans="1:27" ht="15.6">
      <c r="A704" s="193"/>
      <c r="B704" s="193"/>
      <c r="C704" s="193"/>
      <c r="D704" s="193"/>
      <c r="E704" s="193"/>
      <c r="F704" s="193"/>
      <c r="G704" s="193"/>
      <c r="H704" s="81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</row>
    <row r="705" spans="1:27" ht="15.6">
      <c r="A705" s="193"/>
      <c r="B705" s="193"/>
      <c r="C705" s="193"/>
      <c r="D705" s="193"/>
      <c r="E705" s="193"/>
      <c r="F705" s="193"/>
      <c r="G705" s="193"/>
      <c r="H705" s="81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</row>
    <row r="706" spans="1:27" ht="15.6">
      <c r="A706" s="193"/>
      <c r="B706" s="193"/>
      <c r="C706" s="193"/>
      <c r="D706" s="193"/>
      <c r="E706" s="193"/>
      <c r="F706" s="193"/>
      <c r="G706" s="193"/>
      <c r="H706" s="81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</row>
    <row r="707" spans="1:27" ht="15.6">
      <c r="A707" s="193"/>
      <c r="B707" s="193"/>
      <c r="C707" s="193"/>
      <c r="D707" s="193"/>
      <c r="E707" s="193"/>
      <c r="F707" s="193"/>
      <c r="G707" s="193"/>
      <c r="H707" s="81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</row>
    <row r="708" spans="1:27" ht="15.6">
      <c r="A708" s="193"/>
      <c r="B708" s="193"/>
      <c r="C708" s="193"/>
      <c r="D708" s="193"/>
      <c r="E708" s="193"/>
      <c r="F708" s="193"/>
      <c r="G708" s="193"/>
      <c r="H708" s="81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</row>
    <row r="709" spans="1:27" ht="15.6">
      <c r="A709" s="193"/>
      <c r="B709" s="193"/>
      <c r="C709" s="193"/>
      <c r="D709" s="193"/>
      <c r="E709" s="193"/>
      <c r="F709" s="193"/>
      <c r="G709" s="193"/>
      <c r="H709" s="81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</row>
    <row r="710" spans="1:27" ht="15.6">
      <c r="A710" s="193"/>
      <c r="B710" s="193"/>
      <c r="C710" s="193"/>
      <c r="D710" s="193"/>
      <c r="E710" s="193"/>
      <c r="F710" s="193"/>
      <c r="G710" s="193"/>
      <c r="H710" s="81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</row>
    <row r="711" spans="1:27" ht="15.6">
      <c r="A711" s="193"/>
      <c r="B711" s="193"/>
      <c r="C711" s="193"/>
      <c r="D711" s="193"/>
      <c r="E711" s="193"/>
      <c r="F711" s="193"/>
      <c r="G711" s="193"/>
      <c r="H711" s="81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</row>
    <row r="712" spans="1:27" ht="15.6">
      <c r="A712" s="193"/>
      <c r="B712" s="193"/>
      <c r="C712" s="193"/>
      <c r="D712" s="193"/>
      <c r="E712" s="193"/>
      <c r="F712" s="193"/>
      <c r="G712" s="193"/>
      <c r="H712" s="81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</row>
    <row r="713" spans="1:27" ht="15.6">
      <c r="A713" s="193"/>
      <c r="B713" s="193"/>
      <c r="C713" s="193"/>
      <c r="D713" s="193"/>
      <c r="E713" s="193"/>
      <c r="F713" s="193"/>
      <c r="G713" s="193"/>
      <c r="H713" s="81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</row>
    <row r="714" spans="1:27" ht="15.6">
      <c r="A714" s="193"/>
      <c r="B714" s="193"/>
      <c r="C714" s="193"/>
      <c r="D714" s="193"/>
      <c r="E714" s="193"/>
      <c r="F714" s="193"/>
      <c r="G714" s="193"/>
      <c r="H714" s="81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</row>
    <row r="715" spans="1:27" ht="15.6">
      <c r="A715" s="193"/>
      <c r="B715" s="193"/>
      <c r="C715" s="193"/>
      <c r="D715" s="193"/>
      <c r="E715" s="193"/>
      <c r="F715" s="193"/>
      <c r="G715" s="193"/>
      <c r="H715" s="81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</row>
    <row r="716" spans="1:27" ht="15.6">
      <c r="A716" s="193"/>
      <c r="B716" s="193"/>
      <c r="C716" s="193"/>
      <c r="D716" s="193"/>
      <c r="E716" s="193"/>
      <c r="F716" s="193"/>
      <c r="G716" s="193"/>
      <c r="H716" s="81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</row>
    <row r="717" spans="1:27" ht="15.6">
      <c r="A717" s="193"/>
      <c r="B717" s="193"/>
      <c r="C717" s="193"/>
      <c r="D717" s="193"/>
      <c r="E717" s="193"/>
      <c r="F717" s="193"/>
      <c r="G717" s="193"/>
      <c r="H717" s="81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</row>
    <row r="718" spans="1:27" ht="15.6">
      <c r="A718" s="193"/>
      <c r="B718" s="193"/>
      <c r="C718" s="193"/>
      <c r="D718" s="193"/>
      <c r="E718" s="193"/>
      <c r="F718" s="193"/>
      <c r="G718" s="193"/>
      <c r="H718" s="81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</row>
    <row r="719" spans="1:27" ht="15.6">
      <c r="A719" s="193"/>
      <c r="B719" s="193"/>
      <c r="C719" s="193"/>
      <c r="D719" s="193"/>
      <c r="E719" s="193"/>
      <c r="F719" s="193"/>
      <c r="G719" s="193"/>
      <c r="H719" s="81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</row>
    <row r="720" spans="1:27" ht="15.6">
      <c r="A720" s="193"/>
      <c r="B720" s="193"/>
      <c r="C720" s="193"/>
      <c r="D720" s="193"/>
      <c r="E720" s="193"/>
      <c r="F720" s="193"/>
      <c r="G720" s="193"/>
      <c r="H720" s="81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</row>
    <row r="721" spans="1:27" ht="15.6">
      <c r="A721" s="193"/>
      <c r="B721" s="193"/>
      <c r="C721" s="193"/>
      <c r="D721" s="193"/>
      <c r="E721" s="193"/>
      <c r="F721" s="193"/>
      <c r="G721" s="193"/>
      <c r="H721" s="81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</row>
    <row r="722" spans="1:27" ht="15.6">
      <c r="A722" s="193"/>
      <c r="B722" s="193"/>
      <c r="C722" s="193"/>
      <c r="D722" s="193"/>
      <c r="E722" s="193"/>
      <c r="F722" s="193"/>
      <c r="G722" s="193"/>
      <c r="H722" s="81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</row>
    <row r="723" spans="1:27" ht="15.6">
      <c r="A723" s="193"/>
      <c r="B723" s="193"/>
      <c r="C723" s="193"/>
      <c r="D723" s="193"/>
      <c r="E723" s="193"/>
      <c r="F723" s="193"/>
      <c r="G723" s="193"/>
      <c r="H723" s="81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</row>
    <row r="724" spans="1:27" ht="15.6">
      <c r="A724" s="193"/>
      <c r="B724" s="193"/>
      <c r="C724" s="193"/>
      <c r="D724" s="193"/>
      <c r="E724" s="193"/>
      <c r="F724" s="193"/>
      <c r="G724" s="193"/>
      <c r="H724" s="81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</row>
    <row r="725" spans="1:27" ht="15.6">
      <c r="A725" s="193"/>
      <c r="B725" s="193"/>
      <c r="C725" s="193"/>
      <c r="D725" s="193"/>
      <c r="E725" s="193"/>
      <c r="F725" s="193"/>
      <c r="G725" s="193"/>
      <c r="H725" s="81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</row>
    <row r="726" spans="1:27" ht="15.6">
      <c r="A726" s="193"/>
      <c r="B726" s="193"/>
      <c r="C726" s="193"/>
      <c r="D726" s="193"/>
      <c r="E726" s="193"/>
      <c r="F726" s="193"/>
      <c r="G726" s="193"/>
      <c r="H726" s="81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</row>
    <row r="727" spans="1:27" ht="15.6">
      <c r="A727" s="193"/>
      <c r="B727" s="193"/>
      <c r="C727" s="193"/>
      <c r="D727" s="193"/>
      <c r="E727" s="193"/>
      <c r="F727" s="193"/>
      <c r="G727" s="193"/>
      <c r="H727" s="81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</row>
    <row r="728" spans="1:27" ht="15.6">
      <c r="A728" s="193"/>
      <c r="B728" s="193"/>
      <c r="C728" s="193"/>
      <c r="D728" s="193"/>
      <c r="E728" s="193"/>
      <c r="F728" s="193"/>
      <c r="G728" s="193"/>
      <c r="H728" s="81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</row>
    <row r="729" spans="1:27" ht="15.6">
      <c r="A729" s="193"/>
      <c r="B729" s="193"/>
      <c r="C729" s="193"/>
      <c r="D729" s="193"/>
      <c r="E729" s="193"/>
      <c r="F729" s="193"/>
      <c r="G729" s="193"/>
      <c r="H729" s="81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</row>
    <row r="730" spans="1:27" ht="15.6">
      <c r="A730" s="193"/>
      <c r="B730" s="193"/>
      <c r="C730" s="193"/>
      <c r="D730" s="193"/>
      <c r="E730" s="193"/>
      <c r="F730" s="193"/>
      <c r="G730" s="193"/>
      <c r="H730" s="81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</row>
    <row r="731" spans="1:27" ht="15.6">
      <c r="A731" s="193"/>
      <c r="B731" s="193"/>
      <c r="C731" s="193"/>
      <c r="D731" s="193"/>
      <c r="E731" s="193"/>
      <c r="F731" s="193"/>
      <c r="G731" s="193"/>
      <c r="H731" s="81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</row>
    <row r="732" spans="1:27" ht="15.6">
      <c r="A732" s="193"/>
      <c r="B732" s="193"/>
      <c r="C732" s="193"/>
      <c r="D732" s="193"/>
      <c r="E732" s="193"/>
      <c r="F732" s="193"/>
      <c r="G732" s="193"/>
      <c r="H732" s="81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</row>
    <row r="733" spans="1:27" ht="15.6">
      <c r="A733" s="193"/>
      <c r="B733" s="193"/>
      <c r="C733" s="193"/>
      <c r="D733" s="193"/>
      <c r="E733" s="193"/>
      <c r="F733" s="193"/>
      <c r="G733" s="193"/>
      <c r="H733" s="81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</row>
    <row r="734" spans="1:27" ht="15.6">
      <c r="A734" s="193"/>
      <c r="B734" s="193"/>
      <c r="C734" s="193"/>
      <c r="D734" s="193"/>
      <c r="E734" s="193"/>
      <c r="F734" s="193"/>
      <c r="G734" s="193"/>
      <c r="H734" s="81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</row>
    <row r="735" spans="1:27" ht="15.6">
      <c r="A735" s="193"/>
      <c r="B735" s="193"/>
      <c r="C735" s="193"/>
      <c r="D735" s="193"/>
      <c r="E735" s="193"/>
      <c r="F735" s="193"/>
      <c r="G735" s="193"/>
      <c r="H735" s="81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</row>
    <row r="736" spans="1:27" ht="15.6">
      <c r="A736" s="193"/>
      <c r="B736" s="193"/>
      <c r="C736" s="193"/>
      <c r="D736" s="193"/>
      <c r="E736" s="193"/>
      <c r="F736" s="193"/>
      <c r="G736" s="193"/>
      <c r="H736" s="81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</row>
    <row r="737" spans="1:27" ht="15.6">
      <c r="A737" s="193"/>
      <c r="B737" s="193"/>
      <c r="C737" s="193"/>
      <c r="D737" s="193"/>
      <c r="E737" s="193"/>
      <c r="F737" s="193"/>
      <c r="G737" s="193"/>
      <c r="H737" s="81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</row>
    <row r="738" spans="1:27" ht="15.6">
      <c r="A738" s="193"/>
      <c r="B738" s="193"/>
      <c r="C738" s="193"/>
      <c r="D738" s="193"/>
      <c r="E738" s="193"/>
      <c r="F738" s="193"/>
      <c r="G738" s="193"/>
      <c r="H738" s="81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</row>
    <row r="739" spans="1:27" ht="15.6">
      <c r="A739" s="193"/>
      <c r="B739" s="193"/>
      <c r="C739" s="193"/>
      <c r="D739" s="193"/>
      <c r="E739" s="193"/>
      <c r="F739" s="193"/>
      <c r="G739" s="193"/>
      <c r="H739" s="81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</row>
    <row r="740" spans="1:27" ht="15.6">
      <c r="A740" s="193"/>
      <c r="B740" s="193"/>
      <c r="C740" s="193"/>
      <c r="D740" s="193"/>
      <c r="E740" s="193"/>
      <c r="F740" s="193"/>
      <c r="G740" s="193"/>
      <c r="H740" s="81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</row>
    <row r="741" spans="1:27" ht="15.6">
      <c r="A741" s="193"/>
      <c r="B741" s="193"/>
      <c r="C741" s="193"/>
      <c r="D741" s="193"/>
      <c r="E741" s="193"/>
      <c r="F741" s="193"/>
      <c r="G741" s="193"/>
      <c r="H741" s="81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</row>
    <row r="742" spans="1:27" ht="15.6">
      <c r="A742" s="193"/>
      <c r="B742" s="193"/>
      <c r="C742" s="193"/>
      <c r="D742" s="193"/>
      <c r="E742" s="193"/>
      <c r="F742" s="193"/>
      <c r="G742" s="193"/>
      <c r="H742" s="81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</row>
    <row r="743" spans="1:27" ht="15.6">
      <c r="A743" s="193"/>
      <c r="B743" s="193"/>
      <c r="C743" s="193"/>
      <c r="D743" s="193"/>
      <c r="E743" s="193"/>
      <c r="F743" s="193"/>
      <c r="G743" s="193"/>
      <c r="H743" s="81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</row>
  </sheetData>
  <mergeCells count="6">
    <mergeCell ref="B90:G90"/>
    <mergeCell ref="B1:G1"/>
    <mergeCell ref="B2:G2"/>
    <mergeCell ref="B4:G4"/>
    <mergeCell ref="B50:G50"/>
    <mergeCell ref="B73:G7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AEC7-7129-44CC-94B8-B3F1F200A8E2}">
  <sheetPr>
    <tabColor theme="9"/>
    <outlinePr summaryBelow="0" summaryRight="0"/>
  </sheetPr>
  <dimension ref="A1:AA676"/>
  <sheetViews>
    <sheetView workbookViewId="0">
      <selection activeCell="J4" sqref="J4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125" customWidth="1"/>
    <col min="9" max="16384" width="12.7109375" style="79"/>
  </cols>
  <sheetData>
    <row r="1" spans="1:27" ht="15.75" customHeight="1">
      <c r="A1" s="298" t="s">
        <v>694</v>
      </c>
      <c r="B1" s="298"/>
      <c r="C1" s="298"/>
      <c r="D1" s="298"/>
      <c r="E1" s="298"/>
      <c r="F1" s="298"/>
      <c r="G1" s="298"/>
      <c r="H1" s="298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</row>
    <row r="2" spans="1:27" ht="15.75" customHeight="1">
      <c r="A2" s="212" t="s">
        <v>299</v>
      </c>
      <c r="B2" s="298" t="s">
        <v>300</v>
      </c>
      <c r="C2" s="298"/>
      <c r="D2" s="298"/>
      <c r="E2" s="298" t="s">
        <v>695</v>
      </c>
      <c r="F2" s="298"/>
      <c r="G2" s="299" t="s">
        <v>696</v>
      </c>
      <c r="H2" s="299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</row>
    <row r="3" spans="1:27" ht="15.6">
      <c r="A3" s="213"/>
      <c r="B3" s="296" t="s">
        <v>663</v>
      </c>
      <c r="C3" s="296"/>
      <c r="D3" s="296"/>
      <c r="E3" s="297"/>
      <c r="F3" s="297"/>
      <c r="G3" s="297"/>
      <c r="H3" s="297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161">
        <v>1</v>
      </c>
      <c r="B4" s="292" t="s">
        <v>664</v>
      </c>
      <c r="C4" s="292"/>
      <c r="D4" s="292"/>
      <c r="E4" s="293"/>
      <c r="F4" s="293"/>
      <c r="G4" s="294"/>
      <c r="H4" s="295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spans="1:27" ht="15.6">
      <c r="A5" s="161">
        <v>2</v>
      </c>
      <c r="B5" s="292" t="s">
        <v>665</v>
      </c>
      <c r="C5" s="292"/>
      <c r="D5" s="292"/>
      <c r="E5" s="293"/>
      <c r="F5" s="293"/>
      <c r="G5" s="295"/>
      <c r="H5" s="295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 ht="15.6">
      <c r="A6" s="161">
        <v>3</v>
      </c>
      <c r="B6" s="292" t="s">
        <v>666</v>
      </c>
      <c r="C6" s="292"/>
      <c r="D6" s="292"/>
      <c r="E6" s="293"/>
      <c r="F6" s="293"/>
      <c r="G6" s="295"/>
      <c r="H6" s="295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 ht="15.6">
      <c r="A7" s="161">
        <v>4</v>
      </c>
      <c r="B7" s="292" t="s">
        <v>667</v>
      </c>
      <c r="C7" s="292"/>
      <c r="D7" s="292"/>
      <c r="E7" s="293"/>
      <c r="F7" s="293"/>
      <c r="G7" s="295"/>
      <c r="H7" s="295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 ht="15.6">
      <c r="A8" s="161">
        <v>5</v>
      </c>
      <c r="B8" s="292" t="s">
        <v>668</v>
      </c>
      <c r="C8" s="292"/>
      <c r="D8" s="292"/>
      <c r="E8" s="293"/>
      <c r="F8" s="293"/>
      <c r="G8" s="295"/>
      <c r="H8" s="295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15.6">
      <c r="A9" s="161">
        <v>6</v>
      </c>
      <c r="B9" s="292" t="s">
        <v>669</v>
      </c>
      <c r="C9" s="292"/>
      <c r="D9" s="292"/>
      <c r="E9" s="293"/>
      <c r="F9" s="293"/>
      <c r="G9" s="295"/>
      <c r="H9" s="295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 ht="15.6">
      <c r="A10" s="161">
        <v>7</v>
      </c>
      <c r="B10" s="292" t="s">
        <v>670</v>
      </c>
      <c r="C10" s="292"/>
      <c r="D10" s="292"/>
      <c r="E10" s="293"/>
      <c r="F10" s="293"/>
      <c r="G10" s="295"/>
      <c r="H10" s="295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ht="15.6">
      <c r="A11" s="161">
        <v>8</v>
      </c>
      <c r="B11" s="292" t="s">
        <v>671</v>
      </c>
      <c r="C11" s="292"/>
      <c r="D11" s="292"/>
      <c r="E11" s="293"/>
      <c r="F11" s="293"/>
      <c r="G11" s="295"/>
      <c r="H11" s="295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ht="15.6">
      <c r="A12" s="161">
        <v>9</v>
      </c>
      <c r="B12" s="292" t="s">
        <v>672</v>
      </c>
      <c r="C12" s="292"/>
      <c r="D12" s="292"/>
      <c r="E12" s="293"/>
      <c r="F12" s="293"/>
      <c r="G12" s="295"/>
      <c r="H12" s="295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spans="1:27" ht="15.6">
      <c r="A13" s="161">
        <v>10</v>
      </c>
      <c r="B13" s="292" t="s">
        <v>673</v>
      </c>
      <c r="C13" s="292"/>
      <c r="D13" s="292"/>
      <c r="E13" s="293"/>
      <c r="F13" s="293"/>
      <c r="G13" s="295"/>
      <c r="H13" s="295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ht="15.6">
      <c r="A14" s="161">
        <v>11</v>
      </c>
      <c r="B14" s="292" t="s">
        <v>674</v>
      </c>
      <c r="C14" s="292"/>
      <c r="D14" s="292"/>
      <c r="E14" s="293"/>
      <c r="F14" s="293"/>
      <c r="G14" s="295"/>
      <c r="H14" s="295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.6">
      <c r="A15" s="161">
        <v>12</v>
      </c>
      <c r="B15" s="292" t="s">
        <v>675</v>
      </c>
      <c r="C15" s="292"/>
      <c r="D15" s="292"/>
      <c r="E15" s="293"/>
      <c r="F15" s="293"/>
      <c r="G15" s="295"/>
      <c r="H15" s="295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.6">
      <c r="A16" s="161">
        <v>13</v>
      </c>
      <c r="B16" s="292" t="s">
        <v>676</v>
      </c>
      <c r="C16" s="292"/>
      <c r="D16" s="292"/>
      <c r="E16" s="293"/>
      <c r="F16" s="293"/>
      <c r="G16" s="295"/>
      <c r="H16" s="295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27" ht="15.6">
      <c r="A17" s="161">
        <v>14</v>
      </c>
      <c r="B17" s="292" t="s">
        <v>677</v>
      </c>
      <c r="C17" s="292"/>
      <c r="D17" s="292"/>
      <c r="E17" s="293"/>
      <c r="F17" s="293"/>
      <c r="G17" s="295"/>
      <c r="H17" s="295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7" ht="15.6">
      <c r="A18" s="213"/>
      <c r="B18" s="296" t="s">
        <v>678</v>
      </c>
      <c r="C18" s="296"/>
      <c r="D18" s="296"/>
      <c r="E18" s="297"/>
      <c r="F18" s="297"/>
      <c r="G18" s="297"/>
      <c r="H18" s="297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 spans="1:27" ht="15.6">
      <c r="A19" s="161">
        <v>1</v>
      </c>
      <c r="B19" s="292" t="s">
        <v>679</v>
      </c>
      <c r="C19" s="292"/>
      <c r="D19" s="292"/>
      <c r="E19" s="293"/>
      <c r="F19" s="293"/>
      <c r="G19" s="294"/>
      <c r="H19" s="295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 spans="1:27" ht="15.6">
      <c r="A20" s="161">
        <v>2</v>
      </c>
      <c r="B20" s="292" t="s">
        <v>680</v>
      </c>
      <c r="C20" s="292"/>
      <c r="D20" s="292"/>
      <c r="E20" s="293"/>
      <c r="F20" s="293"/>
      <c r="G20" s="295"/>
      <c r="H20" s="295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  <row r="21" spans="1:27" ht="15.6">
      <c r="A21" s="161">
        <v>3</v>
      </c>
      <c r="B21" s="292" t="s">
        <v>681</v>
      </c>
      <c r="C21" s="292"/>
      <c r="D21" s="292"/>
      <c r="E21" s="293"/>
      <c r="F21" s="293"/>
      <c r="G21" s="295"/>
      <c r="H21" s="295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</row>
    <row r="22" spans="1:27" ht="15.6">
      <c r="A22" s="161">
        <v>4</v>
      </c>
      <c r="B22" s="292" t="s">
        <v>682</v>
      </c>
      <c r="C22" s="292"/>
      <c r="D22" s="292"/>
      <c r="E22" s="293"/>
      <c r="F22" s="293"/>
      <c r="G22" s="295"/>
      <c r="H22" s="295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</row>
    <row r="23" spans="1:27" ht="15.6">
      <c r="A23" s="161">
        <v>5</v>
      </c>
      <c r="B23" s="292" t="s">
        <v>683</v>
      </c>
      <c r="C23" s="292"/>
      <c r="D23" s="292"/>
      <c r="E23" s="293"/>
      <c r="F23" s="293"/>
      <c r="G23" s="295"/>
      <c r="H23" s="295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spans="1:27" ht="15.6">
      <c r="A24" s="161">
        <v>6</v>
      </c>
      <c r="B24" s="292" t="s">
        <v>655</v>
      </c>
      <c r="C24" s="292"/>
      <c r="D24" s="292"/>
      <c r="E24" s="293"/>
      <c r="F24" s="293"/>
      <c r="G24" s="295"/>
      <c r="H24" s="295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spans="1:27" ht="15.6">
      <c r="A25" s="161">
        <v>7</v>
      </c>
      <c r="B25" s="292" t="s">
        <v>684</v>
      </c>
      <c r="C25" s="292"/>
      <c r="D25" s="292"/>
      <c r="E25" s="293"/>
      <c r="F25" s="293"/>
      <c r="G25" s="295"/>
      <c r="H25" s="295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spans="1:27" ht="15.6">
      <c r="A26" s="161">
        <v>8</v>
      </c>
      <c r="B26" s="292" t="s">
        <v>685</v>
      </c>
      <c r="C26" s="292"/>
      <c r="D26" s="292"/>
      <c r="E26" s="293"/>
      <c r="F26" s="293"/>
      <c r="G26" s="295"/>
      <c r="H26" s="295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6">
      <c r="A27" s="161">
        <v>9</v>
      </c>
      <c r="B27" s="292" t="s">
        <v>686</v>
      </c>
      <c r="C27" s="292"/>
      <c r="D27" s="292"/>
      <c r="E27" s="293"/>
      <c r="F27" s="293"/>
      <c r="G27" s="295"/>
      <c r="H27" s="295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15.6">
      <c r="A28" s="161">
        <v>10</v>
      </c>
      <c r="B28" s="292" t="s">
        <v>687</v>
      </c>
      <c r="C28" s="292"/>
      <c r="D28" s="292"/>
      <c r="E28" s="293"/>
      <c r="F28" s="293"/>
      <c r="G28" s="295"/>
      <c r="H28" s="295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ht="15.6">
      <c r="A29" s="193"/>
      <c r="B29" s="193"/>
      <c r="C29" s="193"/>
      <c r="D29" s="193"/>
      <c r="E29" s="193"/>
      <c r="F29" s="193"/>
      <c r="G29" s="193"/>
      <c r="H29" s="81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spans="1:27" ht="15.6">
      <c r="A30" s="193"/>
      <c r="B30" s="193"/>
      <c r="C30" s="193"/>
      <c r="D30" s="193"/>
      <c r="E30" s="193"/>
      <c r="F30" s="193"/>
      <c r="G30" s="193"/>
      <c r="H30" s="81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</row>
    <row r="31" spans="1:27" ht="15.6">
      <c r="A31" s="193"/>
      <c r="B31" s="193"/>
      <c r="C31" s="193"/>
      <c r="D31" s="193"/>
      <c r="E31" s="193"/>
      <c r="F31" s="193"/>
      <c r="G31" s="193"/>
      <c r="H31" s="81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</row>
    <row r="32" spans="1:27" ht="15.6">
      <c r="A32" s="193"/>
      <c r="B32" s="193"/>
      <c r="C32" s="193"/>
      <c r="D32" s="193"/>
      <c r="E32" s="193"/>
      <c r="F32" s="193"/>
      <c r="G32" s="193"/>
      <c r="H32" s="81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</row>
    <row r="33" spans="1:27" ht="15.6">
      <c r="A33" s="193"/>
      <c r="B33" s="193"/>
      <c r="C33" s="193"/>
      <c r="D33" s="193"/>
      <c r="E33" s="193"/>
      <c r="F33" s="193"/>
      <c r="G33" s="193"/>
      <c r="H33" s="8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spans="1:27" ht="15.6">
      <c r="A34" s="193"/>
      <c r="B34" s="193"/>
      <c r="C34" s="193"/>
      <c r="D34" s="193"/>
      <c r="E34" s="193"/>
      <c r="F34" s="193"/>
      <c r="G34" s="193"/>
      <c r="H34" s="81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spans="1:27" ht="15.6">
      <c r="A35" s="193"/>
      <c r="B35" s="193"/>
      <c r="C35" s="193"/>
      <c r="D35" s="193"/>
      <c r="E35" s="193"/>
      <c r="F35" s="193"/>
      <c r="G35" s="193"/>
      <c r="H35" s="8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spans="1:27" ht="15.6">
      <c r="A36" s="193"/>
      <c r="B36" s="193"/>
      <c r="C36" s="193"/>
      <c r="D36" s="193"/>
      <c r="E36" s="193"/>
      <c r="F36" s="193"/>
      <c r="G36" s="193"/>
      <c r="H36" s="81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spans="1:27" ht="15.6">
      <c r="A37" s="193"/>
      <c r="B37" s="193"/>
      <c r="C37" s="193"/>
      <c r="D37" s="193"/>
      <c r="E37" s="193"/>
      <c r="F37" s="193"/>
      <c r="G37" s="193"/>
      <c r="H37" s="8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spans="1:27" ht="15.6">
      <c r="A38" s="193"/>
      <c r="B38" s="193"/>
      <c r="C38" s="193"/>
      <c r="D38" s="193"/>
      <c r="E38" s="193"/>
      <c r="F38" s="193"/>
      <c r="G38" s="193"/>
      <c r="H38" s="81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spans="1:27" ht="15.6">
      <c r="A39" s="193"/>
      <c r="B39" s="193"/>
      <c r="C39" s="193"/>
      <c r="D39" s="193"/>
      <c r="E39" s="193"/>
      <c r="F39" s="193"/>
      <c r="G39" s="193"/>
      <c r="H39" s="81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</row>
    <row r="40" spans="1:27" ht="15.6">
      <c r="A40" s="193"/>
      <c r="B40" s="193"/>
      <c r="C40" s="193"/>
      <c r="D40" s="193"/>
      <c r="E40" s="193"/>
      <c r="F40" s="193"/>
      <c r="G40" s="193"/>
      <c r="H40" s="81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spans="1:27" ht="15.6">
      <c r="A41" s="193"/>
      <c r="B41" s="193"/>
      <c r="C41" s="193"/>
      <c r="D41" s="193"/>
      <c r="E41" s="193"/>
      <c r="F41" s="193"/>
      <c r="G41" s="193"/>
      <c r="H41" s="81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</row>
    <row r="42" spans="1:27" ht="15.6">
      <c r="A42" s="193"/>
      <c r="B42" s="193"/>
      <c r="C42" s="193"/>
      <c r="D42" s="193"/>
      <c r="E42" s="193"/>
      <c r="F42" s="193"/>
      <c r="G42" s="193"/>
      <c r="H42" s="81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</row>
    <row r="43" spans="1:27" ht="15.6">
      <c r="A43" s="193"/>
      <c r="B43" s="193"/>
      <c r="C43" s="193"/>
      <c r="D43" s="193"/>
      <c r="E43" s="193"/>
      <c r="F43" s="193"/>
      <c r="G43" s="193"/>
      <c r="H43" s="81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spans="1:27" ht="15.6">
      <c r="A44" s="193"/>
      <c r="B44" s="193"/>
      <c r="C44" s="193"/>
      <c r="D44" s="193"/>
      <c r="E44" s="193"/>
      <c r="F44" s="193"/>
      <c r="G44" s="193"/>
      <c r="H44" s="81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spans="1:27" ht="15.6">
      <c r="A45" s="193"/>
      <c r="B45" s="193"/>
      <c r="C45" s="193"/>
      <c r="D45" s="193"/>
      <c r="E45" s="193"/>
      <c r="F45" s="193"/>
      <c r="G45" s="193"/>
      <c r="H45" s="8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spans="1:27" ht="15.6">
      <c r="A46" s="193"/>
      <c r="B46" s="193"/>
      <c r="C46" s="193"/>
      <c r="D46" s="193"/>
      <c r="E46" s="193"/>
      <c r="F46" s="193"/>
      <c r="G46" s="193"/>
      <c r="H46" s="81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spans="1:27" ht="15.6">
      <c r="A47" s="193"/>
      <c r="B47" s="193"/>
      <c r="C47" s="193"/>
      <c r="D47" s="193"/>
      <c r="E47" s="193"/>
      <c r="F47" s="193"/>
      <c r="G47" s="193"/>
      <c r="H47" s="81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spans="1:27" ht="15.6">
      <c r="A48" s="193"/>
      <c r="B48" s="193"/>
      <c r="C48" s="193"/>
      <c r="D48" s="193"/>
      <c r="E48" s="193"/>
      <c r="F48" s="193"/>
      <c r="G48" s="193"/>
      <c r="H48" s="81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spans="1:27" ht="15.6">
      <c r="A49" s="193"/>
      <c r="B49" s="193"/>
      <c r="C49" s="193"/>
      <c r="D49" s="193"/>
      <c r="E49" s="193"/>
      <c r="F49" s="193"/>
      <c r="G49" s="193"/>
      <c r="H49" s="8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6">
      <c r="A50" s="193"/>
      <c r="B50" s="193"/>
      <c r="C50" s="193"/>
      <c r="D50" s="193"/>
      <c r="E50" s="193"/>
      <c r="F50" s="193"/>
      <c r="G50" s="193"/>
      <c r="H50" s="81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6">
      <c r="A51" s="193"/>
      <c r="B51" s="193"/>
      <c r="C51" s="193"/>
      <c r="D51" s="193"/>
      <c r="E51" s="193"/>
      <c r="F51" s="193"/>
      <c r="G51" s="193"/>
      <c r="H51" s="81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6">
      <c r="A52" s="193"/>
      <c r="B52" s="193"/>
      <c r="C52" s="193"/>
      <c r="D52" s="193"/>
      <c r="E52" s="193"/>
      <c r="F52" s="193"/>
      <c r="G52" s="193"/>
      <c r="H52" s="81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6">
      <c r="A53" s="193"/>
      <c r="B53" s="193"/>
      <c r="C53" s="193"/>
      <c r="D53" s="193"/>
      <c r="E53" s="193"/>
      <c r="F53" s="193"/>
      <c r="G53" s="193"/>
      <c r="H53" s="81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6">
      <c r="A54" s="193"/>
      <c r="B54" s="193"/>
      <c r="C54" s="193"/>
      <c r="D54" s="193"/>
      <c r="E54" s="193"/>
      <c r="F54" s="193"/>
      <c r="G54" s="193"/>
      <c r="H54" s="81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6">
      <c r="A55" s="193"/>
      <c r="B55" s="193"/>
      <c r="C55" s="193"/>
      <c r="D55" s="193"/>
      <c r="E55" s="193"/>
      <c r="F55" s="193"/>
      <c r="G55" s="193"/>
      <c r="H55" s="81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5.6">
      <c r="A56" s="193"/>
      <c r="B56" s="193"/>
      <c r="C56" s="193"/>
      <c r="D56" s="193"/>
      <c r="E56" s="193"/>
      <c r="F56" s="193"/>
      <c r="G56" s="193"/>
      <c r="H56" s="81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spans="1:27" ht="15.6">
      <c r="A57" s="193"/>
      <c r="B57" s="193"/>
      <c r="C57" s="193"/>
      <c r="D57" s="193"/>
      <c r="E57" s="193"/>
      <c r="F57" s="193"/>
      <c r="G57" s="193"/>
      <c r="H57" s="81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spans="1:27" ht="15.6">
      <c r="A58" s="193"/>
      <c r="B58" s="193"/>
      <c r="C58" s="193"/>
      <c r="D58" s="193"/>
      <c r="E58" s="193"/>
      <c r="F58" s="193"/>
      <c r="G58" s="193"/>
      <c r="H58" s="81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 ht="15.6">
      <c r="A59" s="193"/>
      <c r="B59" s="193"/>
      <c r="C59" s="193"/>
      <c r="D59" s="193"/>
      <c r="E59" s="193"/>
      <c r="F59" s="193"/>
      <c r="G59" s="193"/>
      <c r="H59" s="81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spans="1:27" ht="15.6">
      <c r="A60" s="193"/>
      <c r="B60" s="193"/>
      <c r="C60" s="193"/>
      <c r="D60" s="193"/>
      <c r="E60" s="193"/>
      <c r="F60" s="193"/>
      <c r="G60" s="193"/>
      <c r="H60" s="81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spans="1:27" ht="15.6">
      <c r="A61" s="193"/>
      <c r="B61" s="193"/>
      <c r="C61" s="193"/>
      <c r="D61" s="193"/>
      <c r="E61" s="193"/>
      <c r="F61" s="193"/>
      <c r="G61" s="193"/>
      <c r="H61" s="81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spans="1:27" ht="15.6">
      <c r="A62" s="193"/>
      <c r="B62" s="193"/>
      <c r="C62" s="193"/>
      <c r="D62" s="193"/>
      <c r="E62" s="193"/>
      <c r="F62" s="193"/>
      <c r="G62" s="193"/>
      <c r="H62" s="81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spans="1:27" ht="15.6">
      <c r="A63" s="193"/>
      <c r="B63" s="193"/>
      <c r="C63" s="193"/>
      <c r="D63" s="193"/>
      <c r="E63" s="193"/>
      <c r="F63" s="193"/>
      <c r="G63" s="193"/>
      <c r="H63" s="81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spans="1:27" ht="15.6">
      <c r="A64" s="193"/>
      <c r="B64" s="193"/>
      <c r="C64" s="193"/>
      <c r="D64" s="193"/>
      <c r="E64" s="193"/>
      <c r="F64" s="193"/>
      <c r="G64" s="193"/>
      <c r="H64" s="81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27" ht="15.6">
      <c r="A65" s="193"/>
      <c r="B65" s="193"/>
      <c r="C65" s="193"/>
      <c r="D65" s="193"/>
      <c r="E65" s="193"/>
      <c r="F65" s="193"/>
      <c r="G65" s="193"/>
      <c r="H65" s="81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spans="1:27" ht="15.6">
      <c r="A66" s="193"/>
      <c r="B66" s="193"/>
      <c r="C66" s="193"/>
      <c r="D66" s="193"/>
      <c r="E66" s="193"/>
      <c r="F66" s="193"/>
      <c r="G66" s="193"/>
      <c r="H66" s="81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</row>
    <row r="67" spans="1:27" ht="15.6">
      <c r="A67" s="193"/>
      <c r="B67" s="193"/>
      <c r="C67" s="193"/>
      <c r="D67" s="193"/>
      <c r="E67" s="193"/>
      <c r="F67" s="193"/>
      <c r="G67" s="193"/>
      <c r="H67" s="81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spans="1:27" ht="15.6">
      <c r="A68" s="193"/>
      <c r="B68" s="193"/>
      <c r="C68" s="193"/>
      <c r="D68" s="193"/>
      <c r="E68" s="193"/>
      <c r="F68" s="193"/>
      <c r="G68" s="193"/>
      <c r="H68" s="81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spans="1:27" ht="15.6">
      <c r="A69" s="193"/>
      <c r="B69" s="193"/>
      <c r="C69" s="193"/>
      <c r="D69" s="193"/>
      <c r="E69" s="193"/>
      <c r="F69" s="193"/>
      <c r="G69" s="193"/>
      <c r="H69" s="81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spans="1:27" ht="15.6">
      <c r="A70" s="193"/>
      <c r="B70" s="193"/>
      <c r="C70" s="193"/>
      <c r="D70" s="193"/>
      <c r="E70" s="193"/>
      <c r="F70" s="193"/>
      <c r="G70" s="193"/>
      <c r="H70" s="81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 ht="15.6">
      <c r="A71" s="193"/>
      <c r="B71" s="193"/>
      <c r="C71" s="193"/>
      <c r="D71" s="193"/>
      <c r="E71" s="193"/>
      <c r="F71" s="193"/>
      <c r="G71" s="193"/>
      <c r="H71" s="81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 ht="15.6">
      <c r="A72" s="193"/>
      <c r="B72" s="193"/>
      <c r="C72" s="193"/>
      <c r="D72" s="193"/>
      <c r="E72" s="193"/>
      <c r="F72" s="193"/>
      <c r="G72" s="193"/>
      <c r="H72" s="81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 ht="15.6">
      <c r="A73" s="193"/>
      <c r="B73" s="193"/>
      <c r="C73" s="193"/>
      <c r="D73" s="193"/>
      <c r="E73" s="193"/>
      <c r="F73" s="193"/>
      <c r="G73" s="193"/>
      <c r="H73" s="81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 ht="15.6">
      <c r="A74" s="193"/>
      <c r="B74" s="193"/>
      <c r="C74" s="193"/>
      <c r="D74" s="193"/>
      <c r="E74" s="193"/>
      <c r="F74" s="193"/>
      <c r="G74" s="193"/>
      <c r="H74" s="81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 ht="15.6">
      <c r="A75" s="193"/>
      <c r="B75" s="193"/>
      <c r="C75" s="193"/>
      <c r="D75" s="193"/>
      <c r="E75" s="193"/>
      <c r="F75" s="193"/>
      <c r="G75" s="193"/>
      <c r="H75" s="81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 ht="15.6">
      <c r="A76" s="193"/>
      <c r="B76" s="193"/>
      <c r="C76" s="193"/>
      <c r="D76" s="193"/>
      <c r="E76" s="193"/>
      <c r="F76" s="193"/>
      <c r="G76" s="193"/>
      <c r="H76" s="81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 ht="15.6">
      <c r="A77" s="193"/>
      <c r="B77" s="193"/>
      <c r="C77" s="193"/>
      <c r="D77" s="193"/>
      <c r="E77" s="193"/>
      <c r="F77" s="193"/>
      <c r="G77" s="193"/>
      <c r="H77" s="81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15.6">
      <c r="A78" s="193"/>
      <c r="B78" s="193"/>
      <c r="C78" s="193"/>
      <c r="D78" s="193"/>
      <c r="E78" s="193"/>
      <c r="F78" s="193"/>
      <c r="G78" s="193"/>
      <c r="H78" s="81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6">
      <c r="A79" s="193"/>
      <c r="B79" s="193"/>
      <c r="C79" s="193"/>
      <c r="D79" s="193"/>
      <c r="E79" s="193"/>
      <c r="F79" s="193"/>
      <c r="G79" s="193"/>
      <c r="H79" s="81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5.6">
      <c r="A80" s="193"/>
      <c r="B80" s="193"/>
      <c r="C80" s="193"/>
      <c r="D80" s="193"/>
      <c r="E80" s="193"/>
      <c r="F80" s="193"/>
      <c r="G80" s="193"/>
      <c r="H80" s="81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spans="1:27" ht="15.6">
      <c r="A81" s="193"/>
      <c r="B81" s="193"/>
      <c r="C81" s="193"/>
      <c r="D81" s="193"/>
      <c r="E81" s="193"/>
      <c r="F81" s="193"/>
      <c r="G81" s="193"/>
      <c r="H81" s="81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spans="1:27" ht="15.6">
      <c r="A82" s="193"/>
      <c r="B82" s="193"/>
      <c r="C82" s="193"/>
      <c r="D82" s="193"/>
      <c r="E82" s="193"/>
      <c r="F82" s="193"/>
      <c r="G82" s="193"/>
      <c r="H82" s="81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</row>
    <row r="83" spans="1:27" ht="15.6">
      <c r="A83" s="193"/>
      <c r="B83" s="193"/>
      <c r="C83" s="193"/>
      <c r="D83" s="193"/>
      <c r="E83" s="193"/>
      <c r="F83" s="193"/>
      <c r="G83" s="193"/>
      <c r="H83" s="81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</row>
    <row r="84" spans="1:27" ht="15.6">
      <c r="A84" s="193"/>
      <c r="B84" s="193"/>
      <c r="C84" s="193"/>
      <c r="D84" s="193"/>
      <c r="E84" s="193"/>
      <c r="F84" s="193"/>
      <c r="G84" s="193"/>
      <c r="H84" s="81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</row>
    <row r="85" spans="1:27" ht="15.6">
      <c r="A85" s="193"/>
      <c r="B85" s="193"/>
      <c r="C85" s="193"/>
      <c r="D85" s="193"/>
      <c r="E85" s="193"/>
      <c r="F85" s="193"/>
      <c r="G85" s="193"/>
      <c r="H85" s="81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</row>
    <row r="86" spans="1:27" ht="15.6">
      <c r="A86" s="193"/>
      <c r="B86" s="193"/>
      <c r="C86" s="193"/>
      <c r="D86" s="193"/>
      <c r="E86" s="193"/>
      <c r="F86" s="193"/>
      <c r="G86" s="193"/>
      <c r="H86" s="81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</row>
    <row r="87" spans="1:27" ht="15.6">
      <c r="A87" s="193"/>
      <c r="B87" s="193"/>
      <c r="C87" s="193"/>
      <c r="D87" s="193"/>
      <c r="E87" s="193"/>
      <c r="F87" s="193"/>
      <c r="G87" s="193"/>
      <c r="H87" s="81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</row>
    <row r="88" spans="1:27" ht="15.6">
      <c r="A88" s="193"/>
      <c r="B88" s="193"/>
      <c r="C88" s="193"/>
      <c r="D88" s="193"/>
      <c r="E88" s="193"/>
      <c r="F88" s="193"/>
      <c r="G88" s="193"/>
      <c r="H88" s="81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</row>
    <row r="89" spans="1:27" ht="15.6">
      <c r="A89" s="193"/>
      <c r="B89" s="193"/>
      <c r="C89" s="193"/>
      <c r="D89" s="193"/>
      <c r="E89" s="193"/>
      <c r="F89" s="193"/>
      <c r="G89" s="193"/>
      <c r="H89" s="81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</row>
    <row r="90" spans="1:27" ht="15.6">
      <c r="A90" s="193"/>
      <c r="B90" s="193"/>
      <c r="C90" s="193"/>
      <c r="D90" s="193"/>
      <c r="E90" s="193"/>
      <c r="F90" s="193"/>
      <c r="G90" s="193"/>
      <c r="H90" s="81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</row>
    <row r="91" spans="1:27" ht="15.6">
      <c r="A91" s="193"/>
      <c r="B91" s="193"/>
      <c r="C91" s="193"/>
      <c r="D91" s="193"/>
      <c r="E91" s="193"/>
      <c r="F91" s="193"/>
      <c r="G91" s="193"/>
      <c r="H91" s="81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spans="1:27" ht="15.6">
      <c r="A92" s="193"/>
      <c r="B92" s="193"/>
      <c r="C92" s="193"/>
      <c r="D92" s="193"/>
      <c r="E92" s="193"/>
      <c r="F92" s="193"/>
      <c r="G92" s="193"/>
      <c r="H92" s="81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spans="1:27" ht="15.6">
      <c r="A93" s="193"/>
      <c r="B93" s="193"/>
      <c r="C93" s="193"/>
      <c r="D93" s="193"/>
      <c r="E93" s="193"/>
      <c r="F93" s="193"/>
      <c r="G93" s="193"/>
      <c r="H93" s="81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spans="1:27" ht="15.6">
      <c r="A94" s="193"/>
      <c r="B94" s="193"/>
      <c r="C94" s="193"/>
      <c r="D94" s="193"/>
      <c r="E94" s="193"/>
      <c r="F94" s="193"/>
      <c r="G94" s="193"/>
      <c r="H94" s="81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spans="1:27" ht="15.6">
      <c r="A95" s="193"/>
      <c r="B95" s="193"/>
      <c r="C95" s="193"/>
      <c r="D95" s="193"/>
      <c r="E95" s="193"/>
      <c r="F95" s="193"/>
      <c r="G95" s="193"/>
      <c r="H95" s="81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</row>
    <row r="96" spans="1:27" ht="15.6">
      <c r="A96" s="193"/>
      <c r="B96" s="193"/>
      <c r="C96" s="193"/>
      <c r="D96" s="193"/>
      <c r="E96" s="193"/>
      <c r="F96" s="193"/>
      <c r="G96" s="193"/>
      <c r="H96" s="81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</row>
    <row r="97" spans="1:27" ht="15.6">
      <c r="A97" s="193"/>
      <c r="B97" s="193"/>
      <c r="C97" s="193"/>
      <c r="D97" s="193"/>
      <c r="E97" s="193"/>
      <c r="F97" s="193"/>
      <c r="G97" s="193"/>
      <c r="H97" s="81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</row>
    <row r="98" spans="1:27" ht="15.6">
      <c r="A98" s="193"/>
      <c r="B98" s="193"/>
      <c r="C98" s="193"/>
      <c r="D98" s="193"/>
      <c r="E98" s="193"/>
      <c r="F98" s="193"/>
      <c r="G98" s="193"/>
      <c r="H98" s="81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</row>
    <row r="99" spans="1:27" ht="15.6">
      <c r="A99" s="193"/>
      <c r="B99" s="193"/>
      <c r="C99" s="193"/>
      <c r="D99" s="193"/>
      <c r="E99" s="193"/>
      <c r="F99" s="193"/>
      <c r="G99" s="193"/>
      <c r="H99" s="81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</row>
    <row r="100" spans="1:27" ht="15.6">
      <c r="A100" s="193"/>
      <c r="B100" s="193"/>
      <c r="C100" s="193"/>
      <c r="D100" s="193"/>
      <c r="E100" s="193"/>
      <c r="F100" s="193"/>
      <c r="G100" s="193"/>
      <c r="H100" s="81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</row>
    <row r="101" spans="1:27" ht="15.6">
      <c r="A101" s="193"/>
      <c r="B101" s="193"/>
      <c r="C101" s="193"/>
      <c r="D101" s="193"/>
      <c r="E101" s="193"/>
      <c r="F101" s="193"/>
      <c r="G101" s="193"/>
      <c r="H101" s="81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spans="1:27" ht="15.6">
      <c r="A102" s="193"/>
      <c r="B102" s="193"/>
      <c r="C102" s="193"/>
      <c r="D102" s="193"/>
      <c r="E102" s="193"/>
      <c r="F102" s="193"/>
      <c r="G102" s="193"/>
      <c r="H102" s="81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spans="1:27" ht="15.6">
      <c r="A103" s="193"/>
      <c r="B103" s="193"/>
      <c r="C103" s="193"/>
      <c r="D103" s="193"/>
      <c r="E103" s="193"/>
      <c r="F103" s="193"/>
      <c r="G103" s="193"/>
      <c r="H103" s="81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spans="1:27" ht="15.6">
      <c r="A104" s="193"/>
      <c r="B104" s="193"/>
      <c r="C104" s="193"/>
      <c r="D104" s="193"/>
      <c r="E104" s="193"/>
      <c r="F104" s="193"/>
      <c r="G104" s="193"/>
      <c r="H104" s="81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</row>
    <row r="105" spans="1:27" ht="15.6">
      <c r="A105" s="193"/>
      <c r="B105" s="193"/>
      <c r="C105" s="193"/>
      <c r="D105" s="193"/>
      <c r="E105" s="193"/>
      <c r="F105" s="193"/>
      <c r="G105" s="193"/>
      <c r="H105" s="81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</row>
    <row r="106" spans="1:27" ht="15.6">
      <c r="A106" s="193"/>
      <c r="B106" s="193"/>
      <c r="C106" s="193"/>
      <c r="D106" s="193"/>
      <c r="E106" s="193"/>
      <c r="F106" s="193"/>
      <c r="G106" s="193"/>
      <c r="H106" s="81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</row>
    <row r="107" spans="1:27" ht="15.6">
      <c r="A107" s="193"/>
      <c r="B107" s="193"/>
      <c r="C107" s="193"/>
      <c r="D107" s="193"/>
      <c r="E107" s="193"/>
      <c r="F107" s="193"/>
      <c r="G107" s="193"/>
      <c r="H107" s="81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</row>
    <row r="108" spans="1:27" ht="15.6">
      <c r="A108" s="193"/>
      <c r="B108" s="193"/>
      <c r="C108" s="193"/>
      <c r="D108" s="193"/>
      <c r="E108" s="193"/>
      <c r="F108" s="193"/>
      <c r="G108" s="193"/>
      <c r="H108" s="81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</row>
    <row r="109" spans="1:27" ht="15.6">
      <c r="A109" s="193"/>
      <c r="B109" s="193"/>
      <c r="C109" s="193"/>
      <c r="D109" s="193"/>
      <c r="E109" s="193"/>
      <c r="F109" s="193"/>
      <c r="G109" s="193"/>
      <c r="H109" s="81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</row>
    <row r="110" spans="1:27" ht="15.6">
      <c r="A110" s="193"/>
      <c r="B110" s="193"/>
      <c r="C110" s="193"/>
      <c r="D110" s="193"/>
      <c r="E110" s="193"/>
      <c r="F110" s="193"/>
      <c r="G110" s="193"/>
      <c r="H110" s="81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</row>
    <row r="111" spans="1:27" ht="15.6">
      <c r="A111" s="193"/>
      <c r="B111" s="193"/>
      <c r="C111" s="193"/>
      <c r="D111" s="193"/>
      <c r="E111" s="193"/>
      <c r="F111" s="193"/>
      <c r="G111" s="193"/>
      <c r="H111" s="81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</row>
    <row r="112" spans="1:27" ht="15.6">
      <c r="A112" s="193"/>
      <c r="B112" s="193"/>
      <c r="C112" s="193"/>
      <c r="D112" s="193"/>
      <c r="E112" s="193"/>
      <c r="F112" s="193"/>
      <c r="G112" s="193"/>
      <c r="H112" s="81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</row>
    <row r="113" spans="1:27" ht="15.6">
      <c r="A113" s="193"/>
      <c r="B113" s="193"/>
      <c r="C113" s="193"/>
      <c r="D113" s="193"/>
      <c r="E113" s="193"/>
      <c r="F113" s="193"/>
      <c r="G113" s="193"/>
      <c r="H113" s="81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</row>
    <row r="114" spans="1:27" ht="15.6">
      <c r="A114" s="193"/>
      <c r="B114" s="193"/>
      <c r="C114" s="193"/>
      <c r="D114" s="193"/>
      <c r="E114" s="193"/>
      <c r="F114" s="193"/>
      <c r="G114" s="193"/>
      <c r="H114" s="81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  <row r="115" spans="1:27" ht="15.6">
      <c r="A115" s="193"/>
      <c r="B115" s="193"/>
      <c r="C115" s="193"/>
      <c r="D115" s="193"/>
      <c r="E115" s="193"/>
      <c r="F115" s="193"/>
      <c r="G115" s="193"/>
      <c r="H115" s="81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spans="1:27" ht="15.6">
      <c r="A116" s="193"/>
      <c r="B116" s="193"/>
      <c r="C116" s="193"/>
      <c r="D116" s="193"/>
      <c r="E116" s="193"/>
      <c r="F116" s="193"/>
      <c r="G116" s="193"/>
      <c r="H116" s="81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spans="1:27" ht="15.6">
      <c r="A117" s="193"/>
      <c r="B117" s="193"/>
      <c r="C117" s="193"/>
      <c r="D117" s="193"/>
      <c r="E117" s="193"/>
      <c r="F117" s="193"/>
      <c r="G117" s="193"/>
      <c r="H117" s="81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spans="1:27" ht="15.6">
      <c r="A118" s="193"/>
      <c r="B118" s="193"/>
      <c r="C118" s="193"/>
      <c r="D118" s="193"/>
      <c r="E118" s="193"/>
      <c r="F118" s="193"/>
      <c r="G118" s="193"/>
      <c r="H118" s="81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spans="1:27" ht="15.6">
      <c r="A119" s="193"/>
      <c r="B119" s="193"/>
      <c r="C119" s="193"/>
      <c r="D119" s="193"/>
      <c r="E119" s="193"/>
      <c r="F119" s="193"/>
      <c r="G119" s="193"/>
      <c r="H119" s="81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</row>
    <row r="120" spans="1:27" ht="15.6">
      <c r="A120" s="193"/>
      <c r="B120" s="193"/>
      <c r="C120" s="193"/>
      <c r="D120" s="193"/>
      <c r="E120" s="193"/>
      <c r="F120" s="193"/>
      <c r="G120" s="193"/>
      <c r="H120" s="81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</row>
    <row r="121" spans="1:27" ht="15.6">
      <c r="A121" s="193"/>
      <c r="B121" s="193"/>
      <c r="C121" s="193"/>
      <c r="D121" s="193"/>
      <c r="E121" s="193"/>
      <c r="F121" s="193"/>
      <c r="G121" s="193"/>
      <c r="H121" s="81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</row>
    <row r="122" spans="1:27" ht="15.6">
      <c r="A122" s="193"/>
      <c r="B122" s="193"/>
      <c r="C122" s="193"/>
      <c r="D122" s="193"/>
      <c r="E122" s="193"/>
      <c r="F122" s="193"/>
      <c r="G122" s="193"/>
      <c r="H122" s="81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</row>
    <row r="123" spans="1:27" ht="15.6">
      <c r="A123" s="193"/>
      <c r="B123" s="193"/>
      <c r="C123" s="193"/>
      <c r="D123" s="193"/>
      <c r="E123" s="193"/>
      <c r="F123" s="193"/>
      <c r="G123" s="193"/>
      <c r="H123" s="81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</row>
    <row r="124" spans="1:27" ht="15.6">
      <c r="A124" s="193"/>
      <c r="B124" s="193"/>
      <c r="C124" s="193"/>
      <c r="D124" s="193"/>
      <c r="E124" s="193"/>
      <c r="F124" s="193"/>
      <c r="G124" s="193"/>
      <c r="H124" s="81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</row>
    <row r="125" spans="1:27" ht="15.6">
      <c r="A125" s="193"/>
      <c r="B125" s="193"/>
      <c r="C125" s="193"/>
      <c r="D125" s="193"/>
      <c r="E125" s="193"/>
      <c r="F125" s="193"/>
      <c r="G125" s="193"/>
      <c r="H125" s="81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spans="1:27" ht="15.6">
      <c r="A126" s="193"/>
      <c r="B126" s="193"/>
      <c r="C126" s="193"/>
      <c r="D126" s="193"/>
      <c r="E126" s="193"/>
      <c r="F126" s="193"/>
      <c r="G126" s="193"/>
      <c r="H126" s="81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spans="1:27" ht="15.6">
      <c r="A127" s="193"/>
      <c r="B127" s="193"/>
      <c r="C127" s="193"/>
      <c r="D127" s="193"/>
      <c r="E127" s="193"/>
      <c r="F127" s="193"/>
      <c r="G127" s="193"/>
      <c r="H127" s="81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spans="1:27" ht="15.6">
      <c r="A128" s="193"/>
      <c r="B128" s="193"/>
      <c r="C128" s="193"/>
      <c r="D128" s="193"/>
      <c r="E128" s="193"/>
      <c r="F128" s="193"/>
      <c r="G128" s="193"/>
      <c r="H128" s="81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</row>
    <row r="129" spans="1:27" ht="15.6">
      <c r="A129" s="193"/>
      <c r="B129" s="193"/>
      <c r="C129" s="193"/>
      <c r="D129" s="193"/>
      <c r="E129" s="193"/>
      <c r="F129" s="193"/>
      <c r="G129" s="193"/>
      <c r="H129" s="81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</row>
    <row r="130" spans="1:27" ht="15.6">
      <c r="A130" s="193"/>
      <c r="B130" s="193"/>
      <c r="C130" s="193"/>
      <c r="D130" s="193"/>
      <c r="E130" s="193"/>
      <c r="F130" s="193"/>
      <c r="G130" s="193"/>
      <c r="H130" s="81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</row>
    <row r="131" spans="1:27" ht="15.6">
      <c r="A131" s="193"/>
      <c r="B131" s="193"/>
      <c r="C131" s="193"/>
      <c r="D131" s="193"/>
      <c r="E131" s="193"/>
      <c r="F131" s="193"/>
      <c r="G131" s="193"/>
      <c r="H131" s="81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</row>
    <row r="132" spans="1:27" ht="15.6">
      <c r="A132" s="193"/>
      <c r="B132" s="193"/>
      <c r="C132" s="193"/>
      <c r="D132" s="193"/>
      <c r="E132" s="193"/>
      <c r="F132" s="193"/>
      <c r="G132" s="193"/>
      <c r="H132" s="81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</row>
    <row r="133" spans="1:27" ht="15.6">
      <c r="A133" s="193"/>
      <c r="B133" s="193"/>
      <c r="C133" s="193"/>
      <c r="D133" s="193"/>
      <c r="E133" s="193"/>
      <c r="F133" s="193"/>
      <c r="G133" s="193"/>
      <c r="H133" s="81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</row>
    <row r="134" spans="1:27" ht="15.6">
      <c r="A134" s="193"/>
      <c r="B134" s="193"/>
      <c r="C134" s="193"/>
      <c r="D134" s="193"/>
      <c r="E134" s="193"/>
      <c r="F134" s="193"/>
      <c r="G134" s="193"/>
      <c r="H134" s="81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</row>
    <row r="135" spans="1:27" ht="15.6">
      <c r="A135" s="193"/>
      <c r="B135" s="193"/>
      <c r="C135" s="193"/>
      <c r="D135" s="193"/>
      <c r="E135" s="193"/>
      <c r="F135" s="193"/>
      <c r="G135" s="193"/>
      <c r="H135" s="81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</row>
    <row r="136" spans="1:27" ht="15.6">
      <c r="A136" s="193"/>
      <c r="B136" s="193"/>
      <c r="C136" s="193"/>
      <c r="D136" s="193"/>
      <c r="E136" s="193"/>
      <c r="F136" s="193"/>
      <c r="G136" s="193"/>
      <c r="H136" s="81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</row>
    <row r="137" spans="1:27" ht="15.6">
      <c r="A137" s="193"/>
      <c r="B137" s="193"/>
      <c r="C137" s="193"/>
      <c r="D137" s="193"/>
      <c r="E137" s="193"/>
      <c r="F137" s="193"/>
      <c r="G137" s="193"/>
      <c r="H137" s="81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</row>
    <row r="138" spans="1:27" ht="15.6">
      <c r="A138" s="193"/>
      <c r="B138" s="193"/>
      <c r="C138" s="193"/>
      <c r="D138" s="193"/>
      <c r="E138" s="193"/>
      <c r="F138" s="193"/>
      <c r="G138" s="193"/>
      <c r="H138" s="81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</row>
    <row r="139" spans="1:27" ht="15.6">
      <c r="A139" s="193"/>
      <c r="B139" s="193"/>
      <c r="C139" s="193"/>
      <c r="D139" s="193"/>
      <c r="E139" s="193"/>
      <c r="F139" s="193"/>
      <c r="G139" s="193"/>
      <c r="H139" s="81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spans="1:27" ht="15.6">
      <c r="A140" s="193"/>
      <c r="B140" s="193"/>
      <c r="C140" s="193"/>
      <c r="D140" s="193"/>
      <c r="E140" s="193"/>
      <c r="F140" s="193"/>
      <c r="G140" s="193"/>
      <c r="H140" s="81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spans="1:27" ht="15.6">
      <c r="A141" s="193"/>
      <c r="B141" s="193"/>
      <c r="C141" s="193"/>
      <c r="D141" s="193"/>
      <c r="E141" s="193"/>
      <c r="F141" s="193"/>
      <c r="G141" s="193"/>
      <c r="H141" s="81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spans="1:27" ht="15.6">
      <c r="A142" s="193"/>
      <c r="B142" s="193"/>
      <c r="C142" s="193"/>
      <c r="D142" s="193"/>
      <c r="E142" s="193"/>
      <c r="F142" s="193"/>
      <c r="G142" s="193"/>
      <c r="H142" s="81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</row>
    <row r="143" spans="1:27" ht="15.6">
      <c r="A143" s="193"/>
      <c r="B143" s="193"/>
      <c r="C143" s="193"/>
      <c r="D143" s="193"/>
      <c r="E143" s="193"/>
      <c r="F143" s="193"/>
      <c r="G143" s="193"/>
      <c r="H143" s="81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</row>
    <row r="144" spans="1:27" ht="15.6">
      <c r="A144" s="193"/>
      <c r="B144" s="193"/>
      <c r="C144" s="193"/>
      <c r="D144" s="193"/>
      <c r="E144" s="193"/>
      <c r="F144" s="193"/>
      <c r="G144" s="193"/>
      <c r="H144" s="81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</row>
    <row r="145" spans="1:27" ht="15.6">
      <c r="A145" s="193"/>
      <c r="B145" s="193"/>
      <c r="C145" s="193"/>
      <c r="D145" s="193"/>
      <c r="E145" s="193"/>
      <c r="F145" s="193"/>
      <c r="G145" s="193"/>
      <c r="H145" s="81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</row>
    <row r="146" spans="1:27" ht="15.6">
      <c r="A146" s="193"/>
      <c r="B146" s="193"/>
      <c r="C146" s="193"/>
      <c r="D146" s="193"/>
      <c r="E146" s="193"/>
      <c r="F146" s="193"/>
      <c r="G146" s="193"/>
      <c r="H146" s="81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</row>
    <row r="147" spans="1:27" ht="15.6">
      <c r="A147" s="193"/>
      <c r="B147" s="193"/>
      <c r="C147" s="193"/>
      <c r="D147" s="193"/>
      <c r="E147" s="193"/>
      <c r="F147" s="193"/>
      <c r="G147" s="193"/>
      <c r="H147" s="81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</row>
    <row r="148" spans="1:27" ht="15.6">
      <c r="A148" s="193"/>
      <c r="B148" s="193"/>
      <c r="C148" s="193"/>
      <c r="D148" s="193"/>
      <c r="E148" s="193"/>
      <c r="F148" s="193"/>
      <c r="G148" s="193"/>
      <c r="H148" s="81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</row>
    <row r="149" spans="1:27" ht="15.6">
      <c r="A149" s="193"/>
      <c r="B149" s="193"/>
      <c r="C149" s="193"/>
      <c r="D149" s="193"/>
      <c r="E149" s="193"/>
      <c r="F149" s="193"/>
      <c r="G149" s="193"/>
      <c r="H149" s="81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</row>
    <row r="150" spans="1:27" ht="15.6">
      <c r="A150" s="193"/>
      <c r="B150" s="193"/>
      <c r="C150" s="193"/>
      <c r="D150" s="193"/>
      <c r="E150" s="193"/>
      <c r="F150" s="193"/>
      <c r="G150" s="193"/>
      <c r="H150" s="81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</row>
    <row r="151" spans="1:27" ht="15.6">
      <c r="A151" s="193"/>
      <c r="B151" s="193"/>
      <c r="C151" s="193"/>
      <c r="D151" s="193"/>
      <c r="E151" s="193"/>
      <c r="F151" s="193"/>
      <c r="G151" s="193"/>
      <c r="H151" s="81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</row>
    <row r="152" spans="1:27" ht="15.6">
      <c r="A152" s="193"/>
      <c r="B152" s="193"/>
      <c r="C152" s="193"/>
      <c r="D152" s="193"/>
      <c r="E152" s="193"/>
      <c r="F152" s="193"/>
      <c r="G152" s="193"/>
      <c r="H152" s="81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</row>
    <row r="153" spans="1:27" ht="15.6">
      <c r="A153" s="193"/>
      <c r="B153" s="193"/>
      <c r="C153" s="193"/>
      <c r="D153" s="193"/>
      <c r="E153" s="193"/>
      <c r="F153" s="193"/>
      <c r="G153" s="193"/>
      <c r="H153" s="81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</row>
    <row r="154" spans="1:27" ht="15.6">
      <c r="A154" s="193"/>
      <c r="B154" s="193"/>
      <c r="C154" s="193"/>
      <c r="D154" s="193"/>
      <c r="E154" s="193"/>
      <c r="F154" s="193"/>
      <c r="G154" s="193"/>
      <c r="H154" s="81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</row>
    <row r="155" spans="1:27" ht="15.6">
      <c r="A155" s="193"/>
      <c r="B155" s="193"/>
      <c r="C155" s="193"/>
      <c r="D155" s="193"/>
      <c r="E155" s="193"/>
      <c r="F155" s="193"/>
      <c r="G155" s="193"/>
      <c r="H155" s="81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</row>
    <row r="156" spans="1:27" ht="15.6">
      <c r="A156" s="193"/>
      <c r="B156" s="193"/>
      <c r="C156" s="193"/>
      <c r="D156" s="193"/>
      <c r="E156" s="193"/>
      <c r="F156" s="193"/>
      <c r="G156" s="193"/>
      <c r="H156" s="81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</row>
    <row r="157" spans="1:27" ht="15.6">
      <c r="A157" s="193"/>
      <c r="B157" s="193"/>
      <c r="C157" s="193"/>
      <c r="D157" s="193"/>
      <c r="E157" s="193"/>
      <c r="F157" s="193"/>
      <c r="G157" s="193"/>
      <c r="H157" s="81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</row>
    <row r="158" spans="1:27" ht="15.6">
      <c r="A158" s="193"/>
      <c r="B158" s="193"/>
      <c r="C158" s="193"/>
      <c r="D158" s="193"/>
      <c r="E158" s="193"/>
      <c r="F158" s="193"/>
      <c r="G158" s="193"/>
      <c r="H158" s="81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</row>
    <row r="159" spans="1:27" ht="15.6">
      <c r="A159" s="193"/>
      <c r="B159" s="193"/>
      <c r="C159" s="193"/>
      <c r="D159" s="193"/>
      <c r="E159" s="193"/>
      <c r="F159" s="193"/>
      <c r="G159" s="193"/>
      <c r="H159" s="81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</row>
    <row r="160" spans="1:27" ht="15.6">
      <c r="A160" s="193"/>
      <c r="B160" s="193"/>
      <c r="C160" s="193"/>
      <c r="D160" s="193"/>
      <c r="E160" s="193"/>
      <c r="F160" s="193"/>
      <c r="G160" s="193"/>
      <c r="H160" s="81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</row>
    <row r="161" spans="1:27" ht="15.6">
      <c r="A161" s="193"/>
      <c r="B161" s="193"/>
      <c r="C161" s="193"/>
      <c r="D161" s="193"/>
      <c r="E161" s="193"/>
      <c r="F161" s="193"/>
      <c r="G161" s="193"/>
      <c r="H161" s="81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</row>
    <row r="162" spans="1:27" ht="15.6">
      <c r="A162" s="193"/>
      <c r="B162" s="193"/>
      <c r="C162" s="193"/>
      <c r="D162" s="193"/>
      <c r="E162" s="193"/>
      <c r="F162" s="193"/>
      <c r="G162" s="193"/>
      <c r="H162" s="81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</row>
    <row r="163" spans="1:27" ht="15.6">
      <c r="A163" s="193"/>
      <c r="B163" s="193"/>
      <c r="C163" s="193"/>
      <c r="D163" s="193"/>
      <c r="E163" s="193"/>
      <c r="F163" s="193"/>
      <c r="G163" s="193"/>
      <c r="H163" s="81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</row>
    <row r="164" spans="1:27" ht="15.6">
      <c r="A164" s="193"/>
      <c r="B164" s="193"/>
      <c r="C164" s="193"/>
      <c r="D164" s="193"/>
      <c r="E164" s="193"/>
      <c r="F164" s="193"/>
      <c r="G164" s="193"/>
      <c r="H164" s="81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</row>
    <row r="165" spans="1:27" ht="15.6">
      <c r="A165" s="193"/>
      <c r="B165" s="193"/>
      <c r="C165" s="193"/>
      <c r="D165" s="193"/>
      <c r="E165" s="193"/>
      <c r="F165" s="193"/>
      <c r="G165" s="193"/>
      <c r="H165" s="81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</row>
    <row r="166" spans="1:27" ht="15.6">
      <c r="A166" s="193"/>
      <c r="B166" s="193"/>
      <c r="C166" s="193"/>
      <c r="D166" s="193"/>
      <c r="E166" s="193"/>
      <c r="F166" s="193"/>
      <c r="G166" s="193"/>
      <c r="H166" s="81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</row>
    <row r="167" spans="1:27" ht="15.6">
      <c r="A167" s="193"/>
      <c r="B167" s="193"/>
      <c r="C167" s="193"/>
      <c r="D167" s="193"/>
      <c r="E167" s="193"/>
      <c r="F167" s="193"/>
      <c r="G167" s="193"/>
      <c r="H167" s="81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</row>
    <row r="168" spans="1:27" ht="15.6">
      <c r="A168" s="193"/>
      <c r="B168" s="193"/>
      <c r="C168" s="193"/>
      <c r="D168" s="193"/>
      <c r="E168" s="193"/>
      <c r="F168" s="193"/>
      <c r="G168" s="193"/>
      <c r="H168" s="81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</row>
    <row r="169" spans="1:27" ht="15.6">
      <c r="A169" s="193"/>
      <c r="B169" s="193"/>
      <c r="C169" s="193"/>
      <c r="D169" s="193"/>
      <c r="E169" s="193"/>
      <c r="F169" s="193"/>
      <c r="G169" s="193"/>
      <c r="H169" s="81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</row>
    <row r="170" spans="1:27" ht="15.6">
      <c r="A170" s="193"/>
      <c r="B170" s="193"/>
      <c r="C170" s="193"/>
      <c r="D170" s="193"/>
      <c r="E170" s="193"/>
      <c r="F170" s="193"/>
      <c r="G170" s="193"/>
      <c r="H170" s="81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</row>
    <row r="171" spans="1:27" ht="15.6">
      <c r="A171" s="193"/>
      <c r="B171" s="193"/>
      <c r="C171" s="193"/>
      <c r="D171" s="193"/>
      <c r="E171" s="193"/>
      <c r="F171" s="193"/>
      <c r="G171" s="193"/>
      <c r="H171" s="81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</row>
    <row r="172" spans="1:27" ht="15.6">
      <c r="A172" s="193"/>
      <c r="B172" s="193"/>
      <c r="C172" s="193"/>
      <c r="D172" s="193"/>
      <c r="E172" s="193"/>
      <c r="F172" s="193"/>
      <c r="G172" s="193"/>
      <c r="H172" s="81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</row>
    <row r="173" spans="1:27" ht="15.6">
      <c r="A173" s="193"/>
      <c r="B173" s="193"/>
      <c r="C173" s="193"/>
      <c r="D173" s="193"/>
      <c r="E173" s="193"/>
      <c r="F173" s="193"/>
      <c r="G173" s="193"/>
      <c r="H173" s="81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</row>
    <row r="174" spans="1:27" ht="15.6">
      <c r="A174" s="193"/>
      <c r="B174" s="193"/>
      <c r="C174" s="193"/>
      <c r="D174" s="193"/>
      <c r="E174" s="193"/>
      <c r="F174" s="193"/>
      <c r="G174" s="193"/>
      <c r="H174" s="81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</row>
    <row r="175" spans="1:27" ht="15.6">
      <c r="A175" s="193"/>
      <c r="B175" s="193"/>
      <c r="C175" s="193"/>
      <c r="D175" s="193"/>
      <c r="E175" s="193"/>
      <c r="F175" s="193"/>
      <c r="G175" s="193"/>
      <c r="H175" s="81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</row>
    <row r="176" spans="1:27" ht="15.6">
      <c r="A176" s="193"/>
      <c r="B176" s="193"/>
      <c r="C176" s="193"/>
      <c r="D176" s="193"/>
      <c r="E176" s="193"/>
      <c r="F176" s="193"/>
      <c r="G176" s="193"/>
      <c r="H176" s="81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</row>
    <row r="177" spans="1:27" ht="15.6">
      <c r="A177" s="193"/>
      <c r="B177" s="193"/>
      <c r="C177" s="193"/>
      <c r="D177" s="193"/>
      <c r="E177" s="193"/>
      <c r="F177" s="193"/>
      <c r="G177" s="193"/>
      <c r="H177" s="81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spans="1:27" ht="15.6">
      <c r="A178" s="193"/>
      <c r="B178" s="193"/>
      <c r="C178" s="193"/>
      <c r="D178" s="193"/>
      <c r="E178" s="193"/>
      <c r="F178" s="193"/>
      <c r="G178" s="193"/>
      <c r="H178" s="81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</row>
    <row r="179" spans="1:27" ht="15.6">
      <c r="A179" s="193"/>
      <c r="B179" s="193"/>
      <c r="C179" s="193"/>
      <c r="D179" s="193"/>
      <c r="E179" s="193"/>
      <c r="F179" s="193"/>
      <c r="G179" s="193"/>
      <c r="H179" s="81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</row>
    <row r="180" spans="1:27" ht="15.6">
      <c r="A180" s="193"/>
      <c r="B180" s="193"/>
      <c r="C180" s="193"/>
      <c r="D180" s="193"/>
      <c r="E180" s="193"/>
      <c r="F180" s="193"/>
      <c r="G180" s="193"/>
      <c r="H180" s="81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</row>
    <row r="181" spans="1:27" ht="15.6">
      <c r="A181" s="193"/>
      <c r="B181" s="193"/>
      <c r="C181" s="193"/>
      <c r="D181" s="193"/>
      <c r="E181" s="193"/>
      <c r="F181" s="193"/>
      <c r="G181" s="193"/>
      <c r="H181" s="81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</row>
    <row r="182" spans="1:27" ht="15.6">
      <c r="A182" s="193"/>
      <c r="B182" s="193"/>
      <c r="C182" s="193"/>
      <c r="D182" s="193"/>
      <c r="E182" s="193"/>
      <c r="F182" s="193"/>
      <c r="G182" s="193"/>
      <c r="H182" s="81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</row>
    <row r="183" spans="1:27" ht="15.6">
      <c r="A183" s="193"/>
      <c r="B183" s="193"/>
      <c r="C183" s="193"/>
      <c r="D183" s="193"/>
      <c r="E183" s="193"/>
      <c r="F183" s="193"/>
      <c r="G183" s="193"/>
      <c r="H183" s="81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</row>
    <row r="184" spans="1:27" ht="15.6">
      <c r="A184" s="193"/>
      <c r="B184" s="193"/>
      <c r="C184" s="193"/>
      <c r="D184" s="193"/>
      <c r="E184" s="193"/>
      <c r="F184" s="193"/>
      <c r="G184" s="193"/>
      <c r="H184" s="81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</row>
    <row r="185" spans="1:27" ht="15.6">
      <c r="A185" s="193"/>
      <c r="B185" s="193"/>
      <c r="C185" s="193"/>
      <c r="D185" s="193"/>
      <c r="E185" s="193"/>
      <c r="F185" s="193"/>
      <c r="G185" s="193"/>
      <c r="H185" s="81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</row>
    <row r="186" spans="1:27" ht="15.6">
      <c r="A186" s="193"/>
      <c r="B186" s="193"/>
      <c r="C186" s="193"/>
      <c r="D186" s="193"/>
      <c r="E186" s="193"/>
      <c r="F186" s="193"/>
      <c r="G186" s="193"/>
      <c r="H186" s="81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</row>
    <row r="187" spans="1:27" ht="15.6">
      <c r="A187" s="193"/>
      <c r="B187" s="193"/>
      <c r="C187" s="193"/>
      <c r="D187" s="193"/>
      <c r="E187" s="193"/>
      <c r="F187" s="193"/>
      <c r="G187" s="193"/>
      <c r="H187" s="81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</row>
    <row r="188" spans="1:27" ht="15.6">
      <c r="A188" s="193"/>
      <c r="B188" s="193"/>
      <c r="C188" s="193"/>
      <c r="D188" s="193"/>
      <c r="E188" s="193"/>
      <c r="F188" s="193"/>
      <c r="G188" s="193"/>
      <c r="H188" s="81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</row>
    <row r="189" spans="1:27" ht="15.6">
      <c r="A189" s="193"/>
      <c r="B189" s="193"/>
      <c r="C189" s="193"/>
      <c r="D189" s="193"/>
      <c r="E189" s="193"/>
      <c r="F189" s="193"/>
      <c r="G189" s="193"/>
      <c r="H189" s="81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</row>
    <row r="190" spans="1:27" ht="15.6">
      <c r="A190" s="193"/>
      <c r="B190" s="193"/>
      <c r="C190" s="193"/>
      <c r="D190" s="193"/>
      <c r="E190" s="193"/>
      <c r="F190" s="193"/>
      <c r="G190" s="193"/>
      <c r="H190" s="81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</row>
    <row r="191" spans="1:27" ht="15.6">
      <c r="A191" s="193"/>
      <c r="B191" s="193"/>
      <c r="C191" s="193"/>
      <c r="D191" s="193"/>
      <c r="E191" s="193"/>
      <c r="F191" s="193"/>
      <c r="G191" s="193"/>
      <c r="H191" s="81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</row>
    <row r="192" spans="1:27" ht="15.6">
      <c r="A192" s="193"/>
      <c r="B192" s="193"/>
      <c r="C192" s="193"/>
      <c r="D192" s="193"/>
      <c r="E192" s="193"/>
      <c r="F192" s="193"/>
      <c r="G192" s="193"/>
      <c r="H192" s="81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</row>
    <row r="193" spans="1:27" ht="15.6">
      <c r="A193" s="193"/>
      <c r="B193" s="193"/>
      <c r="C193" s="193"/>
      <c r="D193" s="193"/>
      <c r="E193" s="193"/>
      <c r="F193" s="193"/>
      <c r="G193" s="193"/>
      <c r="H193" s="81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</row>
    <row r="194" spans="1:27" ht="15.6">
      <c r="A194" s="193"/>
      <c r="B194" s="193"/>
      <c r="C194" s="193"/>
      <c r="D194" s="193"/>
      <c r="E194" s="193"/>
      <c r="F194" s="193"/>
      <c r="G194" s="193"/>
      <c r="H194" s="81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</row>
    <row r="195" spans="1:27" ht="15.6">
      <c r="A195" s="193"/>
      <c r="B195" s="193"/>
      <c r="C195" s="193"/>
      <c r="D195" s="193"/>
      <c r="E195" s="193"/>
      <c r="F195" s="193"/>
      <c r="G195" s="193"/>
      <c r="H195" s="81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</row>
    <row r="196" spans="1:27" ht="15.6">
      <c r="A196" s="193"/>
      <c r="B196" s="193"/>
      <c r="C196" s="193"/>
      <c r="D196" s="193"/>
      <c r="E196" s="193"/>
      <c r="F196" s="193"/>
      <c r="G196" s="193"/>
      <c r="H196" s="81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</row>
    <row r="197" spans="1:27" ht="15.6">
      <c r="A197" s="193"/>
      <c r="B197" s="193"/>
      <c r="C197" s="193"/>
      <c r="D197" s="193"/>
      <c r="E197" s="193"/>
      <c r="F197" s="193"/>
      <c r="G197" s="193"/>
      <c r="H197" s="81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</row>
    <row r="198" spans="1:27" ht="15.6">
      <c r="A198" s="193"/>
      <c r="B198" s="193"/>
      <c r="C198" s="193"/>
      <c r="D198" s="193"/>
      <c r="E198" s="193"/>
      <c r="F198" s="193"/>
      <c r="G198" s="193"/>
      <c r="H198" s="81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</row>
    <row r="199" spans="1:27" ht="15.6">
      <c r="A199" s="193"/>
      <c r="B199" s="193"/>
      <c r="C199" s="193"/>
      <c r="D199" s="193"/>
      <c r="E199" s="193"/>
      <c r="F199" s="193"/>
      <c r="G199" s="193"/>
      <c r="H199" s="81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</row>
    <row r="200" spans="1:27" ht="15.6">
      <c r="A200" s="193"/>
      <c r="B200" s="193"/>
      <c r="C200" s="193"/>
      <c r="D200" s="193"/>
      <c r="E200" s="193"/>
      <c r="F200" s="193"/>
      <c r="G200" s="193"/>
      <c r="H200" s="81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</row>
    <row r="201" spans="1:27" ht="15.6">
      <c r="A201" s="193"/>
      <c r="B201" s="193"/>
      <c r="C201" s="193"/>
      <c r="D201" s="193"/>
      <c r="E201" s="193"/>
      <c r="F201" s="193"/>
      <c r="G201" s="193"/>
      <c r="H201" s="81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 spans="1:27" ht="15.6">
      <c r="A202" s="193"/>
      <c r="B202" s="193"/>
      <c r="C202" s="193"/>
      <c r="D202" s="193"/>
      <c r="E202" s="193"/>
      <c r="F202" s="193"/>
      <c r="G202" s="193"/>
      <c r="H202" s="81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 spans="1:27" ht="15.6">
      <c r="A203" s="193"/>
      <c r="B203" s="193"/>
      <c r="C203" s="193"/>
      <c r="D203" s="193"/>
      <c r="E203" s="193"/>
      <c r="F203" s="193"/>
      <c r="G203" s="193"/>
      <c r="H203" s="81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 spans="1:27" ht="15.6">
      <c r="A204" s="193"/>
      <c r="B204" s="193"/>
      <c r="C204" s="193"/>
      <c r="D204" s="193"/>
      <c r="E204" s="193"/>
      <c r="F204" s="193"/>
      <c r="G204" s="193"/>
      <c r="H204" s="81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 spans="1:27" ht="15.6">
      <c r="A205" s="193"/>
      <c r="B205" s="193"/>
      <c r="C205" s="193"/>
      <c r="D205" s="193"/>
      <c r="E205" s="193"/>
      <c r="F205" s="193"/>
      <c r="G205" s="193"/>
      <c r="H205" s="81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 spans="1:27" ht="15.6">
      <c r="A206" s="193"/>
      <c r="B206" s="193"/>
      <c r="C206" s="193"/>
      <c r="D206" s="193"/>
      <c r="E206" s="193"/>
      <c r="F206" s="193"/>
      <c r="G206" s="193"/>
      <c r="H206" s="81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 spans="1:27" ht="15.6">
      <c r="A207" s="193"/>
      <c r="B207" s="193"/>
      <c r="C207" s="193"/>
      <c r="D207" s="193"/>
      <c r="E207" s="193"/>
      <c r="F207" s="193"/>
      <c r="G207" s="193"/>
      <c r="H207" s="81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 spans="1:27" ht="15.6">
      <c r="A208" s="193"/>
      <c r="B208" s="193"/>
      <c r="C208" s="193"/>
      <c r="D208" s="193"/>
      <c r="E208" s="193"/>
      <c r="F208" s="193"/>
      <c r="G208" s="193"/>
      <c r="H208" s="81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 spans="1:27" ht="15.6">
      <c r="A209" s="193"/>
      <c r="B209" s="193"/>
      <c r="C209" s="193"/>
      <c r="D209" s="193"/>
      <c r="E209" s="193"/>
      <c r="F209" s="193"/>
      <c r="G209" s="193"/>
      <c r="H209" s="81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spans="1:27" ht="15.6">
      <c r="A210" s="193"/>
      <c r="B210" s="193"/>
      <c r="C210" s="193"/>
      <c r="D210" s="193"/>
      <c r="E210" s="193"/>
      <c r="F210" s="193"/>
      <c r="G210" s="193"/>
      <c r="H210" s="81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 spans="1:27" ht="15.6">
      <c r="A211" s="193"/>
      <c r="B211" s="193"/>
      <c r="C211" s="193"/>
      <c r="D211" s="193"/>
      <c r="E211" s="193"/>
      <c r="F211" s="193"/>
      <c r="G211" s="193"/>
      <c r="H211" s="81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 spans="1:27" ht="15.6">
      <c r="A212" s="193"/>
      <c r="B212" s="193"/>
      <c r="C212" s="193"/>
      <c r="D212" s="193"/>
      <c r="E212" s="193"/>
      <c r="F212" s="193"/>
      <c r="G212" s="193"/>
      <c r="H212" s="81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 spans="1:27" ht="15.6">
      <c r="A213" s="193"/>
      <c r="B213" s="193"/>
      <c r="C213" s="193"/>
      <c r="D213" s="193"/>
      <c r="E213" s="193"/>
      <c r="F213" s="193"/>
      <c r="G213" s="193"/>
      <c r="H213" s="81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 spans="1:27" ht="15.6">
      <c r="A214" s="193"/>
      <c r="B214" s="193"/>
      <c r="C214" s="193"/>
      <c r="D214" s="193"/>
      <c r="E214" s="193"/>
      <c r="F214" s="193"/>
      <c r="G214" s="193"/>
      <c r="H214" s="81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 spans="1:27" ht="15.6">
      <c r="A215" s="193"/>
      <c r="B215" s="193"/>
      <c r="C215" s="193"/>
      <c r="D215" s="193"/>
      <c r="E215" s="193"/>
      <c r="F215" s="193"/>
      <c r="G215" s="193"/>
      <c r="H215" s="81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 spans="1:27" ht="15.6">
      <c r="A216" s="193"/>
      <c r="B216" s="193"/>
      <c r="C216" s="193"/>
      <c r="D216" s="193"/>
      <c r="E216" s="193"/>
      <c r="F216" s="193"/>
      <c r="G216" s="193"/>
      <c r="H216" s="81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 spans="1:27" ht="15.6">
      <c r="A217" s="193"/>
      <c r="B217" s="193"/>
      <c r="C217" s="193"/>
      <c r="D217" s="193"/>
      <c r="E217" s="193"/>
      <c r="F217" s="193"/>
      <c r="G217" s="193"/>
      <c r="H217" s="81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 spans="1:27" ht="15.6">
      <c r="A218" s="193"/>
      <c r="B218" s="193"/>
      <c r="C218" s="193"/>
      <c r="D218" s="193"/>
      <c r="E218" s="193"/>
      <c r="F218" s="193"/>
      <c r="G218" s="193"/>
      <c r="H218" s="81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 spans="1:27" ht="15.6">
      <c r="A219" s="193"/>
      <c r="B219" s="193"/>
      <c r="C219" s="193"/>
      <c r="D219" s="193"/>
      <c r="E219" s="193"/>
      <c r="F219" s="193"/>
      <c r="G219" s="193"/>
      <c r="H219" s="81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 spans="1:27" ht="15.6">
      <c r="A220" s="193"/>
      <c r="B220" s="193"/>
      <c r="C220" s="193"/>
      <c r="D220" s="193"/>
      <c r="E220" s="193"/>
      <c r="F220" s="193"/>
      <c r="G220" s="193"/>
      <c r="H220" s="81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 spans="1:27" ht="15.6">
      <c r="A221" s="193"/>
      <c r="B221" s="193"/>
      <c r="C221" s="193"/>
      <c r="D221" s="193"/>
      <c r="E221" s="193"/>
      <c r="F221" s="193"/>
      <c r="G221" s="193"/>
      <c r="H221" s="81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 spans="1:27" ht="15.6">
      <c r="A222" s="193"/>
      <c r="B222" s="193"/>
      <c r="C222" s="193"/>
      <c r="D222" s="193"/>
      <c r="E222" s="193"/>
      <c r="F222" s="193"/>
      <c r="G222" s="193"/>
      <c r="H222" s="81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 spans="1:27" ht="15.6">
      <c r="A223" s="193"/>
      <c r="B223" s="193"/>
      <c r="C223" s="193"/>
      <c r="D223" s="193"/>
      <c r="E223" s="193"/>
      <c r="F223" s="193"/>
      <c r="G223" s="193"/>
      <c r="H223" s="81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 spans="1:27" ht="15.6">
      <c r="A224" s="193"/>
      <c r="B224" s="193"/>
      <c r="C224" s="193"/>
      <c r="D224" s="193"/>
      <c r="E224" s="193"/>
      <c r="F224" s="193"/>
      <c r="G224" s="193"/>
      <c r="H224" s="81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 spans="1:27" ht="15.6">
      <c r="A225" s="193"/>
      <c r="B225" s="193"/>
      <c r="C225" s="193"/>
      <c r="D225" s="193"/>
      <c r="E225" s="193"/>
      <c r="F225" s="193"/>
      <c r="G225" s="193"/>
      <c r="H225" s="81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 spans="1:27" ht="15.6">
      <c r="A226" s="193"/>
      <c r="B226" s="193"/>
      <c r="C226" s="193"/>
      <c r="D226" s="193"/>
      <c r="E226" s="193"/>
      <c r="F226" s="193"/>
      <c r="G226" s="193"/>
      <c r="H226" s="81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 spans="1:27" ht="15.6">
      <c r="A227" s="193"/>
      <c r="B227" s="193"/>
      <c r="C227" s="193"/>
      <c r="D227" s="193"/>
      <c r="E227" s="193"/>
      <c r="F227" s="193"/>
      <c r="G227" s="193"/>
      <c r="H227" s="81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 spans="1:27" ht="15.6">
      <c r="A228" s="193"/>
      <c r="B228" s="193"/>
      <c r="C228" s="193"/>
      <c r="D228" s="193"/>
      <c r="E228" s="193"/>
      <c r="F228" s="193"/>
      <c r="G228" s="193"/>
      <c r="H228" s="81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 spans="1:27" ht="15.6">
      <c r="A229" s="193"/>
      <c r="B229" s="193"/>
      <c r="C229" s="193"/>
      <c r="D229" s="193"/>
      <c r="E229" s="193"/>
      <c r="F229" s="193"/>
      <c r="G229" s="193"/>
      <c r="H229" s="81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 spans="1:27" ht="15.6">
      <c r="A230" s="193"/>
      <c r="B230" s="193"/>
      <c r="C230" s="193"/>
      <c r="D230" s="193"/>
      <c r="E230" s="193"/>
      <c r="F230" s="193"/>
      <c r="G230" s="193"/>
      <c r="H230" s="81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 spans="1:27" ht="15.6">
      <c r="A231" s="193"/>
      <c r="B231" s="193"/>
      <c r="C231" s="193"/>
      <c r="D231" s="193"/>
      <c r="E231" s="193"/>
      <c r="F231" s="193"/>
      <c r="G231" s="193"/>
      <c r="H231" s="81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 spans="1:27" ht="15.6">
      <c r="A232" s="193"/>
      <c r="B232" s="193"/>
      <c r="C232" s="193"/>
      <c r="D232" s="193"/>
      <c r="E232" s="193"/>
      <c r="F232" s="193"/>
      <c r="G232" s="193"/>
      <c r="H232" s="81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 spans="1:27" ht="15.6">
      <c r="A233" s="193"/>
      <c r="B233" s="193"/>
      <c r="C233" s="193"/>
      <c r="D233" s="193"/>
      <c r="E233" s="193"/>
      <c r="F233" s="193"/>
      <c r="G233" s="193"/>
      <c r="H233" s="81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 spans="1:27" ht="15.6">
      <c r="A234" s="193"/>
      <c r="B234" s="193"/>
      <c r="C234" s="193"/>
      <c r="D234" s="193"/>
      <c r="E234" s="193"/>
      <c r="F234" s="193"/>
      <c r="G234" s="193"/>
      <c r="H234" s="81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 spans="1:27" ht="15.6">
      <c r="A235" s="193"/>
      <c r="B235" s="193"/>
      <c r="C235" s="193"/>
      <c r="D235" s="193"/>
      <c r="E235" s="193"/>
      <c r="F235" s="193"/>
      <c r="G235" s="193"/>
      <c r="H235" s="81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 spans="1:27" ht="15.6">
      <c r="A236" s="193"/>
      <c r="B236" s="193"/>
      <c r="C236" s="193"/>
      <c r="D236" s="193"/>
      <c r="E236" s="193"/>
      <c r="F236" s="193"/>
      <c r="G236" s="193"/>
      <c r="H236" s="81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 spans="1:27" ht="15.6">
      <c r="A237" s="193"/>
      <c r="B237" s="193"/>
      <c r="C237" s="193"/>
      <c r="D237" s="193"/>
      <c r="E237" s="193"/>
      <c r="F237" s="193"/>
      <c r="G237" s="193"/>
      <c r="H237" s="81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 spans="1:27" ht="15.6">
      <c r="A238" s="193"/>
      <c r="B238" s="193"/>
      <c r="C238" s="193"/>
      <c r="D238" s="193"/>
      <c r="E238" s="193"/>
      <c r="F238" s="193"/>
      <c r="G238" s="193"/>
      <c r="H238" s="81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 spans="1:27" ht="15.6">
      <c r="A239" s="193"/>
      <c r="B239" s="193"/>
      <c r="C239" s="193"/>
      <c r="D239" s="193"/>
      <c r="E239" s="193"/>
      <c r="F239" s="193"/>
      <c r="G239" s="193"/>
      <c r="H239" s="81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 spans="1:27" ht="15.6">
      <c r="A240" s="193"/>
      <c r="B240" s="193"/>
      <c r="C240" s="193"/>
      <c r="D240" s="193"/>
      <c r="E240" s="193"/>
      <c r="F240" s="193"/>
      <c r="G240" s="193"/>
      <c r="H240" s="81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 spans="1:27" ht="15.6">
      <c r="A241" s="193"/>
      <c r="B241" s="193"/>
      <c r="C241" s="193"/>
      <c r="D241" s="193"/>
      <c r="E241" s="193"/>
      <c r="F241" s="193"/>
      <c r="G241" s="193"/>
      <c r="H241" s="81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 spans="1:27" ht="15.6">
      <c r="A242" s="193"/>
      <c r="B242" s="193"/>
      <c r="C242" s="193"/>
      <c r="D242" s="193"/>
      <c r="E242" s="193"/>
      <c r="F242" s="193"/>
      <c r="G242" s="193"/>
      <c r="H242" s="81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 spans="1:27" ht="15.6">
      <c r="A243" s="193"/>
      <c r="B243" s="193"/>
      <c r="C243" s="193"/>
      <c r="D243" s="193"/>
      <c r="E243" s="193"/>
      <c r="F243" s="193"/>
      <c r="G243" s="193"/>
      <c r="H243" s="81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 spans="1:27" ht="15.6">
      <c r="A244" s="193"/>
      <c r="B244" s="193"/>
      <c r="C244" s="193"/>
      <c r="D244" s="193"/>
      <c r="E244" s="193"/>
      <c r="F244" s="193"/>
      <c r="G244" s="193"/>
      <c r="H244" s="81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 spans="1:27" ht="15.6">
      <c r="A245" s="193"/>
      <c r="B245" s="193"/>
      <c r="C245" s="193"/>
      <c r="D245" s="193"/>
      <c r="E245" s="193"/>
      <c r="F245" s="193"/>
      <c r="G245" s="193"/>
      <c r="H245" s="81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 spans="1:27" ht="15.6">
      <c r="A246" s="193"/>
      <c r="B246" s="193"/>
      <c r="C246" s="193"/>
      <c r="D246" s="193"/>
      <c r="E246" s="193"/>
      <c r="F246" s="193"/>
      <c r="G246" s="193"/>
      <c r="H246" s="81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 spans="1:27" ht="15.6">
      <c r="A247" s="193"/>
      <c r="B247" s="193"/>
      <c r="C247" s="193"/>
      <c r="D247" s="193"/>
      <c r="E247" s="193"/>
      <c r="F247" s="193"/>
      <c r="G247" s="193"/>
      <c r="H247" s="81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 spans="1:27" ht="15.6">
      <c r="A248" s="193"/>
      <c r="B248" s="193"/>
      <c r="C248" s="193"/>
      <c r="D248" s="193"/>
      <c r="E248" s="193"/>
      <c r="F248" s="193"/>
      <c r="G248" s="193"/>
      <c r="H248" s="81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 spans="1:27" ht="15.6">
      <c r="A249" s="193"/>
      <c r="B249" s="193"/>
      <c r="C249" s="193"/>
      <c r="D249" s="193"/>
      <c r="E249" s="193"/>
      <c r="F249" s="193"/>
      <c r="G249" s="193"/>
      <c r="H249" s="81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 spans="1:27" ht="15.6">
      <c r="A250" s="193"/>
      <c r="B250" s="193"/>
      <c r="C250" s="193"/>
      <c r="D250" s="193"/>
      <c r="E250" s="193"/>
      <c r="F250" s="193"/>
      <c r="G250" s="193"/>
      <c r="H250" s="81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 spans="1:27" ht="15.6">
      <c r="A251" s="193"/>
      <c r="B251" s="193"/>
      <c r="C251" s="193"/>
      <c r="D251" s="193"/>
      <c r="E251" s="193"/>
      <c r="F251" s="193"/>
      <c r="G251" s="193"/>
      <c r="H251" s="81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 spans="1:27" ht="15.6">
      <c r="A252" s="193"/>
      <c r="B252" s="193"/>
      <c r="C252" s="193"/>
      <c r="D252" s="193"/>
      <c r="E252" s="193"/>
      <c r="F252" s="193"/>
      <c r="G252" s="193"/>
      <c r="H252" s="81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 spans="1:27" ht="15.6">
      <c r="A253" s="193"/>
      <c r="B253" s="193"/>
      <c r="C253" s="193"/>
      <c r="D253" s="193"/>
      <c r="E253" s="193"/>
      <c r="F253" s="193"/>
      <c r="G253" s="193"/>
      <c r="H253" s="81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 spans="1:27" ht="15.6">
      <c r="A254" s="193"/>
      <c r="B254" s="193"/>
      <c r="C254" s="193"/>
      <c r="D254" s="193"/>
      <c r="E254" s="193"/>
      <c r="F254" s="193"/>
      <c r="G254" s="193"/>
      <c r="H254" s="81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 spans="1:27" ht="15.6">
      <c r="A255" s="193"/>
      <c r="B255" s="193"/>
      <c r="C255" s="193"/>
      <c r="D255" s="193"/>
      <c r="E255" s="193"/>
      <c r="F255" s="193"/>
      <c r="G255" s="193"/>
      <c r="H255" s="81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 spans="1:27" ht="15.6">
      <c r="A256" s="193"/>
      <c r="B256" s="193"/>
      <c r="C256" s="193"/>
      <c r="D256" s="193"/>
      <c r="E256" s="193"/>
      <c r="F256" s="193"/>
      <c r="G256" s="193"/>
      <c r="H256" s="81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 spans="1:27" ht="15.6">
      <c r="A257" s="193"/>
      <c r="B257" s="193"/>
      <c r="C257" s="193"/>
      <c r="D257" s="193"/>
      <c r="E257" s="193"/>
      <c r="F257" s="193"/>
      <c r="G257" s="193"/>
      <c r="H257" s="81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 spans="1:27" ht="15.6">
      <c r="A258" s="193"/>
      <c r="B258" s="193"/>
      <c r="C258" s="193"/>
      <c r="D258" s="193"/>
      <c r="E258" s="193"/>
      <c r="F258" s="193"/>
      <c r="G258" s="193"/>
      <c r="H258" s="81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 spans="1:27" ht="15.6">
      <c r="A259" s="193"/>
      <c r="B259" s="193"/>
      <c r="C259" s="193"/>
      <c r="D259" s="193"/>
      <c r="E259" s="193"/>
      <c r="F259" s="193"/>
      <c r="G259" s="193"/>
      <c r="H259" s="81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 spans="1:27" ht="15.6">
      <c r="A260" s="193"/>
      <c r="B260" s="193"/>
      <c r="C260" s="193"/>
      <c r="D260" s="193"/>
      <c r="E260" s="193"/>
      <c r="F260" s="193"/>
      <c r="G260" s="193"/>
      <c r="H260" s="81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 spans="1:27" ht="15.6">
      <c r="A261" s="193"/>
      <c r="B261" s="193"/>
      <c r="C261" s="193"/>
      <c r="D261" s="193"/>
      <c r="E261" s="193"/>
      <c r="F261" s="193"/>
      <c r="G261" s="193"/>
      <c r="H261" s="81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 spans="1:27" ht="15.6">
      <c r="A262" s="193"/>
      <c r="B262" s="193"/>
      <c r="C262" s="193"/>
      <c r="D262" s="193"/>
      <c r="E262" s="193"/>
      <c r="F262" s="193"/>
      <c r="G262" s="193"/>
      <c r="H262" s="81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 spans="1:27" ht="15.6">
      <c r="A263" s="193"/>
      <c r="B263" s="193"/>
      <c r="C263" s="193"/>
      <c r="D263" s="193"/>
      <c r="E263" s="193"/>
      <c r="F263" s="193"/>
      <c r="G263" s="193"/>
      <c r="H263" s="81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 spans="1:27" ht="15.6">
      <c r="A264" s="193"/>
      <c r="B264" s="193"/>
      <c r="C264" s="193"/>
      <c r="D264" s="193"/>
      <c r="E264" s="193"/>
      <c r="F264" s="193"/>
      <c r="G264" s="193"/>
      <c r="H264" s="81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 spans="1:27" ht="15.6">
      <c r="A265" s="193"/>
      <c r="B265" s="193"/>
      <c r="C265" s="193"/>
      <c r="D265" s="193"/>
      <c r="E265" s="193"/>
      <c r="F265" s="193"/>
      <c r="G265" s="193"/>
      <c r="H265" s="81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 spans="1:27" ht="15.6">
      <c r="A266" s="193"/>
      <c r="B266" s="193"/>
      <c r="C266" s="193"/>
      <c r="D266" s="193"/>
      <c r="E266" s="193"/>
      <c r="F266" s="193"/>
      <c r="G266" s="193"/>
      <c r="H266" s="81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 spans="1:27" ht="15.6">
      <c r="A267" s="193"/>
      <c r="B267" s="193"/>
      <c r="C267" s="193"/>
      <c r="D267" s="193"/>
      <c r="E267" s="193"/>
      <c r="F267" s="193"/>
      <c r="G267" s="193"/>
      <c r="H267" s="81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 spans="1:27" ht="15.6">
      <c r="A268" s="193"/>
      <c r="B268" s="193"/>
      <c r="C268" s="193"/>
      <c r="D268" s="193"/>
      <c r="E268" s="193"/>
      <c r="F268" s="193"/>
      <c r="G268" s="193"/>
      <c r="H268" s="81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 spans="1:27" ht="15.6">
      <c r="A269" s="193"/>
      <c r="B269" s="193"/>
      <c r="C269" s="193"/>
      <c r="D269" s="193"/>
      <c r="E269" s="193"/>
      <c r="F269" s="193"/>
      <c r="G269" s="193"/>
      <c r="H269" s="81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 spans="1:27" ht="15.6">
      <c r="A270" s="193"/>
      <c r="B270" s="193"/>
      <c r="C270" s="193"/>
      <c r="D270" s="193"/>
      <c r="E270" s="193"/>
      <c r="F270" s="193"/>
      <c r="G270" s="193"/>
      <c r="H270" s="81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 spans="1:27" ht="15.6">
      <c r="A271" s="193"/>
      <c r="B271" s="193"/>
      <c r="C271" s="193"/>
      <c r="D271" s="193"/>
      <c r="E271" s="193"/>
      <c r="F271" s="193"/>
      <c r="G271" s="193"/>
      <c r="H271" s="81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 spans="1:27" ht="15.6">
      <c r="A272" s="193"/>
      <c r="B272" s="193"/>
      <c r="C272" s="193"/>
      <c r="D272" s="193"/>
      <c r="E272" s="193"/>
      <c r="F272" s="193"/>
      <c r="G272" s="193"/>
      <c r="H272" s="81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 spans="1:27" ht="15.6">
      <c r="A273" s="193"/>
      <c r="B273" s="193"/>
      <c r="C273" s="193"/>
      <c r="D273" s="193"/>
      <c r="E273" s="193"/>
      <c r="F273" s="193"/>
      <c r="G273" s="193"/>
      <c r="H273" s="81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 spans="1:27" ht="15.6">
      <c r="A274" s="193"/>
      <c r="B274" s="193"/>
      <c r="C274" s="193"/>
      <c r="D274" s="193"/>
      <c r="E274" s="193"/>
      <c r="F274" s="193"/>
      <c r="G274" s="193"/>
      <c r="H274" s="81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 spans="1:27" ht="15.6">
      <c r="A275" s="193"/>
      <c r="B275" s="193"/>
      <c r="C275" s="193"/>
      <c r="D275" s="193"/>
      <c r="E275" s="193"/>
      <c r="F275" s="193"/>
      <c r="G275" s="193"/>
      <c r="H275" s="81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 spans="1:27" ht="15.6">
      <c r="A276" s="193"/>
      <c r="B276" s="193"/>
      <c r="C276" s="193"/>
      <c r="D276" s="193"/>
      <c r="E276" s="193"/>
      <c r="F276" s="193"/>
      <c r="G276" s="193"/>
      <c r="H276" s="81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 spans="1:27" ht="15.6">
      <c r="A277" s="193"/>
      <c r="B277" s="193"/>
      <c r="C277" s="193"/>
      <c r="D277" s="193"/>
      <c r="E277" s="193"/>
      <c r="F277" s="193"/>
      <c r="G277" s="193"/>
      <c r="H277" s="81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 spans="1:27" ht="15.6">
      <c r="A278" s="193"/>
      <c r="B278" s="193"/>
      <c r="C278" s="193"/>
      <c r="D278" s="193"/>
      <c r="E278" s="193"/>
      <c r="F278" s="193"/>
      <c r="G278" s="193"/>
      <c r="H278" s="81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 spans="1:27" ht="15.6">
      <c r="A279" s="193"/>
      <c r="B279" s="193"/>
      <c r="C279" s="193"/>
      <c r="D279" s="193"/>
      <c r="E279" s="193"/>
      <c r="F279" s="193"/>
      <c r="G279" s="193"/>
      <c r="H279" s="81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 spans="1:27" ht="15.6">
      <c r="A280" s="193"/>
      <c r="B280" s="193"/>
      <c r="C280" s="193"/>
      <c r="D280" s="193"/>
      <c r="E280" s="193"/>
      <c r="F280" s="193"/>
      <c r="G280" s="193"/>
      <c r="H280" s="81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 spans="1:27" ht="15.6">
      <c r="A281" s="193"/>
      <c r="B281" s="193"/>
      <c r="C281" s="193"/>
      <c r="D281" s="193"/>
      <c r="E281" s="193"/>
      <c r="F281" s="193"/>
      <c r="G281" s="193"/>
      <c r="H281" s="81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 spans="1:27" ht="15.6">
      <c r="A282" s="193"/>
      <c r="B282" s="193"/>
      <c r="C282" s="193"/>
      <c r="D282" s="193"/>
      <c r="E282" s="193"/>
      <c r="F282" s="193"/>
      <c r="G282" s="193"/>
      <c r="H282" s="81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 spans="1:27" ht="15.6">
      <c r="A283" s="193"/>
      <c r="B283" s="193"/>
      <c r="C283" s="193"/>
      <c r="D283" s="193"/>
      <c r="E283" s="193"/>
      <c r="F283" s="193"/>
      <c r="G283" s="193"/>
      <c r="H283" s="81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 spans="1:27" ht="15.6">
      <c r="A284" s="193"/>
      <c r="B284" s="193"/>
      <c r="C284" s="193"/>
      <c r="D284" s="193"/>
      <c r="E284" s="193"/>
      <c r="F284" s="193"/>
      <c r="G284" s="193"/>
      <c r="H284" s="81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 spans="1:27" ht="15.6">
      <c r="A285" s="193"/>
      <c r="B285" s="193"/>
      <c r="C285" s="193"/>
      <c r="D285" s="193"/>
      <c r="E285" s="193"/>
      <c r="F285" s="193"/>
      <c r="G285" s="193"/>
      <c r="H285" s="81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 spans="1:27" ht="15.6">
      <c r="A286" s="193"/>
      <c r="B286" s="193"/>
      <c r="C286" s="193"/>
      <c r="D286" s="193"/>
      <c r="E286" s="193"/>
      <c r="F286" s="193"/>
      <c r="G286" s="193"/>
      <c r="H286" s="81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 spans="1:27" ht="15.6">
      <c r="A287" s="193"/>
      <c r="B287" s="193"/>
      <c r="C287" s="193"/>
      <c r="D287" s="193"/>
      <c r="E287" s="193"/>
      <c r="F287" s="193"/>
      <c r="G287" s="193"/>
      <c r="H287" s="81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 spans="1:27" ht="15.6">
      <c r="A288" s="193"/>
      <c r="B288" s="193"/>
      <c r="C288" s="193"/>
      <c r="D288" s="193"/>
      <c r="E288" s="193"/>
      <c r="F288" s="193"/>
      <c r="G288" s="193"/>
      <c r="H288" s="81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 spans="1:27" ht="15.6">
      <c r="A289" s="193"/>
      <c r="B289" s="193"/>
      <c r="C289" s="193"/>
      <c r="D289" s="193"/>
      <c r="E289" s="193"/>
      <c r="F289" s="193"/>
      <c r="G289" s="193"/>
      <c r="H289" s="81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 spans="1:27" ht="15.6">
      <c r="A290" s="193"/>
      <c r="B290" s="193"/>
      <c r="C290" s="193"/>
      <c r="D290" s="193"/>
      <c r="E290" s="193"/>
      <c r="F290" s="193"/>
      <c r="G290" s="193"/>
      <c r="H290" s="81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 spans="1:27" ht="15.6">
      <c r="A291" s="193"/>
      <c r="B291" s="193"/>
      <c r="C291" s="193"/>
      <c r="D291" s="193"/>
      <c r="E291" s="193"/>
      <c r="F291" s="193"/>
      <c r="G291" s="193"/>
      <c r="H291" s="81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 spans="1:27" ht="15.6">
      <c r="A292" s="193"/>
      <c r="B292" s="193"/>
      <c r="C292" s="193"/>
      <c r="D292" s="193"/>
      <c r="E292" s="193"/>
      <c r="F292" s="193"/>
      <c r="G292" s="193"/>
      <c r="H292" s="81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 spans="1:27" ht="15.6">
      <c r="A293" s="193"/>
      <c r="B293" s="193"/>
      <c r="C293" s="193"/>
      <c r="D293" s="193"/>
      <c r="E293" s="193"/>
      <c r="F293" s="193"/>
      <c r="G293" s="193"/>
      <c r="H293" s="81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 spans="1:27" ht="15.6">
      <c r="A294" s="193"/>
      <c r="B294" s="193"/>
      <c r="C294" s="193"/>
      <c r="D294" s="193"/>
      <c r="E294" s="193"/>
      <c r="F294" s="193"/>
      <c r="G294" s="193"/>
      <c r="H294" s="81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 spans="1:27" ht="15.6">
      <c r="A295" s="193"/>
      <c r="B295" s="193"/>
      <c r="C295" s="193"/>
      <c r="D295" s="193"/>
      <c r="E295" s="193"/>
      <c r="F295" s="193"/>
      <c r="G295" s="193"/>
      <c r="H295" s="81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 spans="1:27" ht="15.6">
      <c r="A296" s="193"/>
      <c r="B296" s="193"/>
      <c r="C296" s="193"/>
      <c r="D296" s="193"/>
      <c r="E296" s="193"/>
      <c r="F296" s="193"/>
      <c r="G296" s="193"/>
      <c r="H296" s="81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 spans="1:27" ht="15.6">
      <c r="A297" s="193"/>
      <c r="B297" s="193"/>
      <c r="C297" s="193"/>
      <c r="D297" s="193"/>
      <c r="E297" s="193"/>
      <c r="F297" s="193"/>
      <c r="G297" s="193"/>
      <c r="H297" s="81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 spans="1:27" ht="15.6">
      <c r="A298" s="193"/>
      <c r="B298" s="193"/>
      <c r="C298" s="193"/>
      <c r="D298" s="193"/>
      <c r="E298" s="193"/>
      <c r="F298" s="193"/>
      <c r="G298" s="193"/>
      <c r="H298" s="81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 spans="1:27" ht="15.6">
      <c r="A299" s="193"/>
      <c r="B299" s="193"/>
      <c r="C299" s="193"/>
      <c r="D299" s="193"/>
      <c r="E299" s="193"/>
      <c r="F299" s="193"/>
      <c r="G299" s="193"/>
      <c r="H299" s="81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 spans="1:27" ht="15.6">
      <c r="A300" s="193"/>
      <c r="B300" s="193"/>
      <c r="C300" s="193"/>
      <c r="D300" s="193"/>
      <c r="E300" s="193"/>
      <c r="F300" s="193"/>
      <c r="G300" s="193"/>
      <c r="H300" s="81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 spans="1:27" ht="15.6">
      <c r="A301" s="193"/>
      <c r="B301" s="193"/>
      <c r="C301" s="193"/>
      <c r="D301" s="193"/>
      <c r="E301" s="193"/>
      <c r="F301" s="193"/>
      <c r="G301" s="193"/>
      <c r="H301" s="81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 spans="1:27" ht="15.6">
      <c r="A302" s="193"/>
      <c r="B302" s="193"/>
      <c r="C302" s="193"/>
      <c r="D302" s="193"/>
      <c r="E302" s="193"/>
      <c r="F302" s="193"/>
      <c r="G302" s="193"/>
      <c r="H302" s="81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 spans="1:27" ht="15.6">
      <c r="A303" s="193"/>
      <c r="B303" s="193"/>
      <c r="C303" s="193"/>
      <c r="D303" s="193"/>
      <c r="E303" s="193"/>
      <c r="F303" s="193"/>
      <c r="G303" s="193"/>
      <c r="H303" s="81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 spans="1:27" ht="15.6">
      <c r="A304" s="193"/>
      <c r="B304" s="193"/>
      <c r="C304" s="193"/>
      <c r="D304" s="193"/>
      <c r="E304" s="193"/>
      <c r="F304" s="193"/>
      <c r="G304" s="193"/>
      <c r="H304" s="81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 spans="1:27" ht="15.6">
      <c r="A305" s="193"/>
      <c r="B305" s="193"/>
      <c r="C305" s="193"/>
      <c r="D305" s="193"/>
      <c r="E305" s="193"/>
      <c r="F305" s="193"/>
      <c r="G305" s="193"/>
      <c r="H305" s="81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 spans="1:27" ht="15.6">
      <c r="A306" s="193"/>
      <c r="B306" s="193"/>
      <c r="C306" s="193"/>
      <c r="D306" s="193"/>
      <c r="E306" s="193"/>
      <c r="F306" s="193"/>
      <c r="G306" s="193"/>
      <c r="H306" s="81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 spans="1:27" ht="15.6">
      <c r="A307" s="193"/>
      <c r="B307" s="193"/>
      <c r="C307" s="193"/>
      <c r="D307" s="193"/>
      <c r="E307" s="193"/>
      <c r="F307" s="193"/>
      <c r="G307" s="193"/>
      <c r="H307" s="81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 spans="1:27" ht="15.6">
      <c r="A308" s="193"/>
      <c r="B308" s="193"/>
      <c r="C308" s="193"/>
      <c r="D308" s="193"/>
      <c r="E308" s="193"/>
      <c r="F308" s="193"/>
      <c r="G308" s="193"/>
      <c r="H308" s="81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 spans="1:27" ht="15.6">
      <c r="A309" s="193"/>
      <c r="B309" s="193"/>
      <c r="C309" s="193"/>
      <c r="D309" s="193"/>
      <c r="E309" s="193"/>
      <c r="F309" s="193"/>
      <c r="G309" s="193"/>
      <c r="H309" s="81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 spans="1:27" ht="15.6">
      <c r="A310" s="193"/>
      <c r="B310" s="193"/>
      <c r="C310" s="193"/>
      <c r="D310" s="193"/>
      <c r="E310" s="193"/>
      <c r="F310" s="193"/>
      <c r="G310" s="193"/>
      <c r="H310" s="81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 spans="1:27" ht="15.6">
      <c r="A311" s="193"/>
      <c r="B311" s="193"/>
      <c r="C311" s="193"/>
      <c r="D311" s="193"/>
      <c r="E311" s="193"/>
      <c r="F311" s="193"/>
      <c r="G311" s="193"/>
      <c r="H311" s="81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 spans="1:27" ht="15.6">
      <c r="A312" s="193"/>
      <c r="B312" s="193"/>
      <c r="C312" s="193"/>
      <c r="D312" s="193"/>
      <c r="E312" s="193"/>
      <c r="F312" s="193"/>
      <c r="G312" s="193"/>
      <c r="H312" s="81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 spans="1:27" ht="15.6">
      <c r="A313" s="193"/>
      <c r="B313" s="193"/>
      <c r="C313" s="193"/>
      <c r="D313" s="193"/>
      <c r="E313" s="193"/>
      <c r="F313" s="193"/>
      <c r="G313" s="193"/>
      <c r="H313" s="81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 spans="1:27" ht="15.6">
      <c r="A314" s="193"/>
      <c r="B314" s="193"/>
      <c r="C314" s="193"/>
      <c r="D314" s="193"/>
      <c r="E314" s="193"/>
      <c r="F314" s="193"/>
      <c r="G314" s="193"/>
      <c r="H314" s="81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 spans="1:27" ht="15.6">
      <c r="A315" s="193"/>
      <c r="B315" s="193"/>
      <c r="C315" s="193"/>
      <c r="D315" s="193"/>
      <c r="E315" s="193"/>
      <c r="F315" s="193"/>
      <c r="G315" s="193"/>
      <c r="H315" s="81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 spans="1:27" ht="15.6">
      <c r="A316" s="193"/>
      <c r="B316" s="193"/>
      <c r="C316" s="193"/>
      <c r="D316" s="193"/>
      <c r="E316" s="193"/>
      <c r="F316" s="193"/>
      <c r="G316" s="193"/>
      <c r="H316" s="81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 spans="1:27" ht="15.6">
      <c r="A317" s="193"/>
      <c r="B317" s="193"/>
      <c r="C317" s="193"/>
      <c r="D317" s="193"/>
      <c r="E317" s="193"/>
      <c r="F317" s="193"/>
      <c r="G317" s="193"/>
      <c r="H317" s="81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 spans="1:27" ht="15.6">
      <c r="A318" s="193"/>
      <c r="B318" s="193"/>
      <c r="C318" s="193"/>
      <c r="D318" s="193"/>
      <c r="E318" s="193"/>
      <c r="F318" s="193"/>
      <c r="G318" s="193"/>
      <c r="H318" s="81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 spans="1:27" ht="15.6">
      <c r="A319" s="193"/>
      <c r="B319" s="193"/>
      <c r="C319" s="193"/>
      <c r="D319" s="193"/>
      <c r="E319" s="193"/>
      <c r="F319" s="193"/>
      <c r="G319" s="193"/>
      <c r="H319" s="81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 spans="1:27" ht="15.6">
      <c r="A320" s="193"/>
      <c r="B320" s="193"/>
      <c r="C320" s="193"/>
      <c r="D320" s="193"/>
      <c r="E320" s="193"/>
      <c r="F320" s="193"/>
      <c r="G320" s="193"/>
      <c r="H320" s="81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 spans="1:27" ht="15.6">
      <c r="A321" s="193"/>
      <c r="B321" s="193"/>
      <c r="C321" s="193"/>
      <c r="D321" s="193"/>
      <c r="E321" s="193"/>
      <c r="F321" s="193"/>
      <c r="G321" s="193"/>
      <c r="H321" s="81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 spans="1:27" ht="15.6">
      <c r="A322" s="193"/>
      <c r="B322" s="193"/>
      <c r="C322" s="193"/>
      <c r="D322" s="193"/>
      <c r="E322" s="193"/>
      <c r="F322" s="193"/>
      <c r="G322" s="193"/>
      <c r="H322" s="81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 spans="1:27" ht="15.6">
      <c r="A323" s="193"/>
      <c r="B323" s="193"/>
      <c r="C323" s="193"/>
      <c r="D323" s="193"/>
      <c r="E323" s="193"/>
      <c r="F323" s="193"/>
      <c r="G323" s="193"/>
      <c r="H323" s="81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 spans="1:27" ht="15.6">
      <c r="A324" s="193"/>
      <c r="B324" s="193"/>
      <c r="C324" s="193"/>
      <c r="D324" s="193"/>
      <c r="E324" s="193"/>
      <c r="F324" s="193"/>
      <c r="G324" s="193"/>
      <c r="H324" s="81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 spans="1:27" ht="15.6">
      <c r="A325" s="193"/>
      <c r="B325" s="193"/>
      <c r="C325" s="193"/>
      <c r="D325" s="193"/>
      <c r="E325" s="193"/>
      <c r="F325" s="193"/>
      <c r="G325" s="193"/>
      <c r="H325" s="81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 spans="1:27" ht="15.6">
      <c r="A326" s="193"/>
      <c r="B326" s="193"/>
      <c r="C326" s="193"/>
      <c r="D326" s="193"/>
      <c r="E326" s="193"/>
      <c r="F326" s="193"/>
      <c r="G326" s="193"/>
      <c r="H326" s="81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 spans="1:27" ht="15.6">
      <c r="A327" s="193"/>
      <c r="B327" s="193"/>
      <c r="C327" s="193"/>
      <c r="D327" s="193"/>
      <c r="E327" s="193"/>
      <c r="F327" s="193"/>
      <c r="G327" s="193"/>
      <c r="H327" s="81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 spans="1:27" ht="15.6">
      <c r="A328" s="193"/>
      <c r="B328" s="193"/>
      <c r="C328" s="193"/>
      <c r="D328" s="193"/>
      <c r="E328" s="193"/>
      <c r="F328" s="193"/>
      <c r="G328" s="193"/>
      <c r="H328" s="81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 spans="1:27" ht="15.6">
      <c r="A329" s="193"/>
      <c r="B329" s="193"/>
      <c r="C329" s="193"/>
      <c r="D329" s="193"/>
      <c r="E329" s="193"/>
      <c r="F329" s="193"/>
      <c r="G329" s="193"/>
      <c r="H329" s="81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 spans="1:27" ht="15.6">
      <c r="A330" s="193"/>
      <c r="B330" s="193"/>
      <c r="C330" s="193"/>
      <c r="D330" s="193"/>
      <c r="E330" s="193"/>
      <c r="F330" s="193"/>
      <c r="G330" s="193"/>
      <c r="H330" s="81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 spans="1:27" ht="15.6">
      <c r="A331" s="193"/>
      <c r="B331" s="193"/>
      <c r="C331" s="193"/>
      <c r="D331" s="193"/>
      <c r="E331" s="193"/>
      <c r="F331" s="193"/>
      <c r="G331" s="193"/>
      <c r="H331" s="81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 spans="1:27" ht="15.6">
      <c r="A332" s="193"/>
      <c r="B332" s="193"/>
      <c r="C332" s="193"/>
      <c r="D332" s="193"/>
      <c r="E332" s="193"/>
      <c r="F332" s="193"/>
      <c r="G332" s="193"/>
      <c r="H332" s="81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 spans="1:27" ht="15.6">
      <c r="A333" s="193"/>
      <c r="B333" s="193"/>
      <c r="C333" s="193"/>
      <c r="D333" s="193"/>
      <c r="E333" s="193"/>
      <c r="F333" s="193"/>
      <c r="G333" s="193"/>
      <c r="H333" s="81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 spans="1:27" ht="15.6">
      <c r="A334" s="193"/>
      <c r="B334" s="193"/>
      <c r="C334" s="193"/>
      <c r="D334" s="193"/>
      <c r="E334" s="193"/>
      <c r="F334" s="193"/>
      <c r="G334" s="193"/>
      <c r="H334" s="81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 spans="1:27" ht="15.6">
      <c r="A335" s="193"/>
      <c r="B335" s="193"/>
      <c r="C335" s="193"/>
      <c r="D335" s="193"/>
      <c r="E335" s="193"/>
      <c r="F335" s="193"/>
      <c r="G335" s="193"/>
      <c r="H335" s="81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 spans="1:27" ht="15.6">
      <c r="A336" s="193"/>
      <c r="B336" s="193"/>
      <c r="C336" s="193"/>
      <c r="D336" s="193"/>
      <c r="E336" s="193"/>
      <c r="F336" s="193"/>
      <c r="G336" s="193"/>
      <c r="H336" s="81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 spans="1:27" ht="15.6">
      <c r="A337" s="193"/>
      <c r="B337" s="193"/>
      <c r="C337" s="193"/>
      <c r="D337" s="193"/>
      <c r="E337" s="193"/>
      <c r="F337" s="193"/>
      <c r="G337" s="193"/>
      <c r="H337" s="81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 spans="1:27" ht="15.6">
      <c r="A338" s="193"/>
      <c r="B338" s="193"/>
      <c r="C338" s="193"/>
      <c r="D338" s="193"/>
      <c r="E338" s="193"/>
      <c r="F338" s="193"/>
      <c r="G338" s="193"/>
      <c r="H338" s="81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 spans="1:27" ht="15.6">
      <c r="A339" s="193"/>
      <c r="B339" s="193"/>
      <c r="C339" s="193"/>
      <c r="D339" s="193"/>
      <c r="E339" s="193"/>
      <c r="F339" s="193"/>
      <c r="G339" s="193"/>
      <c r="H339" s="81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 spans="1:27" ht="15.6">
      <c r="A340" s="193"/>
      <c r="B340" s="193"/>
      <c r="C340" s="193"/>
      <c r="D340" s="193"/>
      <c r="E340" s="193"/>
      <c r="F340" s="193"/>
      <c r="G340" s="193"/>
      <c r="H340" s="81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 spans="1:27" ht="15.6">
      <c r="A341" s="193"/>
      <c r="B341" s="193"/>
      <c r="C341" s="193"/>
      <c r="D341" s="193"/>
      <c r="E341" s="193"/>
      <c r="F341" s="193"/>
      <c r="G341" s="193"/>
      <c r="H341" s="81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 spans="1:27" ht="15.6">
      <c r="A342" s="193"/>
      <c r="B342" s="193"/>
      <c r="C342" s="193"/>
      <c r="D342" s="193"/>
      <c r="E342" s="193"/>
      <c r="F342" s="193"/>
      <c r="G342" s="193"/>
      <c r="H342" s="81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 spans="1:27" ht="15.6">
      <c r="A343" s="193"/>
      <c r="B343" s="193"/>
      <c r="C343" s="193"/>
      <c r="D343" s="193"/>
      <c r="E343" s="193"/>
      <c r="F343" s="193"/>
      <c r="G343" s="193"/>
      <c r="H343" s="81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 spans="1:27" ht="15.6">
      <c r="A344" s="193"/>
      <c r="B344" s="193"/>
      <c r="C344" s="193"/>
      <c r="D344" s="193"/>
      <c r="E344" s="193"/>
      <c r="F344" s="193"/>
      <c r="G344" s="193"/>
      <c r="H344" s="81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 spans="1:27" ht="15.6">
      <c r="A345" s="193"/>
      <c r="B345" s="193"/>
      <c r="C345" s="193"/>
      <c r="D345" s="193"/>
      <c r="E345" s="193"/>
      <c r="F345" s="193"/>
      <c r="G345" s="193"/>
      <c r="H345" s="81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 spans="1:27" ht="15.6">
      <c r="A346" s="193"/>
      <c r="B346" s="193"/>
      <c r="C346" s="193"/>
      <c r="D346" s="193"/>
      <c r="E346" s="193"/>
      <c r="F346" s="193"/>
      <c r="G346" s="193"/>
      <c r="H346" s="81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 spans="1:27" ht="15.6">
      <c r="A347" s="193"/>
      <c r="B347" s="193"/>
      <c r="C347" s="193"/>
      <c r="D347" s="193"/>
      <c r="E347" s="193"/>
      <c r="F347" s="193"/>
      <c r="G347" s="193"/>
      <c r="H347" s="81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 spans="1:27" ht="15.6">
      <c r="A348" s="193"/>
      <c r="B348" s="193"/>
      <c r="C348" s="193"/>
      <c r="D348" s="193"/>
      <c r="E348" s="193"/>
      <c r="F348" s="193"/>
      <c r="G348" s="193"/>
      <c r="H348" s="81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 spans="1:27" ht="15.6">
      <c r="A349" s="193"/>
      <c r="B349" s="193"/>
      <c r="C349" s="193"/>
      <c r="D349" s="193"/>
      <c r="E349" s="193"/>
      <c r="F349" s="193"/>
      <c r="G349" s="193"/>
      <c r="H349" s="81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 spans="1:27" ht="15.6">
      <c r="A350" s="193"/>
      <c r="B350" s="193"/>
      <c r="C350" s="193"/>
      <c r="D350" s="193"/>
      <c r="E350" s="193"/>
      <c r="F350" s="193"/>
      <c r="G350" s="193"/>
      <c r="H350" s="81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 spans="1:27" ht="15.6">
      <c r="A351" s="193"/>
      <c r="B351" s="193"/>
      <c r="C351" s="193"/>
      <c r="D351" s="193"/>
      <c r="E351" s="193"/>
      <c r="F351" s="193"/>
      <c r="G351" s="193"/>
      <c r="H351" s="81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 spans="1:27" ht="15.6">
      <c r="A352" s="193"/>
      <c r="B352" s="193"/>
      <c r="C352" s="193"/>
      <c r="D352" s="193"/>
      <c r="E352" s="193"/>
      <c r="F352" s="193"/>
      <c r="G352" s="193"/>
      <c r="H352" s="81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 spans="1:27" ht="15.6">
      <c r="A353" s="193"/>
      <c r="B353" s="193"/>
      <c r="C353" s="193"/>
      <c r="D353" s="193"/>
      <c r="E353" s="193"/>
      <c r="F353" s="193"/>
      <c r="G353" s="193"/>
      <c r="H353" s="81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 spans="1:27" ht="15.6">
      <c r="A354" s="193"/>
      <c r="B354" s="193"/>
      <c r="C354" s="193"/>
      <c r="D354" s="193"/>
      <c r="E354" s="193"/>
      <c r="F354" s="193"/>
      <c r="G354" s="193"/>
      <c r="H354" s="81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 spans="1:27" ht="15.6">
      <c r="A355" s="193"/>
      <c r="B355" s="193"/>
      <c r="C355" s="193"/>
      <c r="D355" s="193"/>
      <c r="E355" s="193"/>
      <c r="F355" s="193"/>
      <c r="G355" s="193"/>
      <c r="H355" s="81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 spans="1:27" ht="15.6">
      <c r="A356" s="193"/>
      <c r="B356" s="193"/>
      <c r="C356" s="193"/>
      <c r="D356" s="193"/>
      <c r="E356" s="193"/>
      <c r="F356" s="193"/>
      <c r="G356" s="193"/>
      <c r="H356" s="81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 spans="1:27" ht="15.6">
      <c r="A357" s="193"/>
      <c r="B357" s="193"/>
      <c r="C357" s="193"/>
      <c r="D357" s="193"/>
      <c r="E357" s="193"/>
      <c r="F357" s="193"/>
      <c r="G357" s="193"/>
      <c r="H357" s="81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 spans="1:27" ht="15.6">
      <c r="A358" s="193"/>
      <c r="B358" s="193"/>
      <c r="C358" s="193"/>
      <c r="D358" s="193"/>
      <c r="E358" s="193"/>
      <c r="F358" s="193"/>
      <c r="G358" s="193"/>
      <c r="H358" s="81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 spans="1:27" ht="15.6">
      <c r="A359" s="193"/>
      <c r="B359" s="193"/>
      <c r="C359" s="193"/>
      <c r="D359" s="193"/>
      <c r="E359" s="193"/>
      <c r="F359" s="193"/>
      <c r="G359" s="193"/>
      <c r="H359" s="81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 spans="1:27" ht="15.6">
      <c r="A360" s="193"/>
      <c r="B360" s="193"/>
      <c r="C360" s="193"/>
      <c r="D360" s="193"/>
      <c r="E360" s="193"/>
      <c r="F360" s="193"/>
      <c r="G360" s="193"/>
      <c r="H360" s="81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 spans="1:27" ht="15.6">
      <c r="A361" s="193"/>
      <c r="B361" s="193"/>
      <c r="C361" s="193"/>
      <c r="D361" s="193"/>
      <c r="E361" s="193"/>
      <c r="F361" s="193"/>
      <c r="G361" s="193"/>
      <c r="H361" s="81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 spans="1:27" ht="15.6">
      <c r="A362" s="193"/>
      <c r="B362" s="193"/>
      <c r="C362" s="193"/>
      <c r="D362" s="193"/>
      <c r="E362" s="193"/>
      <c r="F362" s="193"/>
      <c r="G362" s="193"/>
      <c r="H362" s="81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 spans="1:27" ht="15.6">
      <c r="A363" s="193"/>
      <c r="B363" s="193"/>
      <c r="C363" s="193"/>
      <c r="D363" s="193"/>
      <c r="E363" s="193"/>
      <c r="F363" s="193"/>
      <c r="G363" s="193"/>
      <c r="H363" s="81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 spans="1:27" ht="15.6">
      <c r="A364" s="193"/>
      <c r="B364" s="193"/>
      <c r="C364" s="193"/>
      <c r="D364" s="193"/>
      <c r="E364" s="193"/>
      <c r="F364" s="193"/>
      <c r="G364" s="193"/>
      <c r="H364" s="81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 spans="1:27" ht="15.6">
      <c r="A365" s="193"/>
      <c r="B365" s="193"/>
      <c r="C365" s="193"/>
      <c r="D365" s="193"/>
      <c r="E365" s="193"/>
      <c r="F365" s="193"/>
      <c r="G365" s="193"/>
      <c r="H365" s="81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 spans="1:27" ht="15.6">
      <c r="A366" s="193"/>
      <c r="B366" s="193"/>
      <c r="C366" s="193"/>
      <c r="D366" s="193"/>
      <c r="E366" s="193"/>
      <c r="F366" s="193"/>
      <c r="G366" s="193"/>
      <c r="H366" s="81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 spans="1:27" ht="15.6">
      <c r="A367" s="193"/>
      <c r="B367" s="193"/>
      <c r="C367" s="193"/>
      <c r="D367" s="193"/>
      <c r="E367" s="193"/>
      <c r="F367" s="193"/>
      <c r="G367" s="193"/>
      <c r="H367" s="81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 spans="1:27" ht="15.6">
      <c r="A368" s="193"/>
      <c r="B368" s="193"/>
      <c r="C368" s="193"/>
      <c r="D368" s="193"/>
      <c r="E368" s="193"/>
      <c r="F368" s="193"/>
      <c r="G368" s="193"/>
      <c r="H368" s="81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 spans="1:27" ht="15.6">
      <c r="A369" s="193"/>
      <c r="B369" s="193"/>
      <c r="C369" s="193"/>
      <c r="D369" s="193"/>
      <c r="E369" s="193"/>
      <c r="F369" s="193"/>
      <c r="G369" s="193"/>
      <c r="H369" s="81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 spans="1:27" ht="15.6">
      <c r="A370" s="193"/>
      <c r="B370" s="193"/>
      <c r="C370" s="193"/>
      <c r="D370" s="193"/>
      <c r="E370" s="193"/>
      <c r="F370" s="193"/>
      <c r="G370" s="193"/>
      <c r="H370" s="81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 spans="1:27" ht="15.6">
      <c r="A371" s="193"/>
      <c r="B371" s="193"/>
      <c r="C371" s="193"/>
      <c r="D371" s="193"/>
      <c r="E371" s="193"/>
      <c r="F371" s="193"/>
      <c r="G371" s="193"/>
      <c r="H371" s="81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 spans="1:27" ht="15.6">
      <c r="A372" s="193"/>
      <c r="B372" s="193"/>
      <c r="C372" s="193"/>
      <c r="D372" s="193"/>
      <c r="E372" s="193"/>
      <c r="F372" s="193"/>
      <c r="G372" s="193"/>
      <c r="H372" s="81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 spans="1:27" ht="15.6">
      <c r="A373" s="193"/>
      <c r="B373" s="193"/>
      <c r="C373" s="193"/>
      <c r="D373" s="193"/>
      <c r="E373" s="193"/>
      <c r="F373" s="193"/>
      <c r="G373" s="193"/>
      <c r="H373" s="81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 spans="1:27" ht="15.6">
      <c r="A374" s="193"/>
      <c r="B374" s="193"/>
      <c r="C374" s="193"/>
      <c r="D374" s="193"/>
      <c r="E374" s="193"/>
      <c r="F374" s="193"/>
      <c r="G374" s="193"/>
      <c r="H374" s="81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 spans="1:27" ht="15.6">
      <c r="A375" s="193"/>
      <c r="B375" s="193"/>
      <c r="C375" s="193"/>
      <c r="D375" s="193"/>
      <c r="E375" s="193"/>
      <c r="F375" s="193"/>
      <c r="G375" s="193"/>
      <c r="H375" s="81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 spans="1:27" ht="15.6">
      <c r="A376" s="193"/>
      <c r="B376" s="193"/>
      <c r="C376" s="193"/>
      <c r="D376" s="193"/>
      <c r="E376" s="193"/>
      <c r="F376" s="193"/>
      <c r="G376" s="193"/>
      <c r="H376" s="81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 spans="1:27" ht="15.6">
      <c r="A377" s="193"/>
      <c r="B377" s="193"/>
      <c r="C377" s="193"/>
      <c r="D377" s="193"/>
      <c r="E377" s="193"/>
      <c r="F377" s="193"/>
      <c r="G377" s="193"/>
      <c r="H377" s="81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 spans="1:27" ht="15.6">
      <c r="A378" s="193"/>
      <c r="B378" s="193"/>
      <c r="C378" s="193"/>
      <c r="D378" s="193"/>
      <c r="E378" s="193"/>
      <c r="F378" s="193"/>
      <c r="G378" s="193"/>
      <c r="H378" s="81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 spans="1:27" ht="15.6">
      <c r="A379" s="193"/>
      <c r="B379" s="193"/>
      <c r="C379" s="193"/>
      <c r="D379" s="193"/>
      <c r="E379" s="193"/>
      <c r="F379" s="193"/>
      <c r="G379" s="193"/>
      <c r="H379" s="81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 spans="1:27" ht="15.6">
      <c r="A380" s="193"/>
      <c r="B380" s="193"/>
      <c r="C380" s="193"/>
      <c r="D380" s="193"/>
      <c r="E380" s="193"/>
      <c r="F380" s="193"/>
      <c r="G380" s="193"/>
      <c r="H380" s="81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 spans="1:27" ht="15.6">
      <c r="A381" s="193"/>
      <c r="B381" s="193"/>
      <c r="C381" s="193"/>
      <c r="D381" s="193"/>
      <c r="E381" s="193"/>
      <c r="F381" s="193"/>
      <c r="G381" s="193"/>
      <c r="H381" s="81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 spans="1:27" ht="15.6">
      <c r="A382" s="193"/>
      <c r="B382" s="193"/>
      <c r="C382" s="193"/>
      <c r="D382" s="193"/>
      <c r="E382" s="193"/>
      <c r="F382" s="193"/>
      <c r="G382" s="193"/>
      <c r="H382" s="81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 spans="1:27" ht="15.6">
      <c r="A383" s="193"/>
      <c r="B383" s="193"/>
      <c r="C383" s="193"/>
      <c r="D383" s="193"/>
      <c r="E383" s="193"/>
      <c r="F383" s="193"/>
      <c r="G383" s="193"/>
      <c r="H383" s="81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 spans="1:27" ht="15.6">
      <c r="A384" s="193"/>
      <c r="B384" s="193"/>
      <c r="C384" s="193"/>
      <c r="D384" s="193"/>
      <c r="E384" s="193"/>
      <c r="F384" s="193"/>
      <c r="G384" s="193"/>
      <c r="H384" s="81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 spans="1:27" ht="15.6">
      <c r="A385" s="193"/>
      <c r="B385" s="193"/>
      <c r="C385" s="193"/>
      <c r="D385" s="193"/>
      <c r="E385" s="193"/>
      <c r="F385" s="193"/>
      <c r="G385" s="193"/>
      <c r="H385" s="81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 spans="1:27" ht="15.6">
      <c r="A386" s="193"/>
      <c r="B386" s="193"/>
      <c r="C386" s="193"/>
      <c r="D386" s="193"/>
      <c r="E386" s="193"/>
      <c r="F386" s="193"/>
      <c r="G386" s="193"/>
      <c r="H386" s="81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 spans="1:27" ht="15.6">
      <c r="A387" s="193"/>
      <c r="B387" s="193"/>
      <c r="C387" s="193"/>
      <c r="D387" s="193"/>
      <c r="E387" s="193"/>
      <c r="F387" s="193"/>
      <c r="G387" s="193"/>
      <c r="H387" s="81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 spans="1:27" ht="15.6">
      <c r="A388" s="193"/>
      <c r="B388" s="193"/>
      <c r="C388" s="193"/>
      <c r="D388" s="193"/>
      <c r="E388" s="193"/>
      <c r="F388" s="193"/>
      <c r="G388" s="193"/>
      <c r="H388" s="81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 spans="1:27" ht="15.6">
      <c r="A389" s="193"/>
      <c r="B389" s="193"/>
      <c r="C389" s="193"/>
      <c r="D389" s="193"/>
      <c r="E389" s="193"/>
      <c r="F389" s="193"/>
      <c r="G389" s="193"/>
      <c r="H389" s="81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 spans="1:27" ht="15.6">
      <c r="A390" s="193"/>
      <c r="B390" s="193"/>
      <c r="C390" s="193"/>
      <c r="D390" s="193"/>
      <c r="E390" s="193"/>
      <c r="F390" s="193"/>
      <c r="G390" s="193"/>
      <c r="H390" s="81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 spans="1:27" ht="15.6">
      <c r="A391" s="193"/>
      <c r="B391" s="193"/>
      <c r="C391" s="193"/>
      <c r="D391" s="193"/>
      <c r="E391" s="193"/>
      <c r="F391" s="193"/>
      <c r="G391" s="193"/>
      <c r="H391" s="81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 spans="1:27" ht="15.6">
      <c r="A392" s="193"/>
      <c r="B392" s="193"/>
      <c r="C392" s="193"/>
      <c r="D392" s="193"/>
      <c r="E392" s="193"/>
      <c r="F392" s="193"/>
      <c r="G392" s="193"/>
      <c r="H392" s="81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 spans="1:27" ht="15.6">
      <c r="A393" s="193"/>
      <c r="B393" s="193"/>
      <c r="C393" s="193"/>
      <c r="D393" s="193"/>
      <c r="E393" s="193"/>
      <c r="F393" s="193"/>
      <c r="G393" s="193"/>
      <c r="H393" s="81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 spans="1:27" ht="15.6">
      <c r="A394" s="193"/>
      <c r="B394" s="193"/>
      <c r="C394" s="193"/>
      <c r="D394" s="193"/>
      <c r="E394" s="193"/>
      <c r="F394" s="193"/>
      <c r="G394" s="193"/>
      <c r="H394" s="81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 spans="1:27" ht="15.6">
      <c r="A395" s="193"/>
      <c r="B395" s="193"/>
      <c r="C395" s="193"/>
      <c r="D395" s="193"/>
      <c r="E395" s="193"/>
      <c r="F395" s="193"/>
      <c r="G395" s="193"/>
      <c r="H395" s="81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 spans="1:27" ht="15.6">
      <c r="A396" s="193"/>
      <c r="B396" s="193"/>
      <c r="C396" s="193"/>
      <c r="D396" s="193"/>
      <c r="E396" s="193"/>
      <c r="F396" s="193"/>
      <c r="G396" s="193"/>
      <c r="H396" s="81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 spans="1:27" ht="15.6">
      <c r="A397" s="193"/>
      <c r="B397" s="193"/>
      <c r="C397" s="193"/>
      <c r="D397" s="193"/>
      <c r="E397" s="193"/>
      <c r="F397" s="193"/>
      <c r="G397" s="193"/>
      <c r="H397" s="81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 spans="1:27" ht="15.6">
      <c r="A398" s="193"/>
      <c r="B398" s="193"/>
      <c r="C398" s="193"/>
      <c r="D398" s="193"/>
      <c r="E398" s="193"/>
      <c r="F398" s="193"/>
      <c r="G398" s="193"/>
      <c r="H398" s="81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 spans="1:27" ht="15.6">
      <c r="A399" s="193"/>
      <c r="B399" s="193"/>
      <c r="C399" s="193"/>
      <c r="D399" s="193"/>
      <c r="E399" s="193"/>
      <c r="F399" s="193"/>
      <c r="G399" s="193"/>
      <c r="H399" s="81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 spans="1:27" ht="15.6">
      <c r="A400" s="193"/>
      <c r="B400" s="193"/>
      <c r="C400" s="193"/>
      <c r="D400" s="193"/>
      <c r="E400" s="193"/>
      <c r="F400" s="193"/>
      <c r="G400" s="193"/>
      <c r="H400" s="81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 spans="1:27" ht="15.6">
      <c r="A401" s="193"/>
      <c r="B401" s="193"/>
      <c r="C401" s="193"/>
      <c r="D401" s="193"/>
      <c r="E401" s="193"/>
      <c r="F401" s="193"/>
      <c r="G401" s="193"/>
      <c r="H401" s="81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 spans="1:27" ht="15.6">
      <c r="A402" s="193"/>
      <c r="B402" s="193"/>
      <c r="C402" s="193"/>
      <c r="D402" s="193"/>
      <c r="E402" s="193"/>
      <c r="F402" s="193"/>
      <c r="G402" s="193"/>
      <c r="H402" s="81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 spans="1:27" ht="15.6">
      <c r="A403" s="193"/>
      <c r="B403" s="193"/>
      <c r="C403" s="193"/>
      <c r="D403" s="193"/>
      <c r="E403" s="193"/>
      <c r="F403" s="193"/>
      <c r="G403" s="193"/>
      <c r="H403" s="81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 spans="1:27" ht="15.6">
      <c r="A404" s="193"/>
      <c r="B404" s="193"/>
      <c r="C404" s="193"/>
      <c r="D404" s="193"/>
      <c r="E404" s="193"/>
      <c r="F404" s="193"/>
      <c r="G404" s="193"/>
      <c r="H404" s="81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 spans="1:27" ht="15.6">
      <c r="A405" s="193"/>
      <c r="B405" s="193"/>
      <c r="C405" s="193"/>
      <c r="D405" s="193"/>
      <c r="E405" s="193"/>
      <c r="F405" s="193"/>
      <c r="G405" s="193"/>
      <c r="H405" s="81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 spans="1:27" ht="15.6">
      <c r="A406" s="193"/>
      <c r="B406" s="193"/>
      <c r="C406" s="193"/>
      <c r="D406" s="193"/>
      <c r="E406" s="193"/>
      <c r="F406" s="193"/>
      <c r="G406" s="193"/>
      <c r="H406" s="81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 spans="1:27" ht="15.6">
      <c r="A407" s="193"/>
      <c r="B407" s="193"/>
      <c r="C407" s="193"/>
      <c r="D407" s="193"/>
      <c r="E407" s="193"/>
      <c r="F407" s="193"/>
      <c r="G407" s="193"/>
      <c r="H407" s="81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 spans="1:27" ht="15.6">
      <c r="A408" s="193"/>
      <c r="B408" s="193"/>
      <c r="C408" s="193"/>
      <c r="D408" s="193"/>
      <c r="E408" s="193"/>
      <c r="F408" s="193"/>
      <c r="G408" s="193"/>
      <c r="H408" s="81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 spans="1:27" ht="15.6">
      <c r="A409" s="193"/>
      <c r="B409" s="193"/>
      <c r="C409" s="193"/>
      <c r="D409" s="193"/>
      <c r="E409" s="193"/>
      <c r="F409" s="193"/>
      <c r="G409" s="193"/>
      <c r="H409" s="81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 spans="1:27" ht="15.6">
      <c r="A410" s="193"/>
      <c r="B410" s="193"/>
      <c r="C410" s="193"/>
      <c r="D410" s="193"/>
      <c r="E410" s="193"/>
      <c r="F410" s="193"/>
      <c r="G410" s="193"/>
      <c r="H410" s="81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 spans="1:27" ht="15.6">
      <c r="A411" s="193"/>
      <c r="B411" s="193"/>
      <c r="C411" s="193"/>
      <c r="D411" s="193"/>
      <c r="E411" s="193"/>
      <c r="F411" s="193"/>
      <c r="G411" s="193"/>
      <c r="H411" s="81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 spans="1:27" ht="15.6">
      <c r="A412" s="193"/>
      <c r="B412" s="193"/>
      <c r="C412" s="193"/>
      <c r="D412" s="193"/>
      <c r="E412" s="193"/>
      <c r="F412" s="193"/>
      <c r="G412" s="193"/>
      <c r="H412" s="81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 spans="1:27" ht="15.6">
      <c r="A413" s="193"/>
      <c r="B413" s="193"/>
      <c r="C413" s="193"/>
      <c r="D413" s="193"/>
      <c r="E413" s="193"/>
      <c r="F413" s="193"/>
      <c r="G413" s="193"/>
      <c r="H413" s="81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 spans="1:27" ht="15.6">
      <c r="A414" s="193"/>
      <c r="B414" s="193"/>
      <c r="C414" s="193"/>
      <c r="D414" s="193"/>
      <c r="E414" s="193"/>
      <c r="F414" s="193"/>
      <c r="G414" s="193"/>
      <c r="H414" s="81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 spans="1:27" ht="15.6">
      <c r="A415" s="193"/>
      <c r="B415" s="193"/>
      <c r="C415" s="193"/>
      <c r="D415" s="193"/>
      <c r="E415" s="193"/>
      <c r="F415" s="193"/>
      <c r="G415" s="193"/>
      <c r="H415" s="81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 spans="1:27" ht="15.6">
      <c r="A416" s="193"/>
      <c r="B416" s="193"/>
      <c r="C416" s="193"/>
      <c r="D416" s="193"/>
      <c r="E416" s="193"/>
      <c r="F416" s="193"/>
      <c r="G416" s="193"/>
      <c r="H416" s="81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 spans="1:27" ht="15.6">
      <c r="A417" s="193"/>
      <c r="B417" s="193"/>
      <c r="C417" s="193"/>
      <c r="D417" s="193"/>
      <c r="E417" s="193"/>
      <c r="F417" s="193"/>
      <c r="G417" s="193"/>
      <c r="H417" s="81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 spans="1:27" ht="15.6">
      <c r="A418" s="193"/>
      <c r="B418" s="193"/>
      <c r="C418" s="193"/>
      <c r="D418" s="193"/>
      <c r="E418" s="193"/>
      <c r="F418" s="193"/>
      <c r="G418" s="193"/>
      <c r="H418" s="81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 spans="1:27" ht="15.6">
      <c r="A419" s="193"/>
      <c r="B419" s="193"/>
      <c r="C419" s="193"/>
      <c r="D419" s="193"/>
      <c r="E419" s="193"/>
      <c r="F419" s="193"/>
      <c r="G419" s="193"/>
      <c r="H419" s="81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 spans="1:27" ht="15.6">
      <c r="A420" s="193"/>
      <c r="B420" s="193"/>
      <c r="C420" s="193"/>
      <c r="D420" s="193"/>
      <c r="E420" s="193"/>
      <c r="F420" s="193"/>
      <c r="G420" s="193"/>
      <c r="H420" s="81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 spans="1:27" ht="15.6">
      <c r="A421" s="193"/>
      <c r="B421" s="193"/>
      <c r="C421" s="193"/>
      <c r="D421" s="193"/>
      <c r="E421" s="193"/>
      <c r="F421" s="193"/>
      <c r="G421" s="193"/>
      <c r="H421" s="81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 spans="1:27" ht="15.6">
      <c r="A422" s="193"/>
      <c r="B422" s="193"/>
      <c r="C422" s="193"/>
      <c r="D422" s="193"/>
      <c r="E422" s="193"/>
      <c r="F422" s="193"/>
      <c r="G422" s="193"/>
      <c r="H422" s="81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 spans="1:27" ht="15.6">
      <c r="A423" s="193"/>
      <c r="B423" s="193"/>
      <c r="C423" s="193"/>
      <c r="D423" s="193"/>
      <c r="E423" s="193"/>
      <c r="F423" s="193"/>
      <c r="G423" s="193"/>
      <c r="H423" s="81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 spans="1:27" ht="15.6">
      <c r="A424" s="193"/>
      <c r="B424" s="193"/>
      <c r="C424" s="193"/>
      <c r="D424" s="193"/>
      <c r="E424" s="193"/>
      <c r="F424" s="193"/>
      <c r="G424" s="193"/>
      <c r="H424" s="81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 spans="1:27" ht="15.6">
      <c r="A425" s="193"/>
      <c r="B425" s="193"/>
      <c r="C425" s="193"/>
      <c r="D425" s="193"/>
      <c r="E425" s="193"/>
      <c r="F425" s="193"/>
      <c r="G425" s="193"/>
      <c r="H425" s="81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 spans="1:27" ht="15.6">
      <c r="A426" s="193"/>
      <c r="B426" s="193"/>
      <c r="C426" s="193"/>
      <c r="D426" s="193"/>
      <c r="E426" s="193"/>
      <c r="F426" s="193"/>
      <c r="G426" s="193"/>
      <c r="H426" s="81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 spans="1:27" ht="15.6">
      <c r="A427" s="193"/>
      <c r="B427" s="193"/>
      <c r="C427" s="193"/>
      <c r="D427" s="193"/>
      <c r="E427" s="193"/>
      <c r="F427" s="193"/>
      <c r="G427" s="193"/>
      <c r="H427" s="81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 spans="1:27" ht="15.6">
      <c r="A428" s="193"/>
      <c r="B428" s="193"/>
      <c r="C428" s="193"/>
      <c r="D428" s="193"/>
      <c r="E428" s="193"/>
      <c r="F428" s="193"/>
      <c r="G428" s="193"/>
      <c r="H428" s="81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 spans="1:27" ht="15.6">
      <c r="A429" s="193"/>
      <c r="B429" s="193"/>
      <c r="C429" s="193"/>
      <c r="D429" s="193"/>
      <c r="E429" s="193"/>
      <c r="F429" s="193"/>
      <c r="G429" s="193"/>
      <c r="H429" s="81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 spans="1:27" ht="15.6">
      <c r="A430" s="193"/>
      <c r="B430" s="193"/>
      <c r="C430" s="193"/>
      <c r="D430" s="193"/>
      <c r="E430" s="193"/>
      <c r="F430" s="193"/>
      <c r="G430" s="193"/>
      <c r="H430" s="81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 spans="1:27" ht="15.6">
      <c r="A431" s="193"/>
      <c r="B431" s="193"/>
      <c r="C431" s="193"/>
      <c r="D431" s="193"/>
      <c r="E431" s="193"/>
      <c r="F431" s="193"/>
      <c r="G431" s="193"/>
      <c r="H431" s="81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 spans="1:27" ht="15.6">
      <c r="A432" s="193"/>
      <c r="B432" s="193"/>
      <c r="C432" s="193"/>
      <c r="D432" s="193"/>
      <c r="E432" s="193"/>
      <c r="F432" s="193"/>
      <c r="G432" s="193"/>
      <c r="H432" s="81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 spans="1:27" ht="15.6">
      <c r="A433" s="193"/>
      <c r="B433" s="193"/>
      <c r="C433" s="193"/>
      <c r="D433" s="193"/>
      <c r="E433" s="193"/>
      <c r="F433" s="193"/>
      <c r="G433" s="193"/>
      <c r="H433" s="81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 spans="1:27" ht="15.6">
      <c r="A434" s="193"/>
      <c r="B434" s="193"/>
      <c r="C434" s="193"/>
      <c r="D434" s="193"/>
      <c r="E434" s="193"/>
      <c r="F434" s="193"/>
      <c r="G434" s="193"/>
      <c r="H434" s="81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 spans="1:27" ht="15.6">
      <c r="A435" s="193"/>
      <c r="B435" s="193"/>
      <c r="C435" s="193"/>
      <c r="D435" s="193"/>
      <c r="E435" s="193"/>
      <c r="F435" s="193"/>
      <c r="G435" s="193"/>
      <c r="H435" s="81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 spans="1:27" ht="15.6">
      <c r="A436" s="193"/>
      <c r="B436" s="193"/>
      <c r="C436" s="193"/>
      <c r="D436" s="193"/>
      <c r="E436" s="193"/>
      <c r="F436" s="193"/>
      <c r="G436" s="193"/>
      <c r="H436" s="81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 spans="1:27" ht="15.6">
      <c r="A437" s="193"/>
      <c r="B437" s="193"/>
      <c r="C437" s="193"/>
      <c r="D437" s="193"/>
      <c r="E437" s="193"/>
      <c r="F437" s="193"/>
      <c r="G437" s="193"/>
      <c r="H437" s="81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 spans="1:27" ht="15.6">
      <c r="A438" s="193"/>
      <c r="B438" s="193"/>
      <c r="C438" s="193"/>
      <c r="D438" s="193"/>
      <c r="E438" s="193"/>
      <c r="F438" s="193"/>
      <c r="G438" s="193"/>
      <c r="H438" s="81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 spans="1:27" ht="15.6">
      <c r="A439" s="193"/>
      <c r="B439" s="193"/>
      <c r="C439" s="193"/>
      <c r="D439" s="193"/>
      <c r="E439" s="193"/>
      <c r="F439" s="193"/>
      <c r="G439" s="193"/>
      <c r="H439" s="81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 spans="1:27" ht="15.6">
      <c r="A440" s="193"/>
      <c r="B440" s="193"/>
      <c r="C440" s="193"/>
      <c r="D440" s="193"/>
      <c r="E440" s="193"/>
      <c r="F440" s="193"/>
      <c r="G440" s="193"/>
      <c r="H440" s="81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 spans="1:27" ht="15.6">
      <c r="A441" s="193"/>
      <c r="B441" s="193"/>
      <c r="C441" s="193"/>
      <c r="D441" s="193"/>
      <c r="E441" s="193"/>
      <c r="F441" s="193"/>
      <c r="G441" s="193"/>
      <c r="H441" s="81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 spans="1:27" ht="15.6">
      <c r="A442" s="193"/>
      <c r="B442" s="193"/>
      <c r="C442" s="193"/>
      <c r="D442" s="193"/>
      <c r="E442" s="193"/>
      <c r="F442" s="193"/>
      <c r="G442" s="193"/>
      <c r="H442" s="81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 spans="1:27" ht="15.6">
      <c r="A443" s="193"/>
      <c r="B443" s="193"/>
      <c r="C443" s="193"/>
      <c r="D443" s="193"/>
      <c r="E443" s="193"/>
      <c r="F443" s="193"/>
      <c r="G443" s="193"/>
      <c r="H443" s="81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 spans="1:27" ht="15.6">
      <c r="A444" s="193"/>
      <c r="B444" s="193"/>
      <c r="C444" s="193"/>
      <c r="D444" s="193"/>
      <c r="E444" s="193"/>
      <c r="F444" s="193"/>
      <c r="G444" s="193"/>
      <c r="H444" s="81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 spans="1:27" ht="15.6">
      <c r="A445" s="193"/>
      <c r="B445" s="193"/>
      <c r="C445" s="193"/>
      <c r="D445" s="193"/>
      <c r="E445" s="193"/>
      <c r="F445" s="193"/>
      <c r="G445" s="193"/>
      <c r="H445" s="81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 spans="1:27" ht="15.6">
      <c r="A446" s="193"/>
      <c r="B446" s="193"/>
      <c r="C446" s="193"/>
      <c r="D446" s="193"/>
      <c r="E446" s="193"/>
      <c r="F446" s="193"/>
      <c r="G446" s="193"/>
      <c r="H446" s="81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 spans="1:27" ht="15.6">
      <c r="A447" s="193"/>
      <c r="B447" s="193"/>
      <c r="C447" s="193"/>
      <c r="D447" s="193"/>
      <c r="E447" s="193"/>
      <c r="F447" s="193"/>
      <c r="G447" s="193"/>
      <c r="H447" s="81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 spans="1:27" ht="15.6">
      <c r="A448" s="193"/>
      <c r="B448" s="193"/>
      <c r="C448" s="193"/>
      <c r="D448" s="193"/>
      <c r="E448" s="193"/>
      <c r="F448" s="193"/>
      <c r="G448" s="193"/>
      <c r="H448" s="81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 spans="1:27" ht="15.6">
      <c r="A449" s="193"/>
      <c r="B449" s="193"/>
      <c r="C449" s="193"/>
      <c r="D449" s="193"/>
      <c r="E449" s="193"/>
      <c r="F449" s="193"/>
      <c r="G449" s="193"/>
      <c r="H449" s="81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 spans="1:27" ht="15.6">
      <c r="A450" s="193"/>
      <c r="B450" s="193"/>
      <c r="C450" s="193"/>
      <c r="D450" s="193"/>
      <c r="E450" s="193"/>
      <c r="F450" s="193"/>
      <c r="G450" s="193"/>
      <c r="H450" s="81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 spans="1:27" ht="15.6">
      <c r="A451" s="193"/>
      <c r="B451" s="193"/>
      <c r="C451" s="193"/>
      <c r="D451" s="193"/>
      <c r="E451" s="193"/>
      <c r="F451" s="193"/>
      <c r="G451" s="193"/>
      <c r="H451" s="81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 spans="1:27" ht="15.6">
      <c r="A452" s="193"/>
      <c r="B452" s="193"/>
      <c r="C452" s="193"/>
      <c r="D452" s="193"/>
      <c r="E452" s="193"/>
      <c r="F452" s="193"/>
      <c r="G452" s="193"/>
      <c r="H452" s="81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 spans="1:27" ht="15.6">
      <c r="A453" s="193"/>
      <c r="B453" s="193"/>
      <c r="C453" s="193"/>
      <c r="D453" s="193"/>
      <c r="E453" s="193"/>
      <c r="F453" s="193"/>
      <c r="G453" s="193"/>
      <c r="H453" s="81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 spans="1:27" ht="15.6">
      <c r="A454" s="193"/>
      <c r="B454" s="193"/>
      <c r="C454" s="193"/>
      <c r="D454" s="193"/>
      <c r="E454" s="193"/>
      <c r="F454" s="193"/>
      <c r="G454" s="193"/>
      <c r="H454" s="81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 spans="1:27" ht="15.6">
      <c r="A455" s="193"/>
      <c r="B455" s="193"/>
      <c r="C455" s="193"/>
      <c r="D455" s="193"/>
      <c r="E455" s="193"/>
      <c r="F455" s="193"/>
      <c r="G455" s="193"/>
      <c r="H455" s="81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 spans="1:27" ht="15.6">
      <c r="A456" s="193"/>
      <c r="B456" s="193"/>
      <c r="C456" s="193"/>
      <c r="D456" s="193"/>
      <c r="E456" s="193"/>
      <c r="F456" s="193"/>
      <c r="G456" s="193"/>
      <c r="H456" s="81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 spans="1:27" ht="15.6">
      <c r="A457" s="193"/>
      <c r="B457" s="193"/>
      <c r="C457" s="193"/>
      <c r="D457" s="193"/>
      <c r="E457" s="193"/>
      <c r="F457" s="193"/>
      <c r="G457" s="193"/>
      <c r="H457" s="81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 spans="1:27" ht="15.6">
      <c r="A458" s="193"/>
      <c r="B458" s="193"/>
      <c r="C458" s="193"/>
      <c r="D458" s="193"/>
      <c r="E458" s="193"/>
      <c r="F458" s="193"/>
      <c r="G458" s="193"/>
      <c r="H458" s="81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 spans="1:27" ht="15.6">
      <c r="A459" s="193"/>
      <c r="B459" s="193"/>
      <c r="C459" s="193"/>
      <c r="D459" s="193"/>
      <c r="E459" s="193"/>
      <c r="F459" s="193"/>
      <c r="G459" s="193"/>
      <c r="H459" s="81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 spans="1:27" ht="15.6">
      <c r="A460" s="193"/>
      <c r="B460" s="193"/>
      <c r="C460" s="193"/>
      <c r="D460" s="193"/>
      <c r="E460" s="193"/>
      <c r="F460" s="193"/>
      <c r="G460" s="193"/>
      <c r="H460" s="81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 spans="1:27" ht="15.6">
      <c r="A461" s="193"/>
      <c r="B461" s="193"/>
      <c r="C461" s="193"/>
      <c r="D461" s="193"/>
      <c r="E461" s="193"/>
      <c r="F461" s="193"/>
      <c r="G461" s="193"/>
      <c r="H461" s="81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 spans="1:27" ht="15.6">
      <c r="A462" s="193"/>
      <c r="B462" s="193"/>
      <c r="C462" s="193"/>
      <c r="D462" s="193"/>
      <c r="E462" s="193"/>
      <c r="F462" s="193"/>
      <c r="G462" s="193"/>
      <c r="H462" s="81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 spans="1:27" ht="15.6">
      <c r="A463" s="193"/>
      <c r="B463" s="193"/>
      <c r="C463" s="193"/>
      <c r="D463" s="193"/>
      <c r="E463" s="193"/>
      <c r="F463" s="193"/>
      <c r="G463" s="193"/>
      <c r="H463" s="81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 spans="1:27" ht="15.6">
      <c r="A464" s="193"/>
      <c r="B464" s="193"/>
      <c r="C464" s="193"/>
      <c r="D464" s="193"/>
      <c r="E464" s="193"/>
      <c r="F464" s="193"/>
      <c r="G464" s="193"/>
      <c r="H464" s="81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 spans="1:27" ht="15.6">
      <c r="A465" s="193"/>
      <c r="B465" s="193"/>
      <c r="C465" s="193"/>
      <c r="D465" s="193"/>
      <c r="E465" s="193"/>
      <c r="F465" s="193"/>
      <c r="G465" s="193"/>
      <c r="H465" s="81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 spans="1:27" ht="15.6">
      <c r="A466" s="193"/>
      <c r="B466" s="193"/>
      <c r="C466" s="193"/>
      <c r="D466" s="193"/>
      <c r="E466" s="193"/>
      <c r="F466" s="193"/>
      <c r="G466" s="193"/>
      <c r="H466" s="81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 spans="1:27" ht="15.6">
      <c r="A467" s="193"/>
      <c r="B467" s="193"/>
      <c r="C467" s="193"/>
      <c r="D467" s="193"/>
      <c r="E467" s="193"/>
      <c r="F467" s="193"/>
      <c r="G467" s="193"/>
      <c r="H467" s="81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 spans="1:27" ht="15.6">
      <c r="A468" s="193"/>
      <c r="B468" s="193"/>
      <c r="C468" s="193"/>
      <c r="D468" s="193"/>
      <c r="E468" s="193"/>
      <c r="F468" s="193"/>
      <c r="G468" s="193"/>
      <c r="H468" s="81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 spans="1:27" ht="15.6">
      <c r="A469" s="193"/>
      <c r="B469" s="193"/>
      <c r="C469" s="193"/>
      <c r="D469" s="193"/>
      <c r="E469" s="193"/>
      <c r="F469" s="193"/>
      <c r="G469" s="193"/>
      <c r="H469" s="81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 spans="1:27" ht="15.6">
      <c r="A470" s="193"/>
      <c r="B470" s="193"/>
      <c r="C470" s="193"/>
      <c r="D470" s="193"/>
      <c r="E470" s="193"/>
      <c r="F470" s="193"/>
      <c r="G470" s="193"/>
      <c r="H470" s="81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 spans="1:27" ht="15.6">
      <c r="A471" s="193"/>
      <c r="B471" s="193"/>
      <c r="C471" s="193"/>
      <c r="D471" s="193"/>
      <c r="E471" s="193"/>
      <c r="F471" s="193"/>
      <c r="G471" s="193"/>
      <c r="H471" s="81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 spans="1:27" ht="15.6">
      <c r="A472" s="193"/>
      <c r="B472" s="193"/>
      <c r="C472" s="193"/>
      <c r="D472" s="193"/>
      <c r="E472" s="193"/>
      <c r="F472" s="193"/>
      <c r="G472" s="193"/>
      <c r="H472" s="81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 spans="1:27" ht="15.6">
      <c r="A473" s="193"/>
      <c r="B473" s="193"/>
      <c r="C473" s="193"/>
      <c r="D473" s="193"/>
      <c r="E473" s="193"/>
      <c r="F473" s="193"/>
      <c r="G473" s="193"/>
      <c r="H473" s="81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 spans="1:27" ht="15.6">
      <c r="A474" s="193"/>
      <c r="B474" s="193"/>
      <c r="C474" s="193"/>
      <c r="D474" s="193"/>
      <c r="E474" s="193"/>
      <c r="F474" s="193"/>
      <c r="G474" s="193"/>
      <c r="H474" s="81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 spans="1:27" ht="15.6">
      <c r="A475" s="193"/>
      <c r="B475" s="193"/>
      <c r="C475" s="193"/>
      <c r="D475" s="193"/>
      <c r="E475" s="193"/>
      <c r="F475" s="193"/>
      <c r="G475" s="193"/>
      <c r="H475" s="81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 spans="1:27" ht="15.6">
      <c r="A476" s="193"/>
      <c r="B476" s="193"/>
      <c r="C476" s="193"/>
      <c r="D476" s="193"/>
      <c r="E476" s="193"/>
      <c r="F476" s="193"/>
      <c r="G476" s="193"/>
      <c r="H476" s="81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 spans="1:27" ht="15.6">
      <c r="A477" s="193"/>
      <c r="B477" s="193"/>
      <c r="C477" s="193"/>
      <c r="D477" s="193"/>
      <c r="E477" s="193"/>
      <c r="F477" s="193"/>
      <c r="G477" s="193"/>
      <c r="H477" s="81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 spans="1:27" ht="15.6">
      <c r="A478" s="193"/>
      <c r="B478" s="193"/>
      <c r="C478" s="193"/>
      <c r="D478" s="193"/>
      <c r="E478" s="193"/>
      <c r="F478" s="193"/>
      <c r="G478" s="193"/>
      <c r="H478" s="81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 spans="1:27" ht="15.6">
      <c r="A479" s="193"/>
      <c r="B479" s="193"/>
      <c r="C479" s="193"/>
      <c r="D479" s="193"/>
      <c r="E479" s="193"/>
      <c r="F479" s="193"/>
      <c r="G479" s="193"/>
      <c r="H479" s="81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 spans="1:27" ht="15.6">
      <c r="A480" s="193"/>
      <c r="B480" s="193"/>
      <c r="C480" s="193"/>
      <c r="D480" s="193"/>
      <c r="E480" s="193"/>
      <c r="F480" s="193"/>
      <c r="G480" s="193"/>
      <c r="H480" s="81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 spans="1:27" ht="15.6">
      <c r="A481" s="193"/>
      <c r="B481" s="193"/>
      <c r="C481" s="193"/>
      <c r="D481" s="193"/>
      <c r="E481" s="193"/>
      <c r="F481" s="193"/>
      <c r="G481" s="193"/>
      <c r="H481" s="81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 spans="1:27" ht="15.6">
      <c r="A482" s="193"/>
      <c r="B482" s="193"/>
      <c r="C482" s="193"/>
      <c r="D482" s="193"/>
      <c r="E482" s="193"/>
      <c r="F482" s="193"/>
      <c r="G482" s="193"/>
      <c r="H482" s="81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 spans="1:27" ht="15.6">
      <c r="A483" s="193"/>
      <c r="B483" s="193"/>
      <c r="C483" s="193"/>
      <c r="D483" s="193"/>
      <c r="E483" s="193"/>
      <c r="F483" s="193"/>
      <c r="G483" s="193"/>
      <c r="H483" s="81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 spans="1:27" ht="15.6">
      <c r="A484" s="193"/>
      <c r="B484" s="193"/>
      <c r="C484" s="193"/>
      <c r="D484" s="193"/>
      <c r="E484" s="193"/>
      <c r="F484" s="193"/>
      <c r="G484" s="193"/>
      <c r="H484" s="81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 spans="1:27" ht="15.6">
      <c r="A485" s="193"/>
      <c r="B485" s="193"/>
      <c r="C485" s="193"/>
      <c r="D485" s="193"/>
      <c r="E485" s="193"/>
      <c r="F485" s="193"/>
      <c r="G485" s="193"/>
      <c r="H485" s="81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 spans="1:27" ht="15.6">
      <c r="A486" s="193"/>
      <c r="B486" s="193"/>
      <c r="C486" s="193"/>
      <c r="D486" s="193"/>
      <c r="E486" s="193"/>
      <c r="F486" s="193"/>
      <c r="G486" s="193"/>
      <c r="H486" s="81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 spans="1:27" ht="15.6">
      <c r="A487" s="193"/>
      <c r="B487" s="193"/>
      <c r="C487" s="193"/>
      <c r="D487" s="193"/>
      <c r="E487" s="193"/>
      <c r="F487" s="193"/>
      <c r="G487" s="193"/>
      <c r="H487" s="81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 spans="1:27" ht="15.6">
      <c r="A488" s="193"/>
      <c r="B488" s="193"/>
      <c r="C488" s="193"/>
      <c r="D488" s="193"/>
      <c r="E488" s="193"/>
      <c r="F488" s="193"/>
      <c r="G488" s="193"/>
      <c r="H488" s="81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 spans="1:27" ht="15.6">
      <c r="A489" s="193"/>
      <c r="B489" s="193"/>
      <c r="C489" s="193"/>
      <c r="D489" s="193"/>
      <c r="E489" s="193"/>
      <c r="F489" s="193"/>
      <c r="G489" s="193"/>
      <c r="H489" s="81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 spans="1:27" ht="15.6">
      <c r="A490" s="193"/>
      <c r="B490" s="193"/>
      <c r="C490" s="193"/>
      <c r="D490" s="193"/>
      <c r="E490" s="193"/>
      <c r="F490" s="193"/>
      <c r="G490" s="193"/>
      <c r="H490" s="81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 spans="1:27" ht="15.6">
      <c r="A491" s="193"/>
      <c r="B491" s="193"/>
      <c r="C491" s="193"/>
      <c r="D491" s="193"/>
      <c r="E491" s="193"/>
      <c r="F491" s="193"/>
      <c r="G491" s="193"/>
      <c r="H491" s="81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 spans="1:27" ht="15.6">
      <c r="A492" s="193"/>
      <c r="B492" s="193"/>
      <c r="C492" s="193"/>
      <c r="D492" s="193"/>
      <c r="E492" s="193"/>
      <c r="F492" s="193"/>
      <c r="G492" s="193"/>
      <c r="H492" s="81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 spans="1:27" ht="15.6">
      <c r="A493" s="193"/>
      <c r="B493" s="193"/>
      <c r="C493" s="193"/>
      <c r="D493" s="193"/>
      <c r="E493" s="193"/>
      <c r="F493" s="193"/>
      <c r="G493" s="193"/>
      <c r="H493" s="81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 spans="1:27" ht="15.6">
      <c r="A494" s="193"/>
      <c r="B494" s="193"/>
      <c r="C494" s="193"/>
      <c r="D494" s="193"/>
      <c r="E494" s="193"/>
      <c r="F494" s="193"/>
      <c r="G494" s="193"/>
      <c r="H494" s="81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 spans="1:27" ht="15.6">
      <c r="A495" s="193"/>
      <c r="B495" s="193"/>
      <c r="C495" s="193"/>
      <c r="D495" s="193"/>
      <c r="E495" s="193"/>
      <c r="F495" s="193"/>
      <c r="G495" s="193"/>
      <c r="H495" s="81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 spans="1:27" ht="15.6">
      <c r="A496" s="193"/>
      <c r="B496" s="193"/>
      <c r="C496" s="193"/>
      <c r="D496" s="193"/>
      <c r="E496" s="193"/>
      <c r="F496" s="193"/>
      <c r="G496" s="193"/>
      <c r="H496" s="81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 spans="1:27" ht="15.6">
      <c r="A497" s="193"/>
      <c r="B497" s="193"/>
      <c r="C497" s="193"/>
      <c r="D497" s="193"/>
      <c r="E497" s="193"/>
      <c r="F497" s="193"/>
      <c r="G497" s="193"/>
      <c r="H497" s="81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 spans="1:27" ht="15.6">
      <c r="A498" s="193"/>
      <c r="B498" s="193"/>
      <c r="C498" s="193"/>
      <c r="D498" s="193"/>
      <c r="E498" s="193"/>
      <c r="F498" s="193"/>
      <c r="G498" s="193"/>
      <c r="H498" s="81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 spans="1:27" ht="15.6">
      <c r="A499" s="193"/>
      <c r="B499" s="193"/>
      <c r="C499" s="193"/>
      <c r="D499" s="193"/>
      <c r="E499" s="193"/>
      <c r="F499" s="193"/>
      <c r="G499" s="193"/>
      <c r="H499" s="81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 spans="1:27" ht="15.6">
      <c r="A500" s="193"/>
      <c r="B500" s="193"/>
      <c r="C500" s="193"/>
      <c r="D500" s="193"/>
      <c r="E500" s="193"/>
      <c r="F500" s="193"/>
      <c r="G500" s="193"/>
      <c r="H500" s="81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 spans="1:27" ht="15.6">
      <c r="A501" s="193"/>
      <c r="B501" s="193"/>
      <c r="C501" s="193"/>
      <c r="D501" s="193"/>
      <c r="E501" s="193"/>
      <c r="F501" s="193"/>
      <c r="G501" s="193"/>
      <c r="H501" s="81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 spans="1:27" ht="15.6">
      <c r="A502" s="193"/>
      <c r="B502" s="193"/>
      <c r="C502" s="193"/>
      <c r="D502" s="193"/>
      <c r="E502" s="193"/>
      <c r="F502" s="193"/>
      <c r="G502" s="193"/>
      <c r="H502" s="81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 spans="1:27" ht="15.6">
      <c r="A503" s="193"/>
      <c r="B503" s="193"/>
      <c r="C503" s="193"/>
      <c r="D503" s="193"/>
      <c r="E503" s="193"/>
      <c r="F503" s="193"/>
      <c r="G503" s="193"/>
      <c r="H503" s="81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 spans="1:27" ht="15.6">
      <c r="A504" s="193"/>
      <c r="B504" s="193"/>
      <c r="C504" s="193"/>
      <c r="D504" s="193"/>
      <c r="E504" s="193"/>
      <c r="F504" s="193"/>
      <c r="G504" s="193"/>
      <c r="H504" s="81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 spans="1:27" ht="15.6">
      <c r="A505" s="193"/>
      <c r="B505" s="193"/>
      <c r="C505" s="193"/>
      <c r="D505" s="193"/>
      <c r="E505" s="193"/>
      <c r="F505" s="193"/>
      <c r="G505" s="193"/>
      <c r="H505" s="81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 spans="1:27" ht="15.6">
      <c r="A506" s="193"/>
      <c r="B506" s="193"/>
      <c r="C506" s="193"/>
      <c r="D506" s="193"/>
      <c r="E506" s="193"/>
      <c r="F506" s="193"/>
      <c r="G506" s="193"/>
      <c r="H506" s="81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 spans="1:27" ht="15.6">
      <c r="A507" s="193"/>
      <c r="B507" s="193"/>
      <c r="C507" s="193"/>
      <c r="D507" s="193"/>
      <c r="E507" s="193"/>
      <c r="F507" s="193"/>
      <c r="G507" s="193"/>
      <c r="H507" s="81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 spans="1:27" ht="15.6">
      <c r="A508" s="193"/>
      <c r="B508" s="193"/>
      <c r="C508" s="193"/>
      <c r="D508" s="193"/>
      <c r="E508" s="193"/>
      <c r="F508" s="193"/>
      <c r="G508" s="193"/>
      <c r="H508" s="81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 spans="1:27" ht="15.6">
      <c r="A509" s="193"/>
      <c r="B509" s="193"/>
      <c r="C509" s="193"/>
      <c r="D509" s="193"/>
      <c r="E509" s="193"/>
      <c r="F509" s="193"/>
      <c r="G509" s="193"/>
      <c r="H509" s="81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 spans="1:27" ht="15.6">
      <c r="A510" s="193"/>
      <c r="B510" s="193"/>
      <c r="C510" s="193"/>
      <c r="D510" s="193"/>
      <c r="E510" s="193"/>
      <c r="F510" s="193"/>
      <c r="G510" s="193"/>
      <c r="H510" s="81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 spans="1:27" ht="15.6">
      <c r="A511" s="193"/>
      <c r="B511" s="193"/>
      <c r="C511" s="193"/>
      <c r="D511" s="193"/>
      <c r="E511" s="193"/>
      <c r="F511" s="193"/>
      <c r="G511" s="193"/>
      <c r="H511" s="81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 spans="1:27" ht="15.6">
      <c r="A512" s="193"/>
      <c r="B512" s="193"/>
      <c r="C512" s="193"/>
      <c r="D512" s="193"/>
      <c r="E512" s="193"/>
      <c r="F512" s="193"/>
      <c r="G512" s="193"/>
      <c r="H512" s="81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 spans="1:27" ht="15.6">
      <c r="A513" s="193"/>
      <c r="B513" s="193"/>
      <c r="C513" s="193"/>
      <c r="D513" s="193"/>
      <c r="E513" s="193"/>
      <c r="F513" s="193"/>
      <c r="G513" s="193"/>
      <c r="H513" s="81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 spans="1:27" ht="15.6">
      <c r="A514" s="193"/>
      <c r="B514" s="193"/>
      <c r="C514" s="193"/>
      <c r="D514" s="193"/>
      <c r="E514" s="193"/>
      <c r="F514" s="193"/>
      <c r="G514" s="193"/>
      <c r="H514" s="81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 spans="1:27" ht="15.6">
      <c r="A515" s="193"/>
      <c r="B515" s="193"/>
      <c r="C515" s="193"/>
      <c r="D515" s="193"/>
      <c r="E515" s="193"/>
      <c r="F515" s="193"/>
      <c r="G515" s="193"/>
      <c r="H515" s="81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 spans="1:27" ht="15.6">
      <c r="A516" s="193"/>
      <c r="B516" s="193"/>
      <c r="C516" s="193"/>
      <c r="D516" s="193"/>
      <c r="E516" s="193"/>
      <c r="F516" s="193"/>
      <c r="G516" s="193"/>
      <c r="H516" s="81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 spans="1:27" ht="15.6">
      <c r="A517" s="193"/>
      <c r="B517" s="193"/>
      <c r="C517" s="193"/>
      <c r="D517" s="193"/>
      <c r="E517" s="193"/>
      <c r="F517" s="193"/>
      <c r="G517" s="193"/>
      <c r="H517" s="81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 spans="1:27" ht="15.6">
      <c r="A518" s="193"/>
      <c r="B518" s="193"/>
      <c r="C518" s="193"/>
      <c r="D518" s="193"/>
      <c r="E518" s="193"/>
      <c r="F518" s="193"/>
      <c r="G518" s="193"/>
      <c r="H518" s="81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 spans="1:27" ht="15.6">
      <c r="A519" s="193"/>
      <c r="B519" s="193"/>
      <c r="C519" s="193"/>
      <c r="D519" s="193"/>
      <c r="E519" s="193"/>
      <c r="F519" s="193"/>
      <c r="G519" s="193"/>
      <c r="H519" s="81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 spans="1:27" ht="15.6">
      <c r="A520" s="193"/>
      <c r="B520" s="193"/>
      <c r="C520" s="193"/>
      <c r="D520" s="193"/>
      <c r="E520" s="193"/>
      <c r="F520" s="193"/>
      <c r="G520" s="193"/>
      <c r="H520" s="81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 spans="1:27" ht="15.6">
      <c r="A521" s="193"/>
      <c r="B521" s="193"/>
      <c r="C521" s="193"/>
      <c r="D521" s="193"/>
      <c r="E521" s="193"/>
      <c r="F521" s="193"/>
      <c r="G521" s="193"/>
      <c r="H521" s="81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 spans="1:27" ht="15.6">
      <c r="A522" s="193"/>
      <c r="B522" s="193"/>
      <c r="C522" s="193"/>
      <c r="D522" s="193"/>
      <c r="E522" s="193"/>
      <c r="F522" s="193"/>
      <c r="G522" s="193"/>
      <c r="H522" s="81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 spans="1:27" ht="15.6">
      <c r="A523" s="193"/>
      <c r="B523" s="193"/>
      <c r="C523" s="193"/>
      <c r="D523" s="193"/>
      <c r="E523" s="193"/>
      <c r="F523" s="193"/>
      <c r="G523" s="193"/>
      <c r="H523" s="81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 spans="1:27" ht="15.6">
      <c r="A524" s="193"/>
      <c r="B524" s="193"/>
      <c r="C524" s="193"/>
      <c r="D524" s="193"/>
      <c r="E524" s="193"/>
      <c r="F524" s="193"/>
      <c r="G524" s="193"/>
      <c r="H524" s="81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 spans="1:27" ht="15.6">
      <c r="A525" s="193"/>
      <c r="B525" s="193"/>
      <c r="C525" s="193"/>
      <c r="D525" s="193"/>
      <c r="E525" s="193"/>
      <c r="F525" s="193"/>
      <c r="G525" s="193"/>
      <c r="H525" s="81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 spans="1:27" ht="15.6">
      <c r="A526" s="193"/>
      <c r="B526" s="193"/>
      <c r="C526" s="193"/>
      <c r="D526" s="193"/>
      <c r="E526" s="193"/>
      <c r="F526" s="193"/>
      <c r="G526" s="193"/>
      <c r="H526" s="81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 spans="1:27" ht="15.6">
      <c r="A527" s="193"/>
      <c r="B527" s="193"/>
      <c r="C527" s="193"/>
      <c r="D527" s="193"/>
      <c r="E527" s="193"/>
      <c r="F527" s="193"/>
      <c r="G527" s="193"/>
      <c r="H527" s="81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 spans="1:27" ht="15.6">
      <c r="A528" s="193"/>
      <c r="B528" s="193"/>
      <c r="C528" s="193"/>
      <c r="D528" s="193"/>
      <c r="E528" s="193"/>
      <c r="F528" s="193"/>
      <c r="G528" s="193"/>
      <c r="H528" s="81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 spans="1:27" ht="15.6">
      <c r="A529" s="193"/>
      <c r="B529" s="193"/>
      <c r="C529" s="193"/>
      <c r="D529" s="193"/>
      <c r="E529" s="193"/>
      <c r="F529" s="193"/>
      <c r="G529" s="193"/>
      <c r="H529" s="81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 spans="1:27" ht="15.6">
      <c r="A530" s="193"/>
      <c r="B530" s="193"/>
      <c r="C530" s="193"/>
      <c r="D530" s="193"/>
      <c r="E530" s="193"/>
      <c r="F530" s="193"/>
      <c r="G530" s="193"/>
      <c r="H530" s="81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 spans="1:27" ht="15.6">
      <c r="A531" s="193"/>
      <c r="B531" s="193"/>
      <c r="C531" s="193"/>
      <c r="D531" s="193"/>
      <c r="E531" s="193"/>
      <c r="F531" s="193"/>
      <c r="G531" s="193"/>
      <c r="H531" s="81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 spans="1:27" ht="15.6">
      <c r="A532" s="193"/>
      <c r="B532" s="193"/>
      <c r="C532" s="193"/>
      <c r="D532" s="193"/>
      <c r="E532" s="193"/>
      <c r="F532" s="193"/>
      <c r="G532" s="193"/>
      <c r="H532" s="81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 spans="1:27" ht="15.6">
      <c r="A533" s="193"/>
      <c r="B533" s="193"/>
      <c r="C533" s="193"/>
      <c r="D533" s="193"/>
      <c r="E533" s="193"/>
      <c r="F533" s="193"/>
      <c r="G533" s="193"/>
      <c r="H533" s="81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 spans="1:27" ht="15.6">
      <c r="A534" s="193"/>
      <c r="B534" s="193"/>
      <c r="C534" s="193"/>
      <c r="D534" s="193"/>
      <c r="E534" s="193"/>
      <c r="F534" s="193"/>
      <c r="G534" s="193"/>
      <c r="H534" s="81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 spans="1:27" ht="15.6">
      <c r="A535" s="193"/>
      <c r="B535" s="193"/>
      <c r="C535" s="193"/>
      <c r="D535" s="193"/>
      <c r="E535" s="193"/>
      <c r="F535" s="193"/>
      <c r="G535" s="193"/>
      <c r="H535" s="81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 spans="1:27" ht="15.6">
      <c r="A536" s="193"/>
      <c r="B536" s="193"/>
      <c r="C536" s="193"/>
      <c r="D536" s="193"/>
      <c r="E536" s="193"/>
      <c r="F536" s="193"/>
      <c r="G536" s="193"/>
      <c r="H536" s="81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 spans="1:27" ht="15.6">
      <c r="A537" s="193"/>
      <c r="B537" s="193"/>
      <c r="C537" s="193"/>
      <c r="D537" s="193"/>
      <c r="E537" s="193"/>
      <c r="F537" s="193"/>
      <c r="G537" s="193"/>
      <c r="H537" s="81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 spans="1:27" ht="15.6">
      <c r="A538" s="193"/>
      <c r="B538" s="193"/>
      <c r="C538" s="193"/>
      <c r="D538" s="193"/>
      <c r="E538" s="193"/>
      <c r="F538" s="193"/>
      <c r="G538" s="193"/>
      <c r="H538" s="81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 spans="1:27" ht="15.6">
      <c r="A539" s="193"/>
      <c r="B539" s="193"/>
      <c r="C539" s="193"/>
      <c r="D539" s="193"/>
      <c r="E539" s="193"/>
      <c r="F539" s="193"/>
      <c r="G539" s="193"/>
      <c r="H539" s="81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 spans="1:27" ht="15.6">
      <c r="A540" s="193"/>
      <c r="B540" s="193"/>
      <c r="C540" s="193"/>
      <c r="D540" s="193"/>
      <c r="E540" s="193"/>
      <c r="F540" s="193"/>
      <c r="G540" s="193"/>
      <c r="H540" s="81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 spans="1:27" ht="15.6">
      <c r="A541" s="193"/>
      <c r="B541" s="193"/>
      <c r="C541" s="193"/>
      <c r="D541" s="193"/>
      <c r="E541" s="193"/>
      <c r="F541" s="193"/>
      <c r="G541" s="193"/>
      <c r="H541" s="81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 spans="1:27" ht="15.6">
      <c r="A542" s="193"/>
      <c r="B542" s="193"/>
      <c r="C542" s="193"/>
      <c r="D542" s="193"/>
      <c r="E542" s="193"/>
      <c r="F542" s="193"/>
      <c r="G542" s="193"/>
      <c r="H542" s="81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 spans="1:27" ht="15.6">
      <c r="A543" s="193"/>
      <c r="B543" s="193"/>
      <c r="C543" s="193"/>
      <c r="D543" s="193"/>
      <c r="E543" s="193"/>
      <c r="F543" s="193"/>
      <c r="G543" s="193"/>
      <c r="H543" s="81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 spans="1:27" ht="15.6">
      <c r="A544" s="193"/>
      <c r="B544" s="193"/>
      <c r="C544" s="193"/>
      <c r="D544" s="193"/>
      <c r="E544" s="193"/>
      <c r="F544" s="193"/>
      <c r="G544" s="193"/>
      <c r="H544" s="81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 spans="1:27" ht="15.6">
      <c r="A545" s="193"/>
      <c r="B545" s="193"/>
      <c r="C545" s="193"/>
      <c r="D545" s="193"/>
      <c r="E545" s="193"/>
      <c r="F545" s="193"/>
      <c r="G545" s="193"/>
      <c r="H545" s="81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 spans="1:27" ht="15.6">
      <c r="A546" s="193"/>
      <c r="B546" s="193"/>
      <c r="C546" s="193"/>
      <c r="D546" s="193"/>
      <c r="E546" s="193"/>
      <c r="F546" s="193"/>
      <c r="G546" s="193"/>
      <c r="H546" s="81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 spans="1:27" ht="15.6">
      <c r="A547" s="193"/>
      <c r="B547" s="193"/>
      <c r="C547" s="193"/>
      <c r="D547" s="193"/>
      <c r="E547" s="193"/>
      <c r="F547" s="193"/>
      <c r="G547" s="193"/>
      <c r="H547" s="81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 spans="1:27" ht="15.6">
      <c r="A548" s="193"/>
      <c r="B548" s="193"/>
      <c r="C548" s="193"/>
      <c r="D548" s="193"/>
      <c r="E548" s="193"/>
      <c r="F548" s="193"/>
      <c r="G548" s="193"/>
      <c r="H548" s="81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 spans="1:27" ht="15.6">
      <c r="A549" s="193"/>
      <c r="B549" s="193"/>
      <c r="C549" s="193"/>
      <c r="D549" s="193"/>
      <c r="E549" s="193"/>
      <c r="F549" s="193"/>
      <c r="G549" s="193"/>
      <c r="H549" s="81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 spans="1:27" ht="15.6">
      <c r="A550" s="193"/>
      <c r="B550" s="193"/>
      <c r="C550" s="193"/>
      <c r="D550" s="193"/>
      <c r="E550" s="193"/>
      <c r="F550" s="193"/>
      <c r="G550" s="193"/>
      <c r="H550" s="81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 spans="1:27" ht="15.6">
      <c r="A551" s="193"/>
      <c r="B551" s="193"/>
      <c r="C551" s="193"/>
      <c r="D551" s="193"/>
      <c r="E551" s="193"/>
      <c r="F551" s="193"/>
      <c r="G551" s="193"/>
      <c r="H551" s="81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 spans="1:27" ht="15.6">
      <c r="A552" s="193"/>
      <c r="B552" s="193"/>
      <c r="C552" s="193"/>
      <c r="D552" s="193"/>
      <c r="E552" s="193"/>
      <c r="F552" s="193"/>
      <c r="G552" s="193"/>
      <c r="H552" s="81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 spans="1:27" ht="15.6">
      <c r="A553" s="193"/>
      <c r="B553" s="193"/>
      <c r="C553" s="193"/>
      <c r="D553" s="193"/>
      <c r="E553" s="193"/>
      <c r="F553" s="193"/>
      <c r="G553" s="193"/>
      <c r="H553" s="81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 spans="1:27" ht="15.6">
      <c r="A554" s="193"/>
      <c r="B554" s="193"/>
      <c r="C554" s="193"/>
      <c r="D554" s="193"/>
      <c r="E554" s="193"/>
      <c r="F554" s="193"/>
      <c r="G554" s="193"/>
      <c r="H554" s="81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 spans="1:27" ht="15.6">
      <c r="A555" s="193"/>
      <c r="B555" s="193"/>
      <c r="C555" s="193"/>
      <c r="D555" s="193"/>
      <c r="E555" s="193"/>
      <c r="F555" s="193"/>
      <c r="G555" s="193"/>
      <c r="H555" s="81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 spans="1:27" ht="15.6">
      <c r="A556" s="193"/>
      <c r="B556" s="193"/>
      <c r="C556" s="193"/>
      <c r="D556" s="193"/>
      <c r="E556" s="193"/>
      <c r="F556" s="193"/>
      <c r="G556" s="193"/>
      <c r="H556" s="81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 spans="1:27" ht="15.6">
      <c r="A557" s="193"/>
      <c r="B557" s="193"/>
      <c r="C557" s="193"/>
      <c r="D557" s="193"/>
      <c r="E557" s="193"/>
      <c r="F557" s="193"/>
      <c r="G557" s="193"/>
      <c r="H557" s="81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 spans="1:27" ht="15.6">
      <c r="A558" s="193"/>
      <c r="B558" s="193"/>
      <c r="C558" s="193"/>
      <c r="D558" s="193"/>
      <c r="E558" s="193"/>
      <c r="F558" s="193"/>
      <c r="G558" s="193"/>
      <c r="H558" s="81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 spans="1:27" ht="15.6">
      <c r="A559" s="193"/>
      <c r="B559" s="193"/>
      <c r="C559" s="193"/>
      <c r="D559" s="193"/>
      <c r="E559" s="193"/>
      <c r="F559" s="193"/>
      <c r="G559" s="193"/>
      <c r="H559" s="81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 spans="1:27" ht="15.6">
      <c r="A560" s="193"/>
      <c r="B560" s="193"/>
      <c r="C560" s="193"/>
      <c r="D560" s="193"/>
      <c r="E560" s="193"/>
      <c r="F560" s="193"/>
      <c r="G560" s="193"/>
      <c r="H560" s="81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 spans="1:27" ht="15.6">
      <c r="A561" s="193"/>
      <c r="B561" s="193"/>
      <c r="C561" s="193"/>
      <c r="D561" s="193"/>
      <c r="E561" s="193"/>
      <c r="F561" s="193"/>
      <c r="G561" s="193"/>
      <c r="H561" s="81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 spans="1:27" ht="15.6">
      <c r="A562" s="193"/>
      <c r="B562" s="193"/>
      <c r="C562" s="193"/>
      <c r="D562" s="193"/>
      <c r="E562" s="193"/>
      <c r="F562" s="193"/>
      <c r="G562" s="193"/>
      <c r="H562" s="81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 spans="1:27" ht="15.6">
      <c r="A563" s="193"/>
      <c r="B563" s="193"/>
      <c r="C563" s="193"/>
      <c r="D563" s="193"/>
      <c r="E563" s="193"/>
      <c r="F563" s="193"/>
      <c r="G563" s="193"/>
      <c r="H563" s="81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 spans="1:27" ht="15.6">
      <c r="A564" s="193"/>
      <c r="B564" s="193"/>
      <c r="C564" s="193"/>
      <c r="D564" s="193"/>
      <c r="E564" s="193"/>
      <c r="F564" s="193"/>
      <c r="G564" s="193"/>
      <c r="H564" s="81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 spans="1:27" ht="15.6">
      <c r="A565" s="193"/>
      <c r="B565" s="193"/>
      <c r="C565" s="193"/>
      <c r="D565" s="193"/>
      <c r="E565" s="193"/>
      <c r="F565" s="193"/>
      <c r="G565" s="193"/>
      <c r="H565" s="81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 spans="1:27" ht="15.6">
      <c r="A566" s="193"/>
      <c r="B566" s="193"/>
      <c r="C566" s="193"/>
      <c r="D566" s="193"/>
      <c r="E566" s="193"/>
      <c r="F566" s="193"/>
      <c r="G566" s="193"/>
      <c r="H566" s="81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 spans="1:27" ht="15.6">
      <c r="A567" s="193"/>
      <c r="B567" s="193"/>
      <c r="C567" s="193"/>
      <c r="D567" s="193"/>
      <c r="E567" s="193"/>
      <c r="F567" s="193"/>
      <c r="G567" s="193"/>
      <c r="H567" s="81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 spans="1:27" ht="15.6">
      <c r="A568" s="193"/>
      <c r="B568" s="193"/>
      <c r="C568" s="193"/>
      <c r="D568" s="193"/>
      <c r="E568" s="193"/>
      <c r="F568" s="193"/>
      <c r="G568" s="193"/>
      <c r="H568" s="81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 spans="1:27" ht="15.6">
      <c r="A569" s="193"/>
      <c r="B569" s="193"/>
      <c r="C569" s="193"/>
      <c r="D569" s="193"/>
      <c r="E569" s="193"/>
      <c r="F569" s="193"/>
      <c r="G569" s="193"/>
      <c r="H569" s="81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 spans="1:27" ht="15.6">
      <c r="A570" s="193"/>
      <c r="B570" s="193"/>
      <c r="C570" s="193"/>
      <c r="D570" s="193"/>
      <c r="E570" s="193"/>
      <c r="F570" s="193"/>
      <c r="G570" s="193"/>
      <c r="H570" s="81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 spans="1:27" ht="15.6">
      <c r="A571" s="193"/>
      <c r="B571" s="193"/>
      <c r="C571" s="193"/>
      <c r="D571" s="193"/>
      <c r="E571" s="193"/>
      <c r="F571" s="193"/>
      <c r="G571" s="193"/>
      <c r="H571" s="81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 spans="1:27" ht="15.6">
      <c r="A572" s="193"/>
      <c r="B572" s="193"/>
      <c r="C572" s="193"/>
      <c r="D572" s="193"/>
      <c r="E572" s="193"/>
      <c r="F572" s="193"/>
      <c r="G572" s="193"/>
      <c r="H572" s="81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 spans="1:27" ht="15.6">
      <c r="A573" s="193"/>
      <c r="B573" s="193"/>
      <c r="C573" s="193"/>
      <c r="D573" s="193"/>
      <c r="E573" s="193"/>
      <c r="F573" s="193"/>
      <c r="G573" s="193"/>
      <c r="H573" s="81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 spans="1:27" ht="15.6">
      <c r="A574" s="193"/>
      <c r="B574" s="193"/>
      <c r="C574" s="193"/>
      <c r="D574" s="193"/>
      <c r="E574" s="193"/>
      <c r="F574" s="193"/>
      <c r="G574" s="193"/>
      <c r="H574" s="81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 spans="1:27" ht="15.6">
      <c r="A575" s="193"/>
      <c r="B575" s="193"/>
      <c r="C575" s="193"/>
      <c r="D575" s="193"/>
      <c r="E575" s="193"/>
      <c r="F575" s="193"/>
      <c r="G575" s="193"/>
      <c r="H575" s="81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 spans="1:27" ht="15.6">
      <c r="A576" s="193"/>
      <c r="B576" s="193"/>
      <c r="C576" s="193"/>
      <c r="D576" s="193"/>
      <c r="E576" s="193"/>
      <c r="F576" s="193"/>
      <c r="G576" s="193"/>
      <c r="H576" s="81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 spans="1:27" ht="15.6">
      <c r="A577" s="193"/>
      <c r="B577" s="193"/>
      <c r="C577" s="193"/>
      <c r="D577" s="193"/>
      <c r="E577" s="193"/>
      <c r="F577" s="193"/>
      <c r="G577" s="193"/>
      <c r="H577" s="81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 spans="1:27" ht="15.6">
      <c r="A578" s="193"/>
      <c r="B578" s="193"/>
      <c r="C578" s="193"/>
      <c r="D578" s="193"/>
      <c r="E578" s="193"/>
      <c r="F578" s="193"/>
      <c r="G578" s="193"/>
      <c r="H578" s="81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 spans="1:27" ht="15.6">
      <c r="A579" s="193"/>
      <c r="B579" s="193"/>
      <c r="C579" s="193"/>
      <c r="D579" s="193"/>
      <c r="E579" s="193"/>
      <c r="F579" s="193"/>
      <c r="G579" s="193"/>
      <c r="H579" s="81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 spans="1:27" ht="15.6">
      <c r="A580" s="193"/>
      <c r="B580" s="193"/>
      <c r="C580" s="193"/>
      <c r="D580" s="193"/>
      <c r="E580" s="193"/>
      <c r="F580" s="193"/>
      <c r="G580" s="193"/>
      <c r="H580" s="81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 spans="1:27" ht="15.6">
      <c r="A581" s="193"/>
      <c r="B581" s="193"/>
      <c r="C581" s="193"/>
      <c r="D581" s="193"/>
      <c r="E581" s="193"/>
      <c r="F581" s="193"/>
      <c r="G581" s="193"/>
      <c r="H581" s="81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 spans="1:27" ht="15.6">
      <c r="A582" s="193"/>
      <c r="B582" s="193"/>
      <c r="C582" s="193"/>
      <c r="D582" s="193"/>
      <c r="E582" s="193"/>
      <c r="F582" s="193"/>
      <c r="G582" s="193"/>
      <c r="H582" s="81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 spans="1:27" ht="15.6">
      <c r="A583" s="193"/>
      <c r="B583" s="193"/>
      <c r="C583" s="193"/>
      <c r="D583" s="193"/>
      <c r="E583" s="193"/>
      <c r="F583" s="193"/>
      <c r="G583" s="193"/>
      <c r="H583" s="81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 spans="1:27" ht="15.6">
      <c r="A584" s="193"/>
      <c r="B584" s="193"/>
      <c r="C584" s="193"/>
      <c r="D584" s="193"/>
      <c r="E584" s="193"/>
      <c r="F584" s="193"/>
      <c r="G584" s="193"/>
      <c r="H584" s="81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 spans="1:27" ht="15.6">
      <c r="A585" s="193"/>
      <c r="B585" s="193"/>
      <c r="C585" s="193"/>
      <c r="D585" s="193"/>
      <c r="E585" s="193"/>
      <c r="F585" s="193"/>
      <c r="G585" s="193"/>
      <c r="H585" s="81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 spans="1:27" ht="15.6">
      <c r="A586" s="193"/>
      <c r="B586" s="193"/>
      <c r="C586" s="193"/>
      <c r="D586" s="193"/>
      <c r="E586" s="193"/>
      <c r="F586" s="193"/>
      <c r="G586" s="193"/>
      <c r="H586" s="81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 spans="1:27" ht="15.6">
      <c r="A587" s="193"/>
      <c r="B587" s="193"/>
      <c r="C587" s="193"/>
      <c r="D587" s="193"/>
      <c r="E587" s="193"/>
      <c r="F587" s="193"/>
      <c r="G587" s="193"/>
      <c r="H587" s="81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 spans="1:27" ht="15.6">
      <c r="A588" s="193"/>
      <c r="B588" s="193"/>
      <c r="C588" s="193"/>
      <c r="D588" s="193"/>
      <c r="E588" s="193"/>
      <c r="F588" s="193"/>
      <c r="G588" s="193"/>
      <c r="H588" s="81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 spans="1:27" ht="15.6">
      <c r="A589" s="193"/>
      <c r="B589" s="193"/>
      <c r="C589" s="193"/>
      <c r="D589" s="193"/>
      <c r="E589" s="193"/>
      <c r="F589" s="193"/>
      <c r="G589" s="193"/>
      <c r="H589" s="81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 spans="1:27" ht="15.6">
      <c r="A590" s="193"/>
      <c r="B590" s="193"/>
      <c r="C590" s="193"/>
      <c r="D590" s="193"/>
      <c r="E590" s="193"/>
      <c r="F590" s="193"/>
      <c r="G590" s="193"/>
      <c r="H590" s="81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 spans="1:27" ht="15.6">
      <c r="A591" s="193"/>
      <c r="B591" s="193"/>
      <c r="C591" s="193"/>
      <c r="D591" s="193"/>
      <c r="E591" s="193"/>
      <c r="F591" s="193"/>
      <c r="G591" s="193"/>
      <c r="H591" s="81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 spans="1:27" ht="15.6">
      <c r="A592" s="193"/>
      <c r="B592" s="193"/>
      <c r="C592" s="193"/>
      <c r="D592" s="193"/>
      <c r="E592" s="193"/>
      <c r="F592" s="193"/>
      <c r="G592" s="193"/>
      <c r="H592" s="81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 spans="1:27" ht="15.6">
      <c r="A593" s="193"/>
      <c r="B593" s="193"/>
      <c r="C593" s="193"/>
      <c r="D593" s="193"/>
      <c r="E593" s="193"/>
      <c r="F593" s="193"/>
      <c r="G593" s="193"/>
      <c r="H593" s="81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 spans="1:27" ht="15.6">
      <c r="A594" s="193"/>
      <c r="B594" s="193"/>
      <c r="C594" s="193"/>
      <c r="D594" s="193"/>
      <c r="E594" s="193"/>
      <c r="F594" s="193"/>
      <c r="G594" s="193"/>
      <c r="H594" s="81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 spans="1:27" ht="15.6">
      <c r="A595" s="193"/>
      <c r="B595" s="193"/>
      <c r="C595" s="193"/>
      <c r="D595" s="193"/>
      <c r="E595" s="193"/>
      <c r="F595" s="193"/>
      <c r="G595" s="193"/>
      <c r="H595" s="81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 spans="1:27" ht="15.6">
      <c r="A596" s="193"/>
      <c r="B596" s="193"/>
      <c r="C596" s="193"/>
      <c r="D596" s="193"/>
      <c r="E596" s="193"/>
      <c r="F596" s="193"/>
      <c r="G596" s="193"/>
      <c r="H596" s="81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 spans="1:27" ht="15.6">
      <c r="A597" s="193"/>
      <c r="B597" s="193"/>
      <c r="C597" s="193"/>
      <c r="D597" s="193"/>
      <c r="E597" s="193"/>
      <c r="F597" s="193"/>
      <c r="G597" s="193"/>
      <c r="H597" s="81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 spans="1:27" ht="15.6">
      <c r="A598" s="193"/>
      <c r="B598" s="193"/>
      <c r="C598" s="193"/>
      <c r="D598" s="193"/>
      <c r="E598" s="193"/>
      <c r="F598" s="193"/>
      <c r="G598" s="193"/>
      <c r="H598" s="81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 spans="1:27" ht="15.6">
      <c r="A599" s="193"/>
      <c r="B599" s="193"/>
      <c r="C599" s="193"/>
      <c r="D599" s="193"/>
      <c r="E599" s="193"/>
      <c r="F599" s="193"/>
      <c r="G599" s="193"/>
      <c r="H599" s="81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 spans="1:27" ht="15.6">
      <c r="A600" s="193"/>
      <c r="B600" s="193"/>
      <c r="C600" s="193"/>
      <c r="D600" s="193"/>
      <c r="E600" s="193"/>
      <c r="F600" s="193"/>
      <c r="G600" s="193"/>
      <c r="H600" s="81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 spans="1:27" ht="15.6">
      <c r="A601" s="193"/>
      <c r="B601" s="193"/>
      <c r="C601" s="193"/>
      <c r="D601" s="193"/>
      <c r="E601" s="193"/>
      <c r="F601" s="193"/>
      <c r="G601" s="193"/>
      <c r="H601" s="81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 spans="1:27" ht="15.6">
      <c r="A602" s="193"/>
      <c r="B602" s="193"/>
      <c r="C602" s="193"/>
      <c r="D602" s="193"/>
      <c r="E602" s="193"/>
      <c r="F602" s="193"/>
      <c r="G602" s="193"/>
      <c r="H602" s="81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 spans="1:27" ht="15.6">
      <c r="A603" s="193"/>
      <c r="B603" s="193"/>
      <c r="C603" s="193"/>
      <c r="D603" s="193"/>
      <c r="E603" s="193"/>
      <c r="F603" s="193"/>
      <c r="G603" s="193"/>
      <c r="H603" s="81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 spans="1:27" ht="15.6">
      <c r="A604" s="193"/>
      <c r="B604" s="193"/>
      <c r="C604" s="193"/>
      <c r="D604" s="193"/>
      <c r="E604" s="193"/>
      <c r="F604" s="193"/>
      <c r="G604" s="193"/>
      <c r="H604" s="81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 spans="1:27" ht="15.6">
      <c r="A605" s="193"/>
      <c r="B605" s="193"/>
      <c r="C605" s="193"/>
      <c r="D605" s="193"/>
      <c r="E605" s="193"/>
      <c r="F605" s="193"/>
      <c r="G605" s="193"/>
      <c r="H605" s="81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 spans="1:27" ht="15.6">
      <c r="A606" s="193"/>
      <c r="B606" s="193"/>
      <c r="C606" s="193"/>
      <c r="D606" s="193"/>
      <c r="E606" s="193"/>
      <c r="F606" s="193"/>
      <c r="G606" s="193"/>
      <c r="H606" s="81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 spans="1:27" ht="15.6">
      <c r="A607" s="193"/>
      <c r="B607" s="193"/>
      <c r="C607" s="193"/>
      <c r="D607" s="193"/>
      <c r="E607" s="193"/>
      <c r="F607" s="193"/>
      <c r="G607" s="193"/>
      <c r="H607" s="81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 spans="1:27" ht="15.6">
      <c r="A608" s="193"/>
      <c r="B608" s="193"/>
      <c r="C608" s="193"/>
      <c r="D608" s="193"/>
      <c r="E608" s="193"/>
      <c r="F608" s="193"/>
      <c r="G608" s="193"/>
      <c r="H608" s="81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 spans="1:27" ht="15.6">
      <c r="A609" s="193"/>
      <c r="B609" s="193"/>
      <c r="C609" s="193"/>
      <c r="D609" s="193"/>
      <c r="E609" s="193"/>
      <c r="F609" s="193"/>
      <c r="G609" s="193"/>
      <c r="H609" s="81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 spans="1:27" ht="15.6">
      <c r="A610" s="193"/>
      <c r="B610" s="193"/>
      <c r="C610" s="193"/>
      <c r="D610" s="193"/>
      <c r="E610" s="193"/>
      <c r="F610" s="193"/>
      <c r="G610" s="193"/>
      <c r="H610" s="81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 spans="1:27" ht="15.6">
      <c r="A611" s="193"/>
      <c r="B611" s="193"/>
      <c r="C611" s="193"/>
      <c r="D611" s="193"/>
      <c r="E611" s="193"/>
      <c r="F611" s="193"/>
      <c r="G611" s="193"/>
      <c r="H611" s="81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 spans="1:27" ht="15.6">
      <c r="A612" s="193"/>
      <c r="B612" s="193"/>
      <c r="C612" s="193"/>
      <c r="D612" s="193"/>
      <c r="E612" s="193"/>
      <c r="F612" s="193"/>
      <c r="G612" s="193"/>
      <c r="H612" s="81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 spans="1:27" ht="15.6">
      <c r="A613" s="193"/>
      <c r="B613" s="193"/>
      <c r="C613" s="193"/>
      <c r="D613" s="193"/>
      <c r="E613" s="193"/>
      <c r="F613" s="193"/>
      <c r="G613" s="193"/>
      <c r="H613" s="81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 spans="1:27" ht="15.6">
      <c r="A614" s="193"/>
      <c r="B614" s="193"/>
      <c r="C614" s="193"/>
      <c r="D614" s="193"/>
      <c r="E614" s="193"/>
      <c r="F614" s="193"/>
      <c r="G614" s="193"/>
      <c r="H614" s="81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 spans="1:27" ht="15.6">
      <c r="A615" s="193"/>
      <c r="B615" s="193"/>
      <c r="C615" s="193"/>
      <c r="D615" s="193"/>
      <c r="E615" s="193"/>
      <c r="F615" s="193"/>
      <c r="G615" s="193"/>
      <c r="H615" s="81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 spans="1:27" ht="15.6">
      <c r="A616" s="193"/>
      <c r="B616" s="193"/>
      <c r="C616" s="193"/>
      <c r="D616" s="193"/>
      <c r="E616" s="193"/>
      <c r="F616" s="193"/>
      <c r="G616" s="193"/>
      <c r="H616" s="81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 spans="1:27" ht="15.6">
      <c r="A617" s="193"/>
      <c r="B617" s="193"/>
      <c r="C617" s="193"/>
      <c r="D617" s="193"/>
      <c r="E617" s="193"/>
      <c r="F617" s="193"/>
      <c r="G617" s="193"/>
      <c r="H617" s="81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 spans="1:27" ht="15.6">
      <c r="A618" s="193"/>
      <c r="B618" s="193"/>
      <c r="C618" s="193"/>
      <c r="D618" s="193"/>
      <c r="E618" s="193"/>
      <c r="F618" s="193"/>
      <c r="G618" s="193"/>
      <c r="H618" s="81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 spans="1:27" ht="15.6">
      <c r="A619" s="193"/>
      <c r="B619" s="193"/>
      <c r="C619" s="193"/>
      <c r="D619" s="193"/>
      <c r="E619" s="193"/>
      <c r="F619" s="193"/>
      <c r="G619" s="193"/>
      <c r="H619" s="81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 spans="1:27" ht="15.6">
      <c r="A620" s="193"/>
      <c r="B620" s="193"/>
      <c r="C620" s="193"/>
      <c r="D620" s="193"/>
      <c r="E620" s="193"/>
      <c r="F620" s="193"/>
      <c r="G620" s="193"/>
      <c r="H620" s="81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 spans="1:27" ht="15.6">
      <c r="A621" s="193"/>
      <c r="B621" s="193"/>
      <c r="C621" s="193"/>
      <c r="D621" s="193"/>
      <c r="E621" s="193"/>
      <c r="F621" s="193"/>
      <c r="G621" s="193"/>
      <c r="H621" s="81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 spans="1:27" ht="15.6">
      <c r="A622" s="193"/>
      <c r="B622" s="193"/>
      <c r="C622" s="193"/>
      <c r="D622" s="193"/>
      <c r="E622" s="193"/>
      <c r="F622" s="193"/>
      <c r="G622" s="193"/>
      <c r="H622" s="81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 spans="1:27" ht="15.6">
      <c r="A623" s="193"/>
      <c r="B623" s="193"/>
      <c r="C623" s="193"/>
      <c r="D623" s="193"/>
      <c r="E623" s="193"/>
      <c r="F623" s="193"/>
      <c r="G623" s="193"/>
      <c r="H623" s="81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 spans="1:27" ht="15.6">
      <c r="A624" s="193"/>
      <c r="B624" s="193"/>
      <c r="C624" s="193"/>
      <c r="D624" s="193"/>
      <c r="E624" s="193"/>
      <c r="F624" s="193"/>
      <c r="G624" s="193"/>
      <c r="H624" s="81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 spans="1:27" ht="15.6">
      <c r="A625" s="193"/>
      <c r="B625" s="193"/>
      <c r="C625" s="193"/>
      <c r="D625" s="193"/>
      <c r="E625" s="193"/>
      <c r="F625" s="193"/>
      <c r="G625" s="193"/>
      <c r="H625" s="81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 spans="1:27" ht="15.6">
      <c r="A626" s="193"/>
      <c r="B626" s="193"/>
      <c r="C626" s="193"/>
      <c r="D626" s="193"/>
      <c r="E626" s="193"/>
      <c r="F626" s="193"/>
      <c r="G626" s="193"/>
      <c r="H626" s="81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 spans="1:27" ht="15.6">
      <c r="A627" s="193"/>
      <c r="B627" s="193"/>
      <c r="C627" s="193"/>
      <c r="D627" s="193"/>
      <c r="E627" s="193"/>
      <c r="F627" s="193"/>
      <c r="G627" s="193"/>
      <c r="H627" s="81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 spans="1:27" ht="15.6">
      <c r="A628" s="193"/>
      <c r="B628" s="193"/>
      <c r="C628" s="193"/>
      <c r="D628" s="193"/>
      <c r="E628" s="193"/>
      <c r="F628" s="193"/>
      <c r="G628" s="193"/>
      <c r="H628" s="81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 spans="1:27" ht="15.6">
      <c r="A629" s="193"/>
      <c r="B629" s="193"/>
      <c r="C629" s="193"/>
      <c r="D629" s="193"/>
      <c r="E629" s="193"/>
      <c r="F629" s="193"/>
      <c r="G629" s="193"/>
      <c r="H629" s="81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 spans="1:27" ht="15.6">
      <c r="A630" s="193"/>
      <c r="B630" s="193"/>
      <c r="C630" s="193"/>
      <c r="D630" s="193"/>
      <c r="E630" s="193"/>
      <c r="F630" s="193"/>
      <c r="G630" s="193"/>
      <c r="H630" s="81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 spans="1:27" ht="15.6">
      <c r="A631" s="193"/>
      <c r="B631" s="193"/>
      <c r="C631" s="193"/>
      <c r="D631" s="193"/>
      <c r="E631" s="193"/>
      <c r="F631" s="193"/>
      <c r="G631" s="193"/>
      <c r="H631" s="81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 spans="1:27" ht="15.6">
      <c r="A632" s="193"/>
      <c r="B632" s="193"/>
      <c r="C632" s="193"/>
      <c r="D632" s="193"/>
      <c r="E632" s="193"/>
      <c r="F632" s="193"/>
      <c r="G632" s="193"/>
      <c r="H632" s="81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 spans="1:27" ht="15.6">
      <c r="A633" s="193"/>
      <c r="B633" s="193"/>
      <c r="C633" s="193"/>
      <c r="D633" s="193"/>
      <c r="E633" s="193"/>
      <c r="F633" s="193"/>
      <c r="G633" s="193"/>
      <c r="H633" s="81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 spans="1:27" ht="15.6">
      <c r="A634" s="193"/>
      <c r="B634" s="193"/>
      <c r="C634" s="193"/>
      <c r="D634" s="193"/>
      <c r="E634" s="193"/>
      <c r="F634" s="193"/>
      <c r="G634" s="193"/>
      <c r="H634" s="81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 spans="1:27" ht="15.6">
      <c r="A635" s="193"/>
      <c r="B635" s="193"/>
      <c r="C635" s="193"/>
      <c r="D635" s="193"/>
      <c r="E635" s="193"/>
      <c r="F635" s="193"/>
      <c r="G635" s="193"/>
      <c r="H635" s="81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 spans="1:27" ht="15.6">
      <c r="A636" s="193"/>
      <c r="B636" s="193"/>
      <c r="C636" s="193"/>
      <c r="D636" s="193"/>
      <c r="E636" s="193"/>
      <c r="F636" s="193"/>
      <c r="G636" s="193"/>
      <c r="H636" s="81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 spans="1:27" ht="15.6">
      <c r="A637" s="193"/>
      <c r="B637" s="193"/>
      <c r="C637" s="193"/>
      <c r="D637" s="193"/>
      <c r="E637" s="193"/>
      <c r="F637" s="193"/>
      <c r="G637" s="193"/>
      <c r="H637" s="81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 spans="1:27" ht="15.6">
      <c r="A638" s="193"/>
      <c r="B638" s="193"/>
      <c r="C638" s="193"/>
      <c r="D638" s="193"/>
      <c r="E638" s="193"/>
      <c r="F638" s="193"/>
      <c r="G638" s="193"/>
      <c r="H638" s="81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 spans="1:27" ht="15.6">
      <c r="A639" s="193"/>
      <c r="B639" s="193"/>
      <c r="C639" s="193"/>
      <c r="D639" s="193"/>
      <c r="E639" s="193"/>
      <c r="F639" s="193"/>
      <c r="G639" s="193"/>
      <c r="H639" s="81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 spans="1:27" ht="15.6">
      <c r="A640" s="193"/>
      <c r="B640" s="193"/>
      <c r="C640" s="193"/>
      <c r="D640" s="193"/>
      <c r="E640" s="193"/>
      <c r="F640" s="193"/>
      <c r="G640" s="193"/>
      <c r="H640" s="81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 spans="1:27" ht="15.6">
      <c r="A641" s="193"/>
      <c r="B641" s="193"/>
      <c r="C641" s="193"/>
      <c r="D641" s="193"/>
      <c r="E641" s="193"/>
      <c r="F641" s="193"/>
      <c r="G641" s="193"/>
      <c r="H641" s="81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 spans="1:27" ht="15.6">
      <c r="A642" s="193"/>
      <c r="B642" s="193"/>
      <c r="C642" s="193"/>
      <c r="D642" s="193"/>
      <c r="E642" s="193"/>
      <c r="F642" s="193"/>
      <c r="G642" s="193"/>
      <c r="H642" s="81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 spans="1:27" ht="15.6">
      <c r="A643" s="193"/>
      <c r="B643" s="193"/>
      <c r="C643" s="193"/>
      <c r="D643" s="193"/>
      <c r="E643" s="193"/>
      <c r="F643" s="193"/>
      <c r="G643" s="193"/>
      <c r="H643" s="81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 spans="1:27" ht="15.6">
      <c r="A644" s="193"/>
      <c r="B644" s="193"/>
      <c r="C644" s="193"/>
      <c r="D644" s="193"/>
      <c r="E644" s="193"/>
      <c r="F644" s="193"/>
      <c r="G644" s="193"/>
      <c r="H644" s="81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 spans="1:27" ht="15.6">
      <c r="A645" s="193"/>
      <c r="B645" s="193"/>
      <c r="C645" s="193"/>
      <c r="D645" s="193"/>
      <c r="E645" s="193"/>
      <c r="F645" s="193"/>
      <c r="G645" s="193"/>
      <c r="H645" s="81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 spans="1:27" ht="15.6">
      <c r="A646" s="193"/>
      <c r="B646" s="193"/>
      <c r="C646" s="193"/>
      <c r="D646" s="193"/>
      <c r="E646" s="193"/>
      <c r="F646" s="193"/>
      <c r="G646" s="193"/>
      <c r="H646" s="81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 spans="1:27" ht="15.6">
      <c r="A647" s="193"/>
      <c r="B647" s="193"/>
      <c r="C647" s="193"/>
      <c r="D647" s="193"/>
      <c r="E647" s="193"/>
      <c r="F647" s="193"/>
      <c r="G647" s="193"/>
      <c r="H647" s="81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 spans="1:27" ht="15.6">
      <c r="A648" s="193"/>
      <c r="B648" s="193"/>
      <c r="C648" s="193"/>
      <c r="D648" s="193"/>
      <c r="E648" s="193"/>
      <c r="F648" s="193"/>
      <c r="G648" s="193"/>
      <c r="H648" s="81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 spans="1:27" ht="15.6">
      <c r="A649" s="193"/>
      <c r="B649" s="193"/>
      <c r="C649" s="193"/>
      <c r="D649" s="193"/>
      <c r="E649" s="193"/>
      <c r="F649" s="193"/>
      <c r="G649" s="193"/>
      <c r="H649" s="81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 spans="1:27" ht="15.6">
      <c r="A650" s="193"/>
      <c r="B650" s="193"/>
      <c r="C650" s="193"/>
      <c r="D650" s="193"/>
      <c r="E650" s="193"/>
      <c r="F650" s="193"/>
      <c r="G650" s="193"/>
      <c r="H650" s="81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 spans="1:27" ht="15.6">
      <c r="A651" s="193"/>
      <c r="B651" s="193"/>
      <c r="C651" s="193"/>
      <c r="D651" s="193"/>
      <c r="E651" s="193"/>
      <c r="F651" s="193"/>
      <c r="G651" s="193"/>
      <c r="H651" s="81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 spans="1:27" ht="15.6">
      <c r="A652" s="193"/>
      <c r="B652" s="193"/>
      <c r="C652" s="193"/>
      <c r="D652" s="193"/>
      <c r="E652" s="193"/>
      <c r="F652" s="193"/>
      <c r="G652" s="193"/>
      <c r="H652" s="81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 spans="1:27" ht="15.6">
      <c r="A653" s="193"/>
      <c r="B653" s="193"/>
      <c r="C653" s="193"/>
      <c r="D653" s="193"/>
      <c r="E653" s="193"/>
      <c r="F653" s="193"/>
      <c r="G653" s="193"/>
      <c r="H653" s="81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 spans="1:27" ht="15.6">
      <c r="A654" s="193"/>
      <c r="B654" s="193"/>
      <c r="C654" s="193"/>
      <c r="D654" s="193"/>
      <c r="E654" s="193"/>
      <c r="F654" s="193"/>
      <c r="G654" s="193"/>
      <c r="H654" s="81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 spans="1:27" ht="15.6">
      <c r="A655" s="193"/>
      <c r="B655" s="193"/>
      <c r="C655" s="193"/>
      <c r="D655" s="193"/>
      <c r="E655" s="193"/>
      <c r="F655" s="193"/>
      <c r="G655" s="193"/>
      <c r="H655" s="81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 spans="1:27" ht="15.6">
      <c r="A656" s="193"/>
      <c r="B656" s="193"/>
      <c r="C656" s="193"/>
      <c r="D656" s="193"/>
      <c r="E656" s="193"/>
      <c r="F656" s="193"/>
      <c r="G656" s="193"/>
      <c r="H656" s="81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 spans="1:27" ht="15.6">
      <c r="A657" s="193"/>
      <c r="B657" s="193"/>
      <c r="C657" s="193"/>
      <c r="D657" s="193"/>
      <c r="E657" s="193"/>
      <c r="F657" s="193"/>
      <c r="G657" s="193"/>
      <c r="H657" s="81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 spans="1:27" ht="15.6">
      <c r="A658" s="193"/>
      <c r="B658" s="193"/>
      <c r="C658" s="193"/>
      <c r="D658" s="193"/>
      <c r="E658" s="193"/>
      <c r="F658" s="193"/>
      <c r="G658" s="193"/>
      <c r="H658" s="81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 spans="1:27" ht="15.6">
      <c r="A659" s="193"/>
      <c r="B659" s="193"/>
      <c r="C659" s="193"/>
      <c r="D659" s="193"/>
      <c r="E659" s="193"/>
      <c r="F659" s="193"/>
      <c r="G659" s="193"/>
      <c r="H659" s="81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 spans="1:27" ht="15.6">
      <c r="A660" s="193"/>
      <c r="B660" s="193"/>
      <c r="C660" s="193"/>
      <c r="D660" s="193"/>
      <c r="E660" s="193"/>
      <c r="F660" s="193"/>
      <c r="G660" s="193"/>
      <c r="H660" s="81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 spans="1:27" ht="15.6">
      <c r="A661" s="193"/>
      <c r="B661" s="193"/>
      <c r="C661" s="193"/>
      <c r="D661" s="193"/>
      <c r="E661" s="193"/>
      <c r="F661" s="193"/>
      <c r="G661" s="193"/>
      <c r="H661" s="81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 spans="1:27" ht="15.6">
      <c r="A662" s="193"/>
      <c r="B662" s="193"/>
      <c r="C662" s="193"/>
      <c r="D662" s="193"/>
      <c r="E662" s="193"/>
      <c r="F662" s="193"/>
      <c r="G662" s="193"/>
      <c r="H662" s="81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 spans="1:27" ht="15.6">
      <c r="A663" s="193"/>
      <c r="B663" s="193"/>
      <c r="C663" s="193"/>
      <c r="D663" s="193"/>
      <c r="E663" s="193"/>
      <c r="F663" s="193"/>
      <c r="G663" s="193"/>
      <c r="H663" s="81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 spans="1:27" ht="15.6">
      <c r="A664" s="193"/>
      <c r="B664" s="193"/>
      <c r="C664" s="193"/>
      <c r="D664" s="193"/>
      <c r="E664" s="193"/>
      <c r="F664" s="193"/>
      <c r="G664" s="193"/>
      <c r="H664" s="81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 spans="1:27" ht="15.6">
      <c r="A665" s="193"/>
      <c r="B665" s="193"/>
      <c r="C665" s="193"/>
      <c r="D665" s="193"/>
      <c r="E665" s="193"/>
      <c r="F665" s="193"/>
      <c r="G665" s="193"/>
      <c r="H665" s="81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 spans="1:27" ht="15.6">
      <c r="A666" s="193"/>
      <c r="B666" s="193"/>
      <c r="C666" s="193"/>
      <c r="D666" s="193"/>
      <c r="E666" s="193"/>
      <c r="F666" s="193"/>
      <c r="G666" s="193"/>
      <c r="H666" s="81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 spans="1:27" ht="15.6">
      <c r="A667" s="193"/>
      <c r="B667" s="193"/>
      <c r="C667" s="193"/>
      <c r="D667" s="193"/>
      <c r="E667" s="193"/>
      <c r="F667" s="193"/>
      <c r="G667" s="193"/>
      <c r="H667" s="81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 spans="1:27" ht="15.6">
      <c r="A668" s="193"/>
      <c r="B668" s="193"/>
      <c r="C668" s="193"/>
      <c r="D668" s="193"/>
      <c r="E668" s="193"/>
      <c r="F668" s="193"/>
      <c r="G668" s="193"/>
      <c r="H668" s="81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 spans="1:27" ht="15.6">
      <c r="A669" s="193"/>
      <c r="B669" s="193"/>
      <c r="C669" s="193"/>
      <c r="D669" s="193"/>
      <c r="E669" s="193"/>
      <c r="F669" s="193"/>
      <c r="G669" s="193"/>
      <c r="H669" s="81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 spans="1:27" ht="15.6">
      <c r="A670" s="193"/>
      <c r="B670" s="193"/>
      <c r="C670" s="193"/>
      <c r="D670" s="193"/>
      <c r="E670" s="193"/>
      <c r="F670" s="193"/>
      <c r="G670" s="193"/>
      <c r="H670" s="81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 spans="1:27" ht="15.6">
      <c r="A671" s="193"/>
      <c r="B671" s="193"/>
      <c r="C671" s="193"/>
      <c r="D671" s="193"/>
      <c r="E671" s="193"/>
      <c r="F671" s="193"/>
      <c r="G671" s="193"/>
      <c r="H671" s="81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 spans="1:27" ht="15.6">
      <c r="A672" s="193"/>
      <c r="B672" s="193"/>
      <c r="C672" s="193"/>
      <c r="D672" s="193"/>
      <c r="E672" s="193"/>
      <c r="F672" s="193"/>
      <c r="G672" s="193"/>
      <c r="H672" s="81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 ht="15.6"/>
    <row r="674" ht="15.6"/>
    <row r="675" ht="15.6"/>
    <row r="676" ht="15.6"/>
  </sheetData>
  <mergeCells count="82">
    <mergeCell ref="B2:D2"/>
    <mergeCell ref="E2:F2"/>
    <mergeCell ref="G2:H2"/>
    <mergeCell ref="A1:H1"/>
    <mergeCell ref="B28:D28"/>
    <mergeCell ref="E28:F28"/>
    <mergeCell ref="G28:H28"/>
    <mergeCell ref="B26:D26"/>
    <mergeCell ref="E26:F26"/>
    <mergeCell ref="G26:H26"/>
    <mergeCell ref="B27:D27"/>
    <mergeCell ref="E27:F27"/>
    <mergeCell ref="G27:H27"/>
    <mergeCell ref="E23:F23"/>
    <mergeCell ref="G23:H23"/>
    <mergeCell ref="B24:D24"/>
    <mergeCell ref="E24:F24"/>
    <mergeCell ref="G24:H24"/>
    <mergeCell ref="B25:D25"/>
    <mergeCell ref="E25:F25"/>
    <mergeCell ref="G25:H25"/>
    <mergeCell ref="B21:D21"/>
    <mergeCell ref="E21:F21"/>
    <mergeCell ref="G21:H21"/>
    <mergeCell ref="B22:D22"/>
    <mergeCell ref="E22:F22"/>
    <mergeCell ref="G22:H22"/>
    <mergeCell ref="B23:D23"/>
    <mergeCell ref="B20:D20"/>
    <mergeCell ref="E20:F20"/>
    <mergeCell ref="G20:H20"/>
    <mergeCell ref="B3:D3"/>
    <mergeCell ref="E3:F3"/>
    <mergeCell ref="G3:H3"/>
    <mergeCell ref="B18:D18"/>
    <mergeCell ref="E18:F18"/>
    <mergeCell ref="G18:H18"/>
    <mergeCell ref="B19:D19"/>
    <mergeCell ref="E19:F19"/>
    <mergeCell ref="G19:H19"/>
    <mergeCell ref="B17:D17"/>
    <mergeCell ref="E17:F17"/>
    <mergeCell ref="G17:H17"/>
    <mergeCell ref="B15:D15"/>
    <mergeCell ref="E15:F15"/>
    <mergeCell ref="G15:H15"/>
    <mergeCell ref="B16:D16"/>
    <mergeCell ref="E16:F16"/>
    <mergeCell ref="G16:H16"/>
    <mergeCell ref="B13:D13"/>
    <mergeCell ref="E13:F13"/>
    <mergeCell ref="G13:H13"/>
    <mergeCell ref="B14:D14"/>
    <mergeCell ref="E14:F14"/>
    <mergeCell ref="G14:H14"/>
    <mergeCell ref="B12:D12"/>
    <mergeCell ref="E12:F12"/>
    <mergeCell ref="G12:H12"/>
    <mergeCell ref="B7:D7"/>
    <mergeCell ref="E7:F7"/>
    <mergeCell ref="G7:H7"/>
    <mergeCell ref="B8:D8"/>
    <mergeCell ref="E8:F8"/>
    <mergeCell ref="G8:H8"/>
    <mergeCell ref="B10:D10"/>
    <mergeCell ref="E10:F10"/>
    <mergeCell ref="G10:H10"/>
    <mergeCell ref="B11:D11"/>
    <mergeCell ref="E11:F11"/>
    <mergeCell ref="G11:H11"/>
    <mergeCell ref="B4:D4"/>
    <mergeCell ref="E4:F4"/>
    <mergeCell ref="G4:H4"/>
    <mergeCell ref="B9:D9"/>
    <mergeCell ref="E9:F9"/>
    <mergeCell ref="G9:H9"/>
    <mergeCell ref="B5:D5"/>
    <mergeCell ref="E5:F5"/>
    <mergeCell ref="G5:H5"/>
    <mergeCell ref="B6:D6"/>
    <mergeCell ref="E6:F6"/>
    <mergeCell ref="G6:H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outlinePr summaryBelow="0" summaryRight="0"/>
  </sheetPr>
  <dimension ref="A1:AA842"/>
  <sheetViews>
    <sheetView tabSelected="1" topLeftCell="A148" workbookViewId="0">
      <selection activeCell="A233" sqref="A233:XFD236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9.28515625" style="79" customWidth="1"/>
    <col min="5" max="6" width="4.7109375" style="168" customWidth="1"/>
    <col min="7" max="7" width="6.7109375" style="168" customWidth="1"/>
    <col min="8" max="8" width="14.7109375" style="93" customWidth="1"/>
    <col min="9" max="11" width="12.7109375" style="79"/>
    <col min="12" max="12" width="16.140625" style="79" bestFit="1" customWidth="1"/>
    <col min="13" max="16384" width="12.7109375" style="79"/>
  </cols>
  <sheetData>
    <row r="1" spans="1:27" ht="31.15">
      <c r="A1" s="166" t="s">
        <v>299</v>
      </c>
      <c r="B1" s="214" t="s">
        <v>300</v>
      </c>
      <c r="C1" s="214"/>
      <c r="D1" s="214"/>
      <c r="E1" s="214"/>
      <c r="F1" s="214"/>
      <c r="G1" s="214"/>
      <c r="H1" s="180" t="s">
        <v>301</v>
      </c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</row>
    <row r="2" spans="1:27" ht="15.75" customHeight="1">
      <c r="A2" s="170" t="s">
        <v>697</v>
      </c>
      <c r="B2" s="215" t="s">
        <v>698</v>
      </c>
      <c r="C2" s="215"/>
      <c r="D2" s="215"/>
      <c r="E2" s="215"/>
      <c r="F2" s="215"/>
      <c r="G2" s="215"/>
      <c r="H2" s="171">
        <f>AVERAGE(H153,H4)</f>
        <v>4</v>
      </c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</row>
    <row r="3" spans="1:27" ht="15.75" customHeight="1">
      <c r="A3" s="172"/>
      <c r="B3" s="173"/>
      <c r="C3" s="173"/>
      <c r="D3" s="173"/>
      <c r="E3" s="173"/>
      <c r="F3" s="173"/>
      <c r="G3" s="173"/>
      <c r="H3" s="174"/>
      <c r="I3" s="193"/>
      <c r="J3" s="193"/>
      <c r="K3" s="200"/>
      <c r="L3" s="199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98">
        <v>1</v>
      </c>
      <c r="B4" s="215" t="s">
        <v>699</v>
      </c>
      <c r="C4" s="215"/>
      <c r="D4" s="215"/>
      <c r="E4" s="215"/>
      <c r="F4" s="215"/>
      <c r="G4" s="215"/>
      <c r="H4" s="103">
        <f>AVERAGE(H5:H49)</f>
        <v>4</v>
      </c>
      <c r="I4" s="193"/>
      <c r="J4" s="193"/>
      <c r="K4" s="200"/>
      <c r="L4" s="199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spans="1:27" ht="15.75" customHeight="1">
      <c r="A5" s="82"/>
      <c r="B5" s="80">
        <v>46023</v>
      </c>
      <c r="C5" s="193"/>
      <c r="D5" s="193" t="s">
        <v>700</v>
      </c>
      <c r="H5" s="103">
        <f>AVERAGE(G7:G16)</f>
        <v>4</v>
      </c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 ht="15.75" hidden="1" customHeight="1">
      <c r="A6" s="82"/>
      <c r="B6" s="193"/>
      <c r="C6" s="193"/>
      <c r="D6" s="193"/>
      <c r="E6" s="169"/>
      <c r="F6" s="92" t="s">
        <v>47</v>
      </c>
      <c r="G6" s="92" t="s">
        <v>306</v>
      </c>
      <c r="H6" s="148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 ht="15.75" hidden="1" customHeight="1">
      <c r="A7" s="82"/>
      <c r="B7" s="193"/>
      <c r="C7" s="193" t="s">
        <v>307</v>
      </c>
      <c r="D7" s="193" t="s">
        <v>701</v>
      </c>
      <c r="E7" s="169"/>
      <c r="F7" s="92">
        <v>4</v>
      </c>
      <c r="G7" s="133">
        <f>AVERAGE(E7:F7)</f>
        <v>4</v>
      </c>
      <c r="H7" s="148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 ht="15.75" hidden="1" customHeight="1">
      <c r="A8" s="82"/>
      <c r="B8" s="193"/>
      <c r="C8" s="193"/>
      <c r="D8" s="193" t="s">
        <v>702</v>
      </c>
      <c r="E8" s="169"/>
      <c r="F8" s="92"/>
      <c r="G8" s="133"/>
      <c r="H8" s="148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15.75" hidden="1" customHeight="1">
      <c r="A9" s="82"/>
      <c r="B9" s="193"/>
      <c r="C9" s="193"/>
      <c r="D9" s="193" t="s">
        <v>703</v>
      </c>
      <c r="E9" s="169"/>
      <c r="F9" s="92"/>
      <c r="G9" s="133"/>
      <c r="H9" s="148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 ht="15.75" hidden="1" customHeight="1">
      <c r="A10" s="82"/>
      <c r="B10" s="193"/>
      <c r="C10" s="193" t="s">
        <v>309</v>
      </c>
      <c r="D10" s="193" t="s">
        <v>704</v>
      </c>
      <c r="E10" s="169"/>
      <c r="F10" s="92">
        <v>4</v>
      </c>
      <c r="G10" s="133">
        <f>AVERAGE(E10:F10)</f>
        <v>4</v>
      </c>
      <c r="H10" s="175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ht="15.75" hidden="1" customHeight="1">
      <c r="A11" s="82"/>
      <c r="B11" s="193"/>
      <c r="C11" s="193"/>
      <c r="D11" s="193" t="s">
        <v>702</v>
      </c>
      <c r="E11" s="169"/>
      <c r="F11" s="92"/>
      <c r="G11" s="133"/>
      <c r="H11" s="148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ht="15.75" hidden="1" customHeight="1">
      <c r="A12" s="82"/>
      <c r="B12" s="193"/>
      <c r="C12" s="193"/>
      <c r="D12" s="193" t="s">
        <v>703</v>
      </c>
      <c r="E12" s="169"/>
      <c r="F12" s="92"/>
      <c r="G12" s="133"/>
      <c r="H12" s="148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spans="1:27" ht="15.75" hidden="1" customHeight="1">
      <c r="A13" s="82"/>
      <c r="B13" s="86"/>
      <c r="C13" s="193" t="s">
        <v>316</v>
      </c>
      <c r="D13" s="193" t="s">
        <v>705</v>
      </c>
      <c r="E13" s="169"/>
      <c r="F13" s="92">
        <v>4</v>
      </c>
      <c r="G13" s="133">
        <f>AVERAGE(E13:F13)</f>
        <v>4</v>
      </c>
      <c r="H13" s="148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ht="15.75" hidden="1" customHeight="1">
      <c r="A14" s="82"/>
      <c r="B14" s="193"/>
      <c r="C14" s="193"/>
      <c r="D14" s="193" t="s">
        <v>702</v>
      </c>
      <c r="E14" s="169"/>
      <c r="F14" s="92"/>
      <c r="G14" s="133"/>
      <c r="H14" s="148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.75" hidden="1" customHeight="1">
      <c r="A15" s="82"/>
      <c r="B15" s="193"/>
      <c r="C15" s="193"/>
      <c r="D15" s="193" t="s">
        <v>703</v>
      </c>
      <c r="E15" s="169"/>
      <c r="F15" s="92"/>
      <c r="G15" s="133"/>
      <c r="H15" s="148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.75" hidden="1" customHeight="1">
      <c r="A16" s="82"/>
      <c r="B16" s="86"/>
      <c r="C16" s="193" t="s">
        <v>318</v>
      </c>
      <c r="D16" s="193" t="s">
        <v>706</v>
      </c>
      <c r="E16" s="169"/>
      <c r="F16" s="92">
        <v>4</v>
      </c>
      <c r="G16" s="133">
        <f>AVERAGE(E16:F16)</f>
        <v>4</v>
      </c>
      <c r="H16" s="175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27" ht="15.75" hidden="1" customHeight="1">
      <c r="A17" s="82"/>
      <c r="B17" s="193"/>
      <c r="C17" s="193"/>
      <c r="D17" s="193" t="s">
        <v>702</v>
      </c>
      <c r="E17" s="169"/>
      <c r="F17" s="92"/>
      <c r="G17" s="133"/>
      <c r="H17" s="148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7" ht="15.75" hidden="1" customHeight="1">
      <c r="A18" s="82"/>
      <c r="B18" s="193"/>
      <c r="C18" s="193"/>
      <c r="D18" s="193" t="s">
        <v>703</v>
      </c>
      <c r="E18" s="169"/>
      <c r="F18" s="92"/>
      <c r="G18" s="133"/>
      <c r="H18" s="148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 spans="1:27" ht="15.75" hidden="1" customHeight="1">
      <c r="A19" s="82"/>
      <c r="B19" s="86"/>
      <c r="C19" s="193"/>
      <c r="D19" s="193"/>
      <c r="E19" s="169"/>
      <c r="F19" s="92"/>
      <c r="G19" s="133"/>
      <c r="H19" s="148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 spans="1:27" ht="15.75" customHeight="1">
      <c r="A20" s="82"/>
      <c r="B20" s="78">
        <v>1.2</v>
      </c>
      <c r="C20" s="193"/>
      <c r="D20" s="193" t="s">
        <v>707</v>
      </c>
      <c r="F20" s="93"/>
      <c r="G20" s="93"/>
      <c r="H20" s="103">
        <f>AVERAGE(G22:G49)</f>
        <v>4</v>
      </c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  <row r="21" spans="1:27" ht="15.75" hidden="1" customHeight="1">
      <c r="A21" s="82"/>
      <c r="B21" s="193"/>
      <c r="C21" s="193"/>
      <c r="D21" s="193"/>
      <c r="E21" s="169"/>
      <c r="F21" s="92" t="s">
        <v>47</v>
      </c>
      <c r="G21" s="92" t="s">
        <v>306</v>
      </c>
      <c r="H21" s="148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</row>
    <row r="22" spans="1:27" ht="15.75" hidden="1" customHeight="1">
      <c r="A22" s="82"/>
      <c r="B22" s="193"/>
      <c r="C22" s="193" t="s">
        <v>307</v>
      </c>
      <c r="D22" s="193" t="s">
        <v>708</v>
      </c>
      <c r="E22" s="169"/>
      <c r="F22" s="92">
        <v>4</v>
      </c>
      <c r="G22" s="133">
        <f>AVERAGE(E22:F22)</f>
        <v>4</v>
      </c>
      <c r="H22" s="148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</row>
    <row r="23" spans="1:27" ht="15.75" hidden="1" customHeight="1">
      <c r="A23" s="82"/>
      <c r="B23" s="193"/>
      <c r="C23" s="193"/>
      <c r="D23" s="193" t="s">
        <v>702</v>
      </c>
      <c r="E23" s="169"/>
      <c r="F23" s="92"/>
      <c r="G23" s="133"/>
      <c r="H23" s="148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spans="1:27" ht="15.75" hidden="1" customHeight="1">
      <c r="A24" s="82"/>
      <c r="B24" s="193"/>
      <c r="C24" s="193" t="s">
        <v>309</v>
      </c>
      <c r="D24" s="193" t="s">
        <v>709</v>
      </c>
      <c r="E24" s="169"/>
      <c r="F24" s="92">
        <v>4</v>
      </c>
      <c r="G24" s="133">
        <f>AVERAGE(E24:F24)</f>
        <v>4</v>
      </c>
      <c r="H24" s="148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spans="1:27" ht="15.75" hidden="1" customHeight="1">
      <c r="A25" s="82"/>
      <c r="B25" s="193"/>
      <c r="C25" s="193"/>
      <c r="D25" s="193" t="s">
        <v>702</v>
      </c>
      <c r="E25" s="169"/>
      <c r="F25" s="92"/>
      <c r="G25" s="133"/>
      <c r="H25" s="148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spans="1:27" ht="34.5" hidden="1" customHeight="1">
      <c r="A26" s="82"/>
      <c r="B26" s="193"/>
      <c r="C26" s="193" t="s">
        <v>316</v>
      </c>
      <c r="D26" s="176" t="s">
        <v>710</v>
      </c>
      <c r="E26" s="169"/>
      <c r="F26" s="92">
        <v>4</v>
      </c>
      <c r="G26" s="133">
        <f>AVERAGE(E26:F26)</f>
        <v>4</v>
      </c>
      <c r="H26" s="148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75" hidden="1" customHeight="1">
      <c r="A27" s="82"/>
      <c r="B27" s="193"/>
      <c r="C27" s="193"/>
      <c r="D27" s="193" t="s">
        <v>702</v>
      </c>
      <c r="E27" s="169"/>
      <c r="F27" s="92"/>
      <c r="G27" s="133"/>
      <c r="H27" s="148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31.5" hidden="1" customHeight="1">
      <c r="A28" s="82"/>
      <c r="B28" s="193"/>
      <c r="C28" s="193" t="s">
        <v>318</v>
      </c>
      <c r="D28" s="176" t="s">
        <v>711</v>
      </c>
      <c r="E28" s="169"/>
      <c r="F28" s="92">
        <v>4</v>
      </c>
      <c r="G28" s="133">
        <f>AVERAGE(E28:F28)</f>
        <v>4</v>
      </c>
      <c r="H28" s="148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ht="15.75" hidden="1" customHeight="1">
      <c r="A29" s="82"/>
      <c r="B29" s="193"/>
      <c r="C29" s="193"/>
      <c r="D29" s="193" t="s">
        <v>702</v>
      </c>
      <c r="E29" s="169"/>
      <c r="F29" s="92"/>
      <c r="G29" s="133"/>
      <c r="H29" s="148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spans="1:27" ht="15.75" hidden="1" customHeight="1">
      <c r="A30" s="82"/>
      <c r="B30" s="193"/>
      <c r="C30" s="193"/>
      <c r="D30" s="193" t="s">
        <v>703</v>
      </c>
      <c r="E30" s="169"/>
      <c r="F30" s="92"/>
      <c r="G30" s="133"/>
      <c r="H30" s="148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</row>
    <row r="31" spans="1:27" ht="15.75" hidden="1" customHeight="1">
      <c r="A31" s="82"/>
      <c r="B31" s="193"/>
      <c r="C31" s="193" t="s">
        <v>320</v>
      </c>
      <c r="D31" s="193" t="s">
        <v>712</v>
      </c>
      <c r="E31" s="169"/>
      <c r="F31" s="92">
        <v>4</v>
      </c>
      <c r="G31" s="133">
        <f>AVERAGE(E31:F31)</f>
        <v>4</v>
      </c>
      <c r="H31" s="148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</row>
    <row r="32" spans="1:27" ht="15.75" hidden="1" customHeight="1">
      <c r="A32" s="82"/>
      <c r="B32" s="193"/>
      <c r="C32" s="193"/>
      <c r="D32" s="193" t="s">
        <v>702</v>
      </c>
      <c r="E32" s="169"/>
      <c r="F32" s="92"/>
      <c r="G32" s="133"/>
      <c r="H32" s="148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</row>
    <row r="33" spans="1:27" ht="15.75" hidden="1" customHeight="1">
      <c r="A33" s="82"/>
      <c r="B33" s="193"/>
      <c r="C33" s="193"/>
      <c r="D33" s="193" t="s">
        <v>703</v>
      </c>
      <c r="E33" s="169"/>
      <c r="F33" s="92"/>
      <c r="G33" s="133"/>
      <c r="H33" s="14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spans="1:27" ht="15.75" hidden="1" customHeight="1">
      <c r="A34" s="82"/>
      <c r="B34" s="193"/>
      <c r="C34" s="193" t="s">
        <v>353</v>
      </c>
      <c r="D34" s="193" t="s">
        <v>713</v>
      </c>
      <c r="E34" s="169"/>
      <c r="F34" s="92">
        <v>4</v>
      </c>
      <c r="G34" s="133">
        <f>AVERAGE(E34:F34)</f>
        <v>4</v>
      </c>
      <c r="H34" s="148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spans="1:27" ht="15.75" hidden="1" customHeight="1">
      <c r="A35" s="82"/>
      <c r="B35" s="193"/>
      <c r="C35" s="193"/>
      <c r="D35" s="193" t="s">
        <v>702</v>
      </c>
      <c r="E35" s="169"/>
      <c r="F35" s="92"/>
      <c r="G35" s="133"/>
      <c r="H35" s="14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spans="1:27" ht="15.75" hidden="1" customHeight="1">
      <c r="A36" s="82"/>
      <c r="B36" s="193"/>
      <c r="C36" s="193"/>
      <c r="D36" s="193" t="s">
        <v>703</v>
      </c>
      <c r="E36" s="169"/>
      <c r="F36" s="92"/>
      <c r="G36" s="133"/>
      <c r="H36" s="14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spans="1:27" ht="15.75" hidden="1" customHeight="1">
      <c r="A37" s="82"/>
      <c r="B37" s="193"/>
      <c r="C37" s="193" t="s">
        <v>355</v>
      </c>
      <c r="D37" s="193" t="s">
        <v>714</v>
      </c>
      <c r="E37" s="169"/>
      <c r="F37" s="92">
        <v>4</v>
      </c>
      <c r="G37" s="133">
        <f>AVERAGE(E37:F37)</f>
        <v>4</v>
      </c>
      <c r="H37" s="14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spans="1:27" ht="15.75" hidden="1" customHeight="1">
      <c r="A38" s="82"/>
      <c r="B38" s="193"/>
      <c r="C38" s="193"/>
      <c r="D38" s="193" t="s">
        <v>702</v>
      </c>
      <c r="E38" s="169"/>
      <c r="F38" s="92"/>
      <c r="G38" s="133"/>
      <c r="H38" s="14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spans="1:27" ht="15.75" hidden="1" customHeight="1">
      <c r="A39" s="82"/>
      <c r="B39" s="193"/>
      <c r="C39" s="193"/>
      <c r="D39" s="193" t="s">
        <v>703</v>
      </c>
      <c r="E39" s="169"/>
      <c r="F39" s="92"/>
      <c r="G39" s="133"/>
      <c r="H39" s="148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</row>
    <row r="40" spans="1:27" ht="30.75" hidden="1" customHeight="1">
      <c r="A40" s="82"/>
      <c r="B40" s="193"/>
      <c r="C40" s="193" t="s">
        <v>398</v>
      </c>
      <c r="D40" s="176" t="s">
        <v>715</v>
      </c>
      <c r="E40" s="169"/>
      <c r="F40" s="92">
        <v>4</v>
      </c>
      <c r="G40" s="133">
        <f>AVERAGE(E40:F40)</f>
        <v>4</v>
      </c>
      <c r="H40" s="148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spans="1:27" ht="15.75" hidden="1" customHeight="1">
      <c r="A41" s="82"/>
      <c r="B41" s="193"/>
      <c r="C41" s="193"/>
      <c r="D41" s="193" t="s">
        <v>702</v>
      </c>
      <c r="E41" s="169"/>
      <c r="F41" s="92"/>
      <c r="G41" s="133"/>
      <c r="H41" s="148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</row>
    <row r="42" spans="1:27" ht="15.75" hidden="1" customHeight="1">
      <c r="A42" s="82"/>
      <c r="B42" s="193"/>
      <c r="C42" s="193"/>
      <c r="D42" s="193" t="s">
        <v>703</v>
      </c>
      <c r="E42" s="169"/>
      <c r="F42" s="92"/>
      <c r="G42" s="133"/>
      <c r="H42" s="148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</row>
    <row r="43" spans="1:27" ht="15.75" hidden="1" customHeight="1">
      <c r="A43" s="82"/>
      <c r="B43" s="193"/>
      <c r="C43" s="193" t="s">
        <v>407</v>
      </c>
      <c r="D43" s="193" t="s">
        <v>716</v>
      </c>
      <c r="E43" s="169"/>
      <c r="F43" s="92">
        <v>4</v>
      </c>
      <c r="G43" s="133">
        <f>AVERAGE(E43:F43)</f>
        <v>4</v>
      </c>
      <c r="H43" s="148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spans="1:27" ht="15.75" hidden="1" customHeight="1">
      <c r="A44" s="82"/>
      <c r="B44" s="193"/>
      <c r="C44" s="193"/>
      <c r="D44" s="193" t="s">
        <v>702</v>
      </c>
      <c r="E44" s="169"/>
      <c r="F44" s="92"/>
      <c r="G44" s="133"/>
      <c r="H44" s="14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spans="1:27" ht="15.75" hidden="1" customHeight="1">
      <c r="A45" s="82"/>
      <c r="B45" s="193"/>
      <c r="C45" s="193"/>
      <c r="D45" s="193" t="s">
        <v>703</v>
      </c>
      <c r="E45" s="169"/>
      <c r="F45" s="92"/>
      <c r="G45" s="133"/>
      <c r="H45" s="14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spans="1:27" ht="15.75" hidden="1" customHeight="1">
      <c r="A46" s="82"/>
      <c r="B46" s="193"/>
      <c r="C46" s="193" t="s">
        <v>494</v>
      </c>
      <c r="D46" s="193" t="s">
        <v>717</v>
      </c>
      <c r="E46" s="169"/>
      <c r="F46" s="92">
        <v>4</v>
      </c>
      <c r="G46" s="133">
        <f>AVERAGE(E46:F46)</f>
        <v>4</v>
      </c>
      <c r="H46" s="148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spans="1:27" ht="15.75" hidden="1" customHeight="1">
      <c r="A47" s="82"/>
      <c r="B47" s="193"/>
      <c r="C47" s="193"/>
      <c r="D47" s="193" t="s">
        <v>702</v>
      </c>
      <c r="E47" s="169"/>
      <c r="F47" s="92"/>
      <c r="G47" s="133"/>
      <c r="H47" s="148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spans="1:27" ht="15.75" hidden="1" customHeight="1">
      <c r="A48" s="82"/>
      <c r="B48" s="193"/>
      <c r="C48" s="193"/>
      <c r="D48" s="193" t="s">
        <v>703</v>
      </c>
      <c r="E48" s="169"/>
      <c r="F48" s="92"/>
      <c r="G48" s="133"/>
      <c r="H48" s="14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spans="1:27" ht="15.75" hidden="1" customHeight="1">
      <c r="A49" s="82"/>
      <c r="B49" s="193"/>
      <c r="C49" s="193" t="s">
        <v>496</v>
      </c>
      <c r="D49" s="193" t="s">
        <v>718</v>
      </c>
      <c r="E49" s="169"/>
      <c r="F49" s="92">
        <v>4</v>
      </c>
      <c r="G49" s="133">
        <f>AVERAGE(E49:F49)</f>
        <v>4</v>
      </c>
      <c r="H49" s="14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75" hidden="1" customHeight="1">
      <c r="A50" s="82"/>
      <c r="B50" s="193"/>
      <c r="C50" s="193"/>
      <c r="D50" s="193" t="s">
        <v>702</v>
      </c>
      <c r="E50" s="169"/>
      <c r="F50" s="92"/>
      <c r="G50" s="133"/>
      <c r="H50" s="148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75" hidden="1" customHeight="1">
      <c r="A51" s="82"/>
      <c r="B51" s="193"/>
      <c r="C51" s="193"/>
      <c r="D51" s="193" t="s">
        <v>703</v>
      </c>
      <c r="E51" s="169"/>
      <c r="F51" s="92"/>
      <c r="G51" s="133"/>
      <c r="H51" s="148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75" hidden="1" customHeight="1">
      <c r="A52" s="127"/>
      <c r="B52" s="193"/>
      <c r="C52" s="193"/>
      <c r="D52" s="193"/>
      <c r="E52" s="169"/>
      <c r="F52" s="92"/>
      <c r="G52" s="92"/>
      <c r="H52" s="175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75" customHeight="1">
      <c r="A53" s="172"/>
      <c r="B53" s="173"/>
      <c r="C53" s="173"/>
      <c r="D53" s="173"/>
      <c r="E53" s="173"/>
      <c r="F53" s="173"/>
      <c r="G53" s="173"/>
      <c r="H53" s="174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6">
      <c r="A54" s="98">
        <v>2</v>
      </c>
      <c r="B54" s="215" t="s">
        <v>719</v>
      </c>
      <c r="C54" s="215"/>
      <c r="D54" s="215"/>
      <c r="E54" s="215"/>
      <c r="F54" s="215"/>
      <c r="G54" s="215"/>
      <c r="H54" s="103">
        <f ca="1">AVERAGE(H55:H150)</f>
        <v>2.1555555555555559</v>
      </c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6">
      <c r="A55" s="82"/>
      <c r="B55" s="78">
        <v>2.1</v>
      </c>
      <c r="C55" s="193"/>
      <c r="D55" s="193" t="s">
        <v>720</v>
      </c>
      <c r="H55" s="103">
        <f>AVERAGE(G57:G58)</f>
        <v>4</v>
      </c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5.6" hidden="1">
      <c r="A56" s="82"/>
      <c r="B56" s="193"/>
      <c r="C56" s="193"/>
      <c r="D56" s="193"/>
      <c r="E56" s="92" t="s">
        <v>47</v>
      </c>
      <c r="F56" s="92" t="s">
        <v>10</v>
      </c>
      <c r="G56" s="133" t="s">
        <v>306</v>
      </c>
      <c r="H56" s="160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spans="1:27" ht="15.6" hidden="1">
      <c r="A57" s="82"/>
      <c r="B57" s="193"/>
      <c r="C57" s="193" t="s">
        <v>307</v>
      </c>
      <c r="D57" s="193" t="s">
        <v>721</v>
      </c>
      <c r="E57" s="92">
        <v>4</v>
      </c>
      <c r="F57" s="92" t="s">
        <v>285</v>
      </c>
      <c r="G57" s="133">
        <f t="shared" ref="G57:G58" si="0">AVERAGE(E57:F57)</f>
        <v>4</v>
      </c>
      <c r="H57" s="160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spans="1:27" ht="15.6" hidden="1">
      <c r="A58" s="82"/>
      <c r="B58" s="193"/>
      <c r="C58" s="193" t="s">
        <v>309</v>
      </c>
      <c r="D58" s="193" t="s">
        <v>436</v>
      </c>
      <c r="E58" s="92" t="s">
        <v>285</v>
      </c>
      <c r="F58" s="92">
        <v>4</v>
      </c>
      <c r="G58" s="133">
        <f t="shared" si="0"/>
        <v>4</v>
      </c>
      <c r="H58" s="103"/>
      <c r="I58" s="193"/>
      <c r="J58" s="193"/>
      <c r="K58" s="193"/>
      <c r="L58" s="193" t="s">
        <v>722</v>
      </c>
      <c r="M58" s="193" t="s">
        <v>723</v>
      </c>
      <c r="N58" s="193" t="s">
        <v>695</v>
      </c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 ht="15.6" hidden="1">
      <c r="A59" s="82"/>
      <c r="B59" s="193" t="s">
        <v>311</v>
      </c>
      <c r="C59" s="193"/>
      <c r="D59" s="193" t="s">
        <v>724</v>
      </c>
      <c r="E59" s="92"/>
      <c r="F59" s="92"/>
      <c r="G59" s="133"/>
      <c r="H59" s="103"/>
      <c r="I59" s="193"/>
      <c r="J59" s="193"/>
      <c r="K59" s="193"/>
      <c r="L59" s="193"/>
      <c r="M59" s="193" t="s">
        <v>720</v>
      </c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spans="1:27" ht="15.6" hidden="1">
      <c r="A60" s="82"/>
      <c r="B60" s="193"/>
      <c r="C60" s="193"/>
      <c r="D60" s="193"/>
      <c r="E60" s="92"/>
      <c r="F60" s="92"/>
      <c r="G60" s="133"/>
      <c r="H60" s="10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spans="1:27" ht="15.6">
      <c r="A61" s="82"/>
      <c r="B61" s="193">
        <v>2.2000000000000002</v>
      </c>
      <c r="C61" s="193"/>
      <c r="D61" s="193" t="s">
        <v>725</v>
      </c>
      <c r="E61" s="92"/>
      <c r="F61" s="92"/>
      <c r="G61" s="133"/>
      <c r="H61" s="10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spans="1:27" ht="15.6" hidden="1">
      <c r="A62" s="82"/>
      <c r="B62" s="193"/>
      <c r="C62" s="193"/>
      <c r="D62" s="193"/>
      <c r="E62" s="92" t="s">
        <v>47</v>
      </c>
      <c r="F62" s="92" t="s">
        <v>10</v>
      </c>
      <c r="G62" s="133" t="s">
        <v>306</v>
      </c>
      <c r="H62" s="103">
        <f>AVERAGE(G63:G65)</f>
        <v>4</v>
      </c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spans="1:27" ht="15.6" hidden="1">
      <c r="A63" s="82"/>
      <c r="B63" s="193"/>
      <c r="C63" s="193" t="s">
        <v>307</v>
      </c>
      <c r="D63" s="193" t="s">
        <v>726</v>
      </c>
      <c r="E63" s="92">
        <v>4</v>
      </c>
      <c r="F63" s="92" t="s">
        <v>285</v>
      </c>
      <c r="G63" s="133">
        <f t="shared" ref="G63:G64" si="1">AVERAGE(E63:F63)</f>
        <v>4</v>
      </c>
      <c r="H63" s="16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spans="1:27" ht="15.6" hidden="1">
      <c r="A64" s="82"/>
      <c r="B64" s="193"/>
      <c r="C64" s="193" t="s">
        <v>309</v>
      </c>
      <c r="D64" s="193" t="s">
        <v>436</v>
      </c>
      <c r="E64" s="92" t="s">
        <v>285</v>
      </c>
      <c r="F64" s="92">
        <v>4</v>
      </c>
      <c r="G64" s="133">
        <f t="shared" si="1"/>
        <v>4</v>
      </c>
      <c r="H64" s="10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27" ht="15.6" hidden="1">
      <c r="A65" s="82"/>
      <c r="B65" s="193"/>
      <c r="C65" s="193" t="s">
        <v>316</v>
      </c>
      <c r="D65" s="193" t="s">
        <v>727</v>
      </c>
      <c r="E65" s="92" t="s">
        <v>285</v>
      </c>
      <c r="F65" s="92">
        <v>4</v>
      </c>
      <c r="G65" s="133">
        <f t="shared" ref="G65" si="2">AVERAGE(E65:F65)</f>
        <v>4</v>
      </c>
      <c r="H65" s="10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spans="1:27" ht="15.6" hidden="1">
      <c r="A66" s="82"/>
      <c r="B66" s="193" t="s">
        <v>311</v>
      </c>
      <c r="C66" s="193"/>
      <c r="D66" s="193" t="s">
        <v>724</v>
      </c>
      <c r="E66" s="92"/>
      <c r="F66" s="92"/>
      <c r="G66" s="133"/>
      <c r="H66" s="10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</row>
    <row r="67" spans="1:27" ht="15.6" hidden="1">
      <c r="A67" s="82"/>
      <c r="B67" s="78"/>
      <c r="C67" s="193"/>
      <c r="D67" s="193"/>
      <c r="E67" s="93"/>
      <c r="F67" s="93"/>
      <c r="G67" s="145"/>
      <c r="H67" s="10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spans="1:27" ht="15.6">
      <c r="A68" s="82"/>
      <c r="B68" s="78">
        <v>2.2999999999999998</v>
      </c>
      <c r="C68" s="193"/>
      <c r="D68" s="193" t="s">
        <v>728</v>
      </c>
      <c r="E68" s="93"/>
      <c r="F68" s="93"/>
      <c r="G68" s="145"/>
      <c r="H68" s="103">
        <f>AVERAGE(G70:G71)</f>
        <v>4</v>
      </c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spans="1:27" ht="15.6" hidden="1">
      <c r="A69" s="82"/>
      <c r="B69" s="193"/>
      <c r="C69" s="193"/>
      <c r="D69" s="193"/>
      <c r="E69" s="92" t="s">
        <v>47</v>
      </c>
      <c r="F69" s="92" t="s">
        <v>10</v>
      </c>
      <c r="G69" s="133" t="s">
        <v>306</v>
      </c>
      <c r="H69" s="160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spans="1:27" ht="15.6" hidden="1">
      <c r="A70" s="82"/>
      <c r="B70" s="193"/>
      <c r="C70" s="193" t="s">
        <v>307</v>
      </c>
      <c r="D70" s="193" t="s">
        <v>726</v>
      </c>
      <c r="E70" s="92">
        <v>4</v>
      </c>
      <c r="F70" s="92" t="s">
        <v>285</v>
      </c>
      <c r="G70" s="133">
        <f t="shared" ref="G70:G71" si="3">AVERAGE(E70:F70)</f>
        <v>4</v>
      </c>
      <c r="H70" s="160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 ht="15.6" hidden="1">
      <c r="A71" s="82"/>
      <c r="B71" s="193"/>
      <c r="C71" s="193" t="s">
        <v>309</v>
      </c>
      <c r="D71" s="193" t="s">
        <v>436</v>
      </c>
      <c r="E71" s="92" t="s">
        <v>285</v>
      </c>
      <c r="F71" s="92">
        <v>4</v>
      </c>
      <c r="G71" s="133">
        <f t="shared" si="3"/>
        <v>4</v>
      </c>
      <c r="H71" s="10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 ht="15.6" hidden="1">
      <c r="A72" s="82"/>
      <c r="B72" s="193" t="s">
        <v>311</v>
      </c>
      <c r="C72" s="193"/>
      <c r="D72" s="193" t="s">
        <v>724</v>
      </c>
      <c r="E72" s="93"/>
      <c r="F72" s="93"/>
      <c r="G72" s="145"/>
      <c r="H72" s="10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 ht="15.6" hidden="1">
      <c r="A73" s="82"/>
      <c r="B73" s="78"/>
      <c r="C73" s="193"/>
      <c r="D73" s="193"/>
      <c r="E73" s="93"/>
      <c r="F73" s="93"/>
      <c r="G73" s="145"/>
      <c r="H73" s="10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 ht="15.6">
      <c r="A74" s="82"/>
      <c r="B74" s="78">
        <v>2.4</v>
      </c>
      <c r="C74" s="193"/>
      <c r="D74" s="193" t="s">
        <v>729</v>
      </c>
      <c r="E74" s="93"/>
      <c r="F74" s="93"/>
      <c r="G74" s="145"/>
      <c r="H74" s="10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 ht="15.6" hidden="1">
      <c r="A75" s="82"/>
      <c r="B75" s="193"/>
      <c r="C75" s="193"/>
      <c r="D75" s="193"/>
      <c r="E75" s="92" t="s">
        <v>47</v>
      </c>
      <c r="F75" s="92" t="s">
        <v>10</v>
      </c>
      <c r="G75" s="133" t="s">
        <v>306</v>
      </c>
      <c r="H75" s="103">
        <f>AVERAGE(G76:G77)</f>
        <v>4</v>
      </c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 ht="15.6" hidden="1">
      <c r="A76" s="82"/>
      <c r="B76" s="193"/>
      <c r="C76" s="193" t="s">
        <v>307</v>
      </c>
      <c r="D76" s="193" t="s">
        <v>726</v>
      </c>
      <c r="E76" s="92">
        <v>4</v>
      </c>
      <c r="F76" s="92" t="s">
        <v>285</v>
      </c>
      <c r="G76" s="133">
        <f>AVERAGE(E76:F76)</f>
        <v>4</v>
      </c>
      <c r="H76" s="10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 ht="15.6" hidden="1">
      <c r="A77" s="82"/>
      <c r="B77" s="193"/>
      <c r="C77" s="193" t="s">
        <v>309</v>
      </c>
      <c r="D77" s="193" t="s">
        <v>436</v>
      </c>
      <c r="E77" s="92" t="s">
        <v>285</v>
      </c>
      <c r="F77" s="92">
        <v>4</v>
      </c>
      <c r="G77" s="133">
        <f t="shared" ref="G77" si="4">AVERAGE(E77:F77)</f>
        <v>4</v>
      </c>
      <c r="H77" s="10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15.6" hidden="1">
      <c r="A78" s="82"/>
      <c r="B78" s="193" t="s">
        <v>311</v>
      </c>
      <c r="C78" s="193"/>
      <c r="D78" s="193" t="s">
        <v>724</v>
      </c>
      <c r="E78" s="92"/>
      <c r="F78" s="92"/>
      <c r="G78" s="133"/>
      <c r="H78" s="10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6" hidden="1">
      <c r="A79" s="82"/>
      <c r="B79" s="78"/>
      <c r="C79" s="193"/>
      <c r="D79" s="193"/>
      <c r="E79" s="93"/>
      <c r="F79" s="93"/>
      <c r="G79" s="145"/>
      <c r="H79" s="10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5.6">
      <c r="A80" s="82"/>
      <c r="B80" s="78">
        <v>2.5</v>
      </c>
      <c r="C80" s="193"/>
      <c r="D80" s="193" t="s">
        <v>730</v>
      </c>
      <c r="E80" s="93"/>
      <c r="F80" s="93"/>
      <c r="G80" s="145"/>
      <c r="H80" s="103">
        <f>AVERAGE(G82:G83)</f>
        <v>4</v>
      </c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spans="1:27" ht="15.6" hidden="1">
      <c r="A81" s="82"/>
      <c r="B81" s="193"/>
      <c r="C81" s="193"/>
      <c r="D81" s="193"/>
      <c r="E81" s="92" t="s">
        <v>47</v>
      </c>
      <c r="F81" s="92" t="s">
        <v>10</v>
      </c>
      <c r="G81" s="133" t="s">
        <v>306</v>
      </c>
      <c r="H81" s="10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spans="1:27" ht="15.6" hidden="1">
      <c r="A82" s="82"/>
      <c r="B82" s="193"/>
      <c r="C82" s="193" t="s">
        <v>307</v>
      </c>
      <c r="D82" s="193" t="s">
        <v>726</v>
      </c>
      <c r="E82" s="92">
        <v>4</v>
      </c>
      <c r="F82" s="92" t="s">
        <v>285</v>
      </c>
      <c r="G82" s="133">
        <f t="shared" ref="G82:G83" si="5">AVERAGE(E82:F82)</f>
        <v>4</v>
      </c>
      <c r="H82" s="10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</row>
    <row r="83" spans="1:27" ht="15.6" hidden="1">
      <c r="A83" s="82"/>
      <c r="B83" s="193"/>
      <c r="C83" s="193" t="s">
        <v>309</v>
      </c>
      <c r="D83" s="193" t="s">
        <v>436</v>
      </c>
      <c r="E83" s="92" t="s">
        <v>285</v>
      </c>
      <c r="F83" s="92">
        <v>4</v>
      </c>
      <c r="G83" s="133">
        <f t="shared" si="5"/>
        <v>4</v>
      </c>
      <c r="H83" s="10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</row>
    <row r="84" spans="1:27" ht="15.6" hidden="1">
      <c r="A84" s="82"/>
      <c r="B84" s="193" t="s">
        <v>311</v>
      </c>
      <c r="C84" s="193"/>
      <c r="D84" s="193" t="s">
        <v>724</v>
      </c>
      <c r="E84" s="93"/>
      <c r="F84" s="93"/>
      <c r="G84" s="145"/>
      <c r="H84" s="10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</row>
    <row r="85" spans="1:27" ht="15.6" hidden="1">
      <c r="A85" s="82"/>
      <c r="B85" s="78"/>
      <c r="C85" s="193"/>
      <c r="D85" s="193"/>
      <c r="E85" s="93"/>
      <c r="F85" s="93"/>
      <c r="G85" s="145"/>
      <c r="H85" s="10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</row>
    <row r="86" spans="1:27" ht="15.6">
      <c r="A86" s="82"/>
      <c r="B86" s="78">
        <v>2.6</v>
      </c>
      <c r="C86" s="193"/>
      <c r="D86" s="193" t="s">
        <v>731</v>
      </c>
      <c r="E86" s="93"/>
      <c r="F86" s="93"/>
      <c r="G86" s="145"/>
      <c r="H86" s="103">
        <f>AVERAGE(G88:G89)</f>
        <v>4</v>
      </c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</row>
    <row r="87" spans="1:27" ht="15.6" hidden="1">
      <c r="A87" s="82"/>
      <c r="B87" s="193"/>
      <c r="C87" s="193"/>
      <c r="D87" s="193"/>
      <c r="E87" s="92" t="s">
        <v>47</v>
      </c>
      <c r="F87" s="92" t="s">
        <v>10</v>
      </c>
      <c r="G87" s="133" t="s">
        <v>306</v>
      </c>
      <c r="H87" s="10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</row>
    <row r="88" spans="1:27" ht="15.6" hidden="1">
      <c r="A88" s="82"/>
      <c r="B88" s="193"/>
      <c r="C88" s="193" t="s">
        <v>307</v>
      </c>
      <c r="D88" s="193" t="s">
        <v>726</v>
      </c>
      <c r="E88" s="92">
        <v>4</v>
      </c>
      <c r="F88" s="92" t="s">
        <v>285</v>
      </c>
      <c r="G88" s="133">
        <f t="shared" ref="G88:G89" si="6">AVERAGE(E88:F88)</f>
        <v>4</v>
      </c>
      <c r="H88" s="10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</row>
    <row r="89" spans="1:27" ht="15.6" hidden="1">
      <c r="A89" s="82"/>
      <c r="B89" s="193"/>
      <c r="C89" s="193" t="s">
        <v>309</v>
      </c>
      <c r="D89" s="193" t="s">
        <v>436</v>
      </c>
      <c r="E89" s="92" t="s">
        <v>285</v>
      </c>
      <c r="F89" s="92">
        <v>4</v>
      </c>
      <c r="G89" s="133">
        <f t="shared" si="6"/>
        <v>4</v>
      </c>
      <c r="H89" s="10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</row>
    <row r="90" spans="1:27" ht="15.6" hidden="1">
      <c r="A90" s="82"/>
      <c r="B90" s="193" t="s">
        <v>311</v>
      </c>
      <c r="C90" s="193"/>
      <c r="D90" s="193" t="s">
        <v>724</v>
      </c>
      <c r="E90" s="92"/>
      <c r="F90" s="92"/>
      <c r="G90" s="133"/>
      <c r="H90" s="10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</row>
    <row r="91" spans="1:27" ht="15.6" hidden="1">
      <c r="A91" s="82"/>
      <c r="B91" s="78"/>
      <c r="C91" s="193"/>
      <c r="D91" s="193"/>
      <c r="E91" s="93"/>
      <c r="F91" s="93"/>
      <c r="G91" s="145"/>
      <c r="H91" s="10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spans="1:27" ht="15.6">
      <c r="A92" s="82"/>
      <c r="B92" s="78">
        <v>2.7</v>
      </c>
      <c r="C92" s="193"/>
      <c r="D92" s="193" t="s">
        <v>732</v>
      </c>
      <c r="E92" s="93"/>
      <c r="F92" s="93"/>
      <c r="G92" s="145"/>
      <c r="H92" s="103">
        <f>AVERAGE(G94:G96)</f>
        <v>4</v>
      </c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spans="1:27" ht="15.6" hidden="1">
      <c r="A93" s="82"/>
      <c r="B93" s="193"/>
      <c r="C93" s="193"/>
      <c r="D93" s="193"/>
      <c r="E93" s="92" t="s">
        <v>47</v>
      </c>
      <c r="F93" s="92" t="s">
        <v>10</v>
      </c>
      <c r="G93" s="133" t="s">
        <v>306</v>
      </c>
      <c r="H93" s="10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spans="1:27" ht="15.6" hidden="1">
      <c r="A94" s="82"/>
      <c r="B94" s="193"/>
      <c r="C94" s="193" t="s">
        <v>307</v>
      </c>
      <c r="D94" s="193" t="s">
        <v>733</v>
      </c>
      <c r="E94" s="92">
        <v>4</v>
      </c>
      <c r="F94" s="92" t="s">
        <v>285</v>
      </c>
      <c r="G94" s="133">
        <f t="shared" ref="G94:G96" si="7">AVERAGE(E94:F94)</f>
        <v>4</v>
      </c>
      <c r="H94" s="10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spans="1:27" ht="15.6" hidden="1">
      <c r="A95" s="82"/>
      <c r="B95" s="193"/>
      <c r="C95" s="193" t="s">
        <v>309</v>
      </c>
      <c r="D95" s="194" t="s">
        <v>734</v>
      </c>
      <c r="E95" s="92" t="s">
        <v>285</v>
      </c>
      <c r="F95" s="92">
        <v>4</v>
      </c>
      <c r="G95" s="133">
        <f t="shared" si="7"/>
        <v>4</v>
      </c>
      <c r="H95" s="10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</row>
    <row r="96" spans="1:27" ht="15.6" hidden="1">
      <c r="A96" s="82"/>
      <c r="B96" s="193"/>
      <c r="C96" s="193" t="s">
        <v>316</v>
      </c>
      <c r="D96" s="193" t="s">
        <v>735</v>
      </c>
      <c r="E96" s="92" t="s">
        <v>285</v>
      </c>
      <c r="F96" s="92">
        <v>4</v>
      </c>
      <c r="G96" s="133">
        <f t="shared" si="7"/>
        <v>4</v>
      </c>
      <c r="H96" s="10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</row>
    <row r="97" spans="1:27" ht="15.6" hidden="1">
      <c r="A97" s="82"/>
      <c r="B97" s="193" t="s">
        <v>311</v>
      </c>
      <c r="C97" s="193"/>
      <c r="D97" s="193" t="s">
        <v>724</v>
      </c>
      <c r="E97" s="92"/>
      <c r="F97" s="92"/>
      <c r="G97" s="133"/>
      <c r="H97" s="10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</row>
    <row r="98" spans="1:27" ht="15.6" hidden="1">
      <c r="A98" s="82"/>
      <c r="B98" s="78"/>
      <c r="C98" s="193"/>
      <c r="D98" s="193"/>
      <c r="E98" s="93"/>
      <c r="F98" s="93"/>
      <c r="G98" s="145"/>
      <c r="H98" s="10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</row>
    <row r="99" spans="1:27" ht="15.6">
      <c r="A99" s="82"/>
      <c r="B99" s="78">
        <v>2.8</v>
      </c>
      <c r="C99" s="193"/>
      <c r="D99" s="193" t="s">
        <v>736</v>
      </c>
      <c r="E99" s="93"/>
      <c r="F99" s="93"/>
      <c r="G99" s="145"/>
      <c r="H99" s="103">
        <f>AVERAGE(G101:G102)</f>
        <v>4</v>
      </c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</row>
    <row r="100" spans="1:27" ht="15.6" hidden="1">
      <c r="A100" s="82"/>
      <c r="B100" s="193"/>
      <c r="C100" s="193"/>
      <c r="D100" s="193"/>
      <c r="E100" s="92" t="s">
        <v>47</v>
      </c>
      <c r="F100" s="92" t="s">
        <v>10</v>
      </c>
      <c r="G100" s="133" t="s">
        <v>306</v>
      </c>
      <c r="H100" s="10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</row>
    <row r="101" spans="1:27" ht="15.6" hidden="1">
      <c r="A101" s="82"/>
      <c r="B101" s="193"/>
      <c r="C101" s="193" t="s">
        <v>307</v>
      </c>
      <c r="D101" s="193" t="s">
        <v>737</v>
      </c>
      <c r="E101" s="92">
        <v>4</v>
      </c>
      <c r="F101" s="92" t="s">
        <v>285</v>
      </c>
      <c r="G101" s="133">
        <f t="shared" ref="G101:G102" si="8">AVERAGE(E101:F101)</f>
        <v>4</v>
      </c>
      <c r="H101" s="10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spans="1:27" ht="15.6" hidden="1">
      <c r="A102" s="82"/>
      <c r="B102" s="193"/>
      <c r="C102" s="193" t="s">
        <v>309</v>
      </c>
      <c r="D102" s="193" t="s">
        <v>436</v>
      </c>
      <c r="E102" s="92" t="s">
        <v>285</v>
      </c>
      <c r="F102" s="92">
        <v>4</v>
      </c>
      <c r="G102" s="133">
        <f t="shared" si="8"/>
        <v>4</v>
      </c>
      <c r="H102" s="10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spans="1:27" ht="15.6" hidden="1">
      <c r="A103" s="82"/>
      <c r="B103" s="193" t="s">
        <v>311</v>
      </c>
      <c r="C103" s="193"/>
      <c r="D103" s="193" t="s">
        <v>724</v>
      </c>
      <c r="E103" s="92"/>
      <c r="F103" s="92"/>
      <c r="G103" s="133"/>
      <c r="H103" s="10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spans="1:27" ht="15.6" hidden="1">
      <c r="A104" s="82"/>
      <c r="B104" s="78"/>
      <c r="C104" s="193"/>
      <c r="D104" s="193"/>
      <c r="E104" s="93"/>
      <c r="F104" s="93"/>
      <c r="G104" s="145"/>
      <c r="H104" s="10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</row>
    <row r="105" spans="1:27" ht="15.6">
      <c r="A105" s="82"/>
      <c r="B105" s="78">
        <v>2.9</v>
      </c>
      <c r="C105" s="193"/>
      <c r="D105" s="193" t="s">
        <v>738</v>
      </c>
      <c r="E105" s="93"/>
      <c r="F105" s="93"/>
      <c r="G105" s="145"/>
      <c r="H105" s="103">
        <f>AVERAGE(G107:G108)</f>
        <v>4</v>
      </c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</row>
    <row r="106" spans="1:27" ht="15.6" hidden="1">
      <c r="A106" s="82"/>
      <c r="B106" s="193"/>
      <c r="C106" s="193"/>
      <c r="D106" s="193"/>
      <c r="E106" s="92" t="s">
        <v>47</v>
      </c>
      <c r="F106" s="92" t="s">
        <v>10</v>
      </c>
      <c r="G106" s="133" t="s">
        <v>306</v>
      </c>
      <c r="H106" s="10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</row>
    <row r="107" spans="1:27" ht="15.6" hidden="1">
      <c r="A107" s="82"/>
      <c r="B107" s="193"/>
      <c r="C107" s="193" t="s">
        <v>307</v>
      </c>
      <c r="D107" s="193" t="s">
        <v>737</v>
      </c>
      <c r="E107" s="92">
        <v>4</v>
      </c>
      <c r="F107" s="92" t="s">
        <v>285</v>
      </c>
      <c r="G107" s="133">
        <f t="shared" ref="G107:G108" si="9">AVERAGE(E107:F107)</f>
        <v>4</v>
      </c>
      <c r="H107" s="10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</row>
    <row r="108" spans="1:27" ht="15.6" hidden="1">
      <c r="A108" s="82"/>
      <c r="B108" s="193"/>
      <c r="C108" s="193" t="s">
        <v>309</v>
      </c>
      <c r="D108" s="193" t="s">
        <v>436</v>
      </c>
      <c r="E108" s="92" t="s">
        <v>285</v>
      </c>
      <c r="F108" s="92">
        <v>4</v>
      </c>
      <c r="G108" s="133">
        <f t="shared" si="9"/>
        <v>4</v>
      </c>
      <c r="H108" s="10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</row>
    <row r="109" spans="1:27" ht="15.6" hidden="1">
      <c r="A109" s="82"/>
      <c r="B109" s="193" t="s">
        <v>311</v>
      </c>
      <c r="C109" s="193"/>
      <c r="D109" s="193" t="s">
        <v>724</v>
      </c>
      <c r="E109" s="92"/>
      <c r="F109" s="92"/>
      <c r="G109" s="133"/>
      <c r="H109" s="10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</row>
    <row r="110" spans="1:27" ht="15.6" hidden="1">
      <c r="A110" s="82"/>
      <c r="B110" s="193"/>
      <c r="C110" s="193"/>
      <c r="D110" s="193"/>
      <c r="E110" s="92"/>
      <c r="F110" s="92"/>
      <c r="G110" s="133"/>
      <c r="H110" s="10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</row>
    <row r="111" spans="1:27" ht="15.6">
      <c r="A111" s="82"/>
      <c r="B111" s="87" t="s">
        <v>465</v>
      </c>
      <c r="C111" s="193"/>
      <c r="D111" s="193" t="s">
        <v>739</v>
      </c>
      <c r="E111" s="93"/>
      <c r="F111" s="93"/>
      <c r="G111" s="145"/>
      <c r="H111" s="103">
        <f ca="1">AVERAGE(G113:G116)</f>
        <v>2</v>
      </c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</row>
    <row r="112" spans="1:27" ht="15.6" hidden="1">
      <c r="A112" s="82"/>
      <c r="B112" s="193"/>
      <c r="C112" s="193"/>
      <c r="D112" s="193"/>
      <c r="E112" s="92"/>
      <c r="F112" s="92" t="s">
        <v>10</v>
      </c>
      <c r="G112" s="133" t="s">
        <v>306</v>
      </c>
      <c r="H112" s="103"/>
      <c r="I112" s="193"/>
      <c r="J112" s="194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</row>
    <row r="113" spans="1:27" ht="15.6" hidden="1">
      <c r="A113" s="82"/>
      <c r="B113" s="193"/>
      <c r="C113" s="193" t="s">
        <v>307</v>
      </c>
      <c r="D113" s="193" t="s">
        <v>740</v>
      </c>
      <c r="E113" s="92"/>
      <c r="F113" s="92">
        <v>4</v>
      </c>
      <c r="G113" s="133">
        <f ca="1">AVERAGE(F113:J113)</f>
        <v>2</v>
      </c>
      <c r="H113" s="103"/>
      <c r="I113" s="193"/>
      <c r="J113" s="194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</row>
    <row r="114" spans="1:27" ht="15.6" hidden="1">
      <c r="A114" s="82"/>
      <c r="B114" s="193"/>
      <c r="C114" s="193" t="s">
        <v>309</v>
      </c>
      <c r="D114" s="193" t="s">
        <v>727</v>
      </c>
      <c r="E114" s="92"/>
      <c r="F114" s="92">
        <v>4</v>
      </c>
      <c r="G114" s="133">
        <f ca="1">AVERAGE(F114:J114)</f>
        <v>2</v>
      </c>
      <c r="H114" s="103"/>
      <c r="I114" s="193"/>
      <c r="J114" s="194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  <row r="115" spans="1:27" ht="15.6" hidden="1">
      <c r="A115" s="82"/>
      <c r="B115" s="193"/>
      <c r="C115" s="193" t="s">
        <v>316</v>
      </c>
      <c r="D115" s="193" t="s">
        <v>741</v>
      </c>
      <c r="E115" s="92"/>
      <c r="F115" s="92">
        <v>4</v>
      </c>
      <c r="G115" s="133">
        <f ca="1">AVERAGE(F115:J115)</f>
        <v>2</v>
      </c>
      <c r="H115" s="103"/>
      <c r="I115" s="193"/>
      <c r="J115" s="194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spans="1:27" ht="15.6" hidden="1">
      <c r="A116" s="82"/>
      <c r="B116" s="193"/>
      <c r="C116" s="193" t="s">
        <v>318</v>
      </c>
      <c r="D116" s="193" t="s">
        <v>742</v>
      </c>
      <c r="E116" s="92"/>
      <c r="F116" s="92">
        <v>4</v>
      </c>
      <c r="G116" s="133">
        <f ca="1">AVERAGE(F116:J116)</f>
        <v>2</v>
      </c>
      <c r="H116" s="103"/>
      <c r="I116" s="193"/>
      <c r="J116" s="194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spans="1:27" ht="15.6" hidden="1">
      <c r="A117" s="82"/>
      <c r="B117" s="193" t="s">
        <v>311</v>
      </c>
      <c r="C117" s="193"/>
      <c r="D117" s="193" t="s">
        <v>653</v>
      </c>
      <c r="E117" s="92"/>
      <c r="F117" s="92"/>
      <c r="G117" s="133"/>
      <c r="H117" s="10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spans="1:27" ht="15.6" hidden="1">
      <c r="A118" s="82"/>
      <c r="B118" s="78"/>
      <c r="C118" s="193"/>
      <c r="D118" s="193"/>
      <c r="E118" s="93"/>
      <c r="F118" s="93"/>
      <c r="G118" s="145"/>
      <c r="H118" s="10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spans="1:27" ht="15.6">
      <c r="A119" s="82"/>
      <c r="B119" s="78">
        <v>2.11</v>
      </c>
      <c r="C119" s="193"/>
      <c r="D119" s="193" t="s">
        <v>743</v>
      </c>
      <c r="E119" s="93"/>
      <c r="F119" s="93"/>
      <c r="G119" s="145"/>
      <c r="H119" s="103">
        <f>AVERAGE(G121:G124)</f>
        <v>4</v>
      </c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</row>
    <row r="120" spans="1:27" ht="15.6" hidden="1">
      <c r="A120" s="82"/>
      <c r="B120" s="193"/>
      <c r="C120" s="193"/>
      <c r="D120" s="193"/>
      <c r="E120" s="92" t="s">
        <v>47</v>
      </c>
      <c r="F120" s="92" t="s">
        <v>10</v>
      </c>
      <c r="G120" s="133" t="s">
        <v>306</v>
      </c>
      <c r="H120" s="10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</row>
    <row r="121" spans="1:27" ht="15.6" hidden="1">
      <c r="A121" s="82"/>
      <c r="B121" s="193"/>
      <c r="C121" s="193" t="s">
        <v>307</v>
      </c>
      <c r="D121" s="193" t="s">
        <v>742</v>
      </c>
      <c r="E121" s="92">
        <v>4</v>
      </c>
      <c r="F121" s="92" t="s">
        <v>285</v>
      </c>
      <c r="G121" s="133">
        <f t="shared" ref="G121:G122" si="10">AVERAGE(E121:F121)</f>
        <v>4</v>
      </c>
      <c r="H121" s="10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</row>
    <row r="122" spans="1:27" ht="15.6" hidden="1">
      <c r="A122" s="82"/>
      <c r="B122" s="193"/>
      <c r="C122" s="193" t="s">
        <v>309</v>
      </c>
      <c r="D122" s="193" t="s">
        <v>744</v>
      </c>
      <c r="E122" s="92" t="s">
        <v>285</v>
      </c>
      <c r="F122" s="92">
        <v>4</v>
      </c>
      <c r="G122" s="133">
        <f t="shared" si="10"/>
        <v>4</v>
      </c>
      <c r="H122" s="10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</row>
    <row r="123" spans="1:27" ht="15.6" hidden="1">
      <c r="A123" s="82"/>
      <c r="B123" s="78"/>
      <c r="C123" s="193" t="s">
        <v>316</v>
      </c>
      <c r="D123" s="193" t="s">
        <v>745</v>
      </c>
      <c r="E123" s="92" t="s">
        <v>285</v>
      </c>
      <c r="F123" s="92">
        <v>4</v>
      </c>
      <c r="G123" s="133">
        <f t="shared" ref="G123:G124" si="11">AVERAGE(E123:F123)</f>
        <v>4</v>
      </c>
      <c r="H123" s="10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</row>
    <row r="124" spans="1:27" ht="15.6" hidden="1">
      <c r="A124" s="82"/>
      <c r="B124" s="78"/>
      <c r="C124" s="193" t="s">
        <v>318</v>
      </c>
      <c r="D124" s="193" t="s">
        <v>746</v>
      </c>
      <c r="E124" s="92" t="s">
        <v>285</v>
      </c>
      <c r="F124" s="92">
        <v>4</v>
      </c>
      <c r="G124" s="133">
        <f t="shared" si="11"/>
        <v>4</v>
      </c>
      <c r="H124" s="10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</row>
    <row r="125" spans="1:27" ht="15.6" hidden="1">
      <c r="A125" s="82"/>
      <c r="B125" s="78" t="s">
        <v>311</v>
      </c>
      <c r="C125" s="193"/>
      <c r="D125" s="193" t="s">
        <v>653</v>
      </c>
      <c r="E125" s="93"/>
      <c r="F125" s="93"/>
      <c r="G125" s="145"/>
      <c r="H125" s="10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spans="1:27" ht="15.6" hidden="1">
      <c r="A126" s="82"/>
      <c r="B126" s="78"/>
      <c r="C126" s="193"/>
      <c r="D126" s="193"/>
      <c r="E126" s="93"/>
      <c r="F126" s="93"/>
      <c r="G126" s="145"/>
      <c r="H126" s="10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spans="1:27" ht="15.6">
      <c r="A127" s="82"/>
      <c r="B127" s="78">
        <v>2.12</v>
      </c>
      <c r="C127" s="193"/>
      <c r="D127" s="193" t="s">
        <v>747</v>
      </c>
      <c r="E127" s="93"/>
      <c r="F127" s="93"/>
      <c r="G127" s="145"/>
      <c r="H127" s="103">
        <f>AVERAGE(G129:G132)</f>
        <v>4</v>
      </c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spans="1:27" ht="15.6" hidden="1">
      <c r="A128" s="82"/>
      <c r="B128" s="193"/>
      <c r="C128" s="193"/>
      <c r="D128" s="193"/>
      <c r="E128" s="92" t="s">
        <v>47</v>
      </c>
      <c r="F128" s="92" t="s">
        <v>10</v>
      </c>
      <c r="G128" s="133" t="s">
        <v>306</v>
      </c>
      <c r="H128" s="10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</row>
    <row r="129" spans="1:27" ht="15.6" hidden="1">
      <c r="A129" s="82"/>
      <c r="B129" s="193"/>
      <c r="C129" s="193" t="s">
        <v>307</v>
      </c>
      <c r="D129" s="193" t="s">
        <v>748</v>
      </c>
      <c r="E129" s="92" t="s">
        <v>285</v>
      </c>
      <c r="F129" s="92">
        <v>4</v>
      </c>
      <c r="G129" s="133">
        <f>AVERAGE(E129:F129)</f>
        <v>4</v>
      </c>
      <c r="H129" s="10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</row>
    <row r="130" spans="1:27" ht="15.6" hidden="1">
      <c r="A130" s="82"/>
      <c r="B130" s="193"/>
      <c r="C130" s="193" t="s">
        <v>309</v>
      </c>
      <c r="D130" s="193" t="s">
        <v>749</v>
      </c>
      <c r="E130" s="92" t="s">
        <v>285</v>
      </c>
      <c r="F130" s="92">
        <v>4</v>
      </c>
      <c r="G130" s="133">
        <f>AVERAGE(E130:F130)</f>
        <v>4</v>
      </c>
      <c r="H130" s="10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</row>
    <row r="131" spans="1:27" ht="15.6" hidden="1">
      <c r="A131" s="82"/>
      <c r="B131" s="193"/>
      <c r="C131" s="193" t="s">
        <v>316</v>
      </c>
      <c r="D131" s="193" t="s">
        <v>750</v>
      </c>
      <c r="E131" s="92" t="s">
        <v>285</v>
      </c>
      <c r="F131" s="92">
        <v>4</v>
      </c>
      <c r="G131" s="133">
        <f>AVERAGE(E131:F131)</f>
        <v>4</v>
      </c>
      <c r="H131" s="10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</row>
    <row r="132" spans="1:27" ht="15.6" hidden="1">
      <c r="A132" s="82"/>
      <c r="B132" s="193"/>
      <c r="C132" s="193" t="s">
        <v>318</v>
      </c>
      <c r="D132" s="193" t="s">
        <v>751</v>
      </c>
      <c r="E132" s="92">
        <v>4</v>
      </c>
      <c r="F132" s="92" t="s">
        <v>285</v>
      </c>
      <c r="G132" s="133">
        <f>AVERAGE(E132:F132)</f>
        <v>4</v>
      </c>
      <c r="H132" s="10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</row>
    <row r="133" spans="1:27" ht="15.6" hidden="1">
      <c r="A133" s="82"/>
      <c r="B133" s="78" t="s">
        <v>311</v>
      </c>
      <c r="C133" s="193"/>
      <c r="D133" s="193"/>
      <c r="E133" s="93"/>
      <c r="F133" s="93"/>
      <c r="G133" s="145"/>
      <c r="H133" s="10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</row>
    <row r="134" spans="1:27" ht="15.6" hidden="1">
      <c r="A134" s="82"/>
      <c r="B134" s="78"/>
      <c r="C134" s="193"/>
      <c r="D134" s="193"/>
      <c r="E134" s="93"/>
      <c r="F134" s="93"/>
      <c r="G134" s="145"/>
      <c r="H134" s="10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</row>
    <row r="135" spans="1:27" ht="15.6">
      <c r="A135" s="82"/>
      <c r="B135" s="78">
        <v>2.13</v>
      </c>
      <c r="C135" s="193"/>
      <c r="D135" s="193" t="s">
        <v>752</v>
      </c>
      <c r="E135" s="93"/>
      <c r="F135" s="93"/>
      <c r="G135" s="145"/>
      <c r="H135" s="103">
        <f>AVERAGE(G137:G142)</f>
        <v>4</v>
      </c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</row>
    <row r="136" spans="1:27" ht="15.6" hidden="1">
      <c r="A136" s="82"/>
      <c r="B136" s="193"/>
      <c r="C136" s="193"/>
      <c r="D136" s="193"/>
      <c r="E136" s="92" t="s">
        <v>47</v>
      </c>
      <c r="F136" s="92" t="s">
        <v>10</v>
      </c>
      <c r="G136" s="133" t="s">
        <v>306</v>
      </c>
      <c r="H136" s="10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</row>
    <row r="137" spans="1:27" ht="15.6" hidden="1">
      <c r="A137" s="82"/>
      <c r="B137" s="193"/>
      <c r="C137" s="193" t="s">
        <v>307</v>
      </c>
      <c r="D137" s="193" t="s">
        <v>430</v>
      </c>
      <c r="E137" s="92" t="s">
        <v>285</v>
      </c>
      <c r="F137" s="92">
        <v>4</v>
      </c>
      <c r="G137" s="133">
        <f t="shared" ref="G137" si="12">AVERAGE(E137:F137)</f>
        <v>4</v>
      </c>
      <c r="H137" s="10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</row>
    <row r="138" spans="1:27" ht="15.6" hidden="1">
      <c r="A138" s="82"/>
      <c r="B138" s="193"/>
      <c r="C138" s="193" t="s">
        <v>309</v>
      </c>
      <c r="D138" s="193" t="s">
        <v>350</v>
      </c>
      <c r="E138" s="92">
        <v>4</v>
      </c>
      <c r="F138" s="92" t="s">
        <v>285</v>
      </c>
      <c r="G138" s="133">
        <f>AVERAGE(E138:F138)</f>
        <v>4</v>
      </c>
      <c r="H138" s="10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</row>
    <row r="139" spans="1:27" ht="15.6" hidden="1">
      <c r="A139" s="82"/>
      <c r="B139" s="193"/>
      <c r="C139" s="193" t="s">
        <v>316</v>
      </c>
      <c r="D139" s="193" t="s">
        <v>349</v>
      </c>
      <c r="E139" s="92" t="s">
        <v>285</v>
      </c>
      <c r="F139" s="92">
        <v>4</v>
      </c>
      <c r="G139" s="133">
        <f>AVERAGE(E139:F139)</f>
        <v>4</v>
      </c>
      <c r="H139" s="10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spans="1:27" ht="15.6" hidden="1">
      <c r="A140" s="82"/>
      <c r="B140" s="193"/>
      <c r="C140" s="193" t="s">
        <v>318</v>
      </c>
      <c r="D140" s="193" t="s">
        <v>753</v>
      </c>
      <c r="E140" s="92" t="s">
        <v>285</v>
      </c>
      <c r="F140" s="92">
        <v>4</v>
      </c>
      <c r="G140" s="133">
        <f>AVERAGE(E140:F140)</f>
        <v>4</v>
      </c>
      <c r="H140" s="10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spans="1:27" ht="15.6" hidden="1">
      <c r="A141" s="82"/>
      <c r="B141" s="193"/>
      <c r="C141" s="193" t="s">
        <v>320</v>
      </c>
      <c r="D141" s="193" t="s">
        <v>754</v>
      </c>
      <c r="E141" s="92" t="s">
        <v>285</v>
      </c>
      <c r="F141" s="92">
        <v>4</v>
      </c>
      <c r="G141" s="133">
        <f>AVERAGE(E141:F141)</f>
        <v>4</v>
      </c>
      <c r="H141" s="10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spans="1:27" ht="15.6" hidden="1">
      <c r="A142" s="82"/>
      <c r="B142" s="193" t="s">
        <v>311</v>
      </c>
      <c r="C142" s="193"/>
      <c r="D142" s="193" t="s">
        <v>755</v>
      </c>
      <c r="E142" s="92"/>
      <c r="F142" s="92"/>
      <c r="G142" s="133"/>
      <c r="H142" s="10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</row>
    <row r="143" spans="1:27" ht="15.6" hidden="1">
      <c r="A143" s="82"/>
      <c r="B143" s="193"/>
      <c r="C143" s="193"/>
      <c r="D143" s="193"/>
      <c r="E143" s="92"/>
      <c r="F143" s="92"/>
      <c r="G143" s="133"/>
      <c r="H143" s="10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</row>
    <row r="144" spans="1:27" ht="15.6">
      <c r="A144" s="82"/>
      <c r="B144" s="78">
        <v>2.14</v>
      </c>
      <c r="C144" s="193"/>
      <c r="D144" s="193" t="s">
        <v>499</v>
      </c>
      <c r="E144" s="93"/>
      <c r="F144" s="93"/>
      <c r="G144" s="145"/>
      <c r="H144" s="103">
        <f>AVERAGE(G146)</f>
        <v>4</v>
      </c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</row>
    <row r="145" spans="1:27" ht="15.6" hidden="1">
      <c r="A145" s="82"/>
      <c r="B145" s="193"/>
      <c r="C145" s="193"/>
      <c r="D145" s="193"/>
      <c r="E145" s="194"/>
      <c r="F145" s="92" t="s">
        <v>10</v>
      </c>
      <c r="G145" s="133" t="s">
        <v>306</v>
      </c>
      <c r="H145" s="10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</row>
    <row r="146" spans="1:27" ht="15.6" hidden="1">
      <c r="A146" s="82"/>
      <c r="B146" s="193"/>
      <c r="C146" s="193" t="s">
        <v>307</v>
      </c>
      <c r="D146" s="193" t="s">
        <v>750</v>
      </c>
      <c r="E146" s="194"/>
      <c r="F146" s="92">
        <v>4</v>
      </c>
      <c r="G146" s="133">
        <f>AVERAGE(F146:F146)</f>
        <v>4</v>
      </c>
      <c r="H146" s="10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</row>
    <row r="147" spans="1:27" ht="15.6" hidden="1">
      <c r="A147" s="82"/>
      <c r="B147" s="78"/>
      <c r="C147" s="193"/>
      <c r="D147" s="193"/>
      <c r="E147" s="93"/>
      <c r="F147" s="93"/>
      <c r="G147" s="145"/>
      <c r="H147" s="10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</row>
    <row r="148" spans="1:27" ht="15.6">
      <c r="A148" s="82"/>
      <c r="B148" s="78">
        <v>2.15</v>
      </c>
      <c r="C148" s="193"/>
      <c r="D148" s="193" t="s">
        <v>756</v>
      </c>
      <c r="E148" s="93"/>
      <c r="F148" s="93"/>
      <c r="G148" s="145"/>
      <c r="H148" s="103">
        <f>AVERAGE(G150)</f>
        <v>4</v>
      </c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</row>
    <row r="149" spans="1:27" ht="15.6" hidden="1">
      <c r="A149" s="82"/>
      <c r="B149" s="193"/>
      <c r="C149" s="193"/>
      <c r="D149" s="193"/>
      <c r="E149" s="194"/>
      <c r="F149" s="92" t="s">
        <v>10</v>
      </c>
      <c r="G149" s="133" t="s">
        <v>306</v>
      </c>
      <c r="H149" s="10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</row>
    <row r="150" spans="1:27" ht="15.6" hidden="1">
      <c r="A150" s="82"/>
      <c r="B150" s="193"/>
      <c r="C150" s="193" t="s">
        <v>307</v>
      </c>
      <c r="D150" s="193" t="s">
        <v>757</v>
      </c>
      <c r="E150" s="194"/>
      <c r="F150" s="92">
        <v>4</v>
      </c>
      <c r="G150" s="133">
        <f>AVERAGE(F150:F150)</f>
        <v>4</v>
      </c>
      <c r="H150" s="10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</row>
    <row r="151" spans="1:27" ht="15.6" hidden="1">
      <c r="A151" s="82"/>
      <c r="B151" s="78"/>
      <c r="C151" s="193"/>
      <c r="D151" s="193"/>
      <c r="E151" s="93"/>
      <c r="F151" s="93"/>
      <c r="G151" s="145"/>
      <c r="H151" s="10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</row>
    <row r="152" spans="1:27" ht="15.6">
      <c r="A152" s="172"/>
      <c r="B152" s="173"/>
      <c r="C152" s="173"/>
      <c r="D152" s="173"/>
      <c r="E152" s="173"/>
      <c r="F152" s="173"/>
      <c r="G152" s="173"/>
      <c r="H152" s="174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</row>
    <row r="153" spans="1:27" ht="15.6">
      <c r="A153" s="127">
        <v>3</v>
      </c>
      <c r="B153" s="216" t="s">
        <v>758</v>
      </c>
      <c r="C153" s="217"/>
      <c r="D153" s="217"/>
      <c r="E153" s="218"/>
      <c r="F153" s="218"/>
      <c r="G153" s="219"/>
      <c r="H153" s="103">
        <f>AVERAGE(H154:H234)</f>
        <v>4</v>
      </c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</row>
    <row r="154" spans="1:27" ht="15.6">
      <c r="A154" s="82"/>
      <c r="B154" s="78">
        <v>3.1</v>
      </c>
      <c r="C154" s="193"/>
      <c r="D154" s="193" t="s">
        <v>759</v>
      </c>
      <c r="E154" s="93"/>
      <c r="F154" s="93"/>
      <c r="G154" s="145"/>
      <c r="H154" s="103">
        <f>AVERAGE(G156:G157)</f>
        <v>4</v>
      </c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</row>
    <row r="155" spans="1:27" ht="15.6" hidden="1">
      <c r="A155" s="82"/>
      <c r="B155" s="193"/>
      <c r="C155" s="193"/>
      <c r="D155" s="193"/>
      <c r="E155" s="92" t="s">
        <v>47</v>
      </c>
      <c r="F155" s="92" t="s">
        <v>10</v>
      </c>
      <c r="G155" s="133" t="s">
        <v>306</v>
      </c>
      <c r="H155" s="160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</row>
    <row r="156" spans="1:27" ht="15.6" hidden="1">
      <c r="A156" s="82"/>
      <c r="B156" s="193"/>
      <c r="C156" s="193" t="s">
        <v>307</v>
      </c>
      <c r="D156" s="193" t="s">
        <v>726</v>
      </c>
      <c r="E156" s="92">
        <v>4</v>
      </c>
      <c r="F156" s="92" t="s">
        <v>285</v>
      </c>
      <c r="G156" s="133">
        <f>AVERAGE(E156:F156)</f>
        <v>4</v>
      </c>
      <c r="H156" s="160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</row>
    <row r="157" spans="1:27" ht="15.6" hidden="1">
      <c r="A157" s="82"/>
      <c r="B157" s="193"/>
      <c r="C157" s="193" t="s">
        <v>309</v>
      </c>
      <c r="D157" s="193" t="s">
        <v>727</v>
      </c>
      <c r="E157" s="92" t="s">
        <v>285</v>
      </c>
      <c r="F157" s="92">
        <v>4</v>
      </c>
      <c r="G157" s="133">
        <f>AVERAGE(E157:F157)</f>
        <v>4</v>
      </c>
      <c r="H157" s="10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</row>
    <row r="158" spans="1:27" ht="15.6" hidden="1">
      <c r="A158" s="82"/>
      <c r="B158" s="193" t="s">
        <v>311</v>
      </c>
      <c r="C158" s="193"/>
      <c r="D158" s="193" t="s">
        <v>760</v>
      </c>
      <c r="E158" s="92"/>
      <c r="F158" s="92"/>
      <c r="G158" s="133"/>
      <c r="H158" s="10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</row>
    <row r="159" spans="1:27" ht="15.6" hidden="1">
      <c r="A159" s="82"/>
      <c r="B159" s="193"/>
      <c r="C159" s="193"/>
      <c r="D159" s="193"/>
      <c r="E159" s="92"/>
      <c r="F159" s="92"/>
      <c r="G159" s="133"/>
      <c r="H159" s="10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</row>
    <row r="160" spans="1:27" ht="15.6">
      <c r="A160" s="82"/>
      <c r="B160" s="193">
        <v>3.2</v>
      </c>
      <c r="C160" s="193"/>
      <c r="D160" s="193" t="s">
        <v>761</v>
      </c>
      <c r="E160" s="93"/>
      <c r="F160" s="93"/>
      <c r="G160" s="145"/>
      <c r="H160" s="103">
        <f>AVERAGE(G162:G163)</f>
        <v>4</v>
      </c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</row>
    <row r="161" spans="1:27" ht="15.6" hidden="1">
      <c r="A161" s="82"/>
      <c r="B161" s="193"/>
      <c r="C161" s="193"/>
      <c r="D161" s="193"/>
      <c r="E161" s="92" t="s">
        <v>47</v>
      </c>
      <c r="F161" s="92" t="s">
        <v>10</v>
      </c>
      <c r="G161" s="133" t="s">
        <v>306</v>
      </c>
      <c r="H161" s="160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</row>
    <row r="162" spans="1:27" ht="15.6" hidden="1">
      <c r="A162" s="82"/>
      <c r="B162" s="193"/>
      <c r="C162" s="193" t="s">
        <v>307</v>
      </c>
      <c r="D162" s="193" t="s">
        <v>726</v>
      </c>
      <c r="E162" s="92">
        <v>4</v>
      </c>
      <c r="F162" s="92" t="s">
        <v>285</v>
      </c>
      <c r="G162" s="133">
        <f>AVERAGE(E162:F162)</f>
        <v>4</v>
      </c>
      <c r="H162" s="160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</row>
    <row r="163" spans="1:27" ht="15.6" hidden="1">
      <c r="A163" s="82"/>
      <c r="B163" s="193"/>
      <c r="C163" s="193" t="s">
        <v>309</v>
      </c>
      <c r="D163" s="193" t="s">
        <v>727</v>
      </c>
      <c r="E163" s="92" t="s">
        <v>285</v>
      </c>
      <c r="F163" s="92">
        <v>4</v>
      </c>
      <c r="G163" s="133">
        <f>AVERAGE(E163:F163)</f>
        <v>4</v>
      </c>
      <c r="H163" s="10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</row>
    <row r="164" spans="1:27" ht="15.6" hidden="1">
      <c r="A164" s="82"/>
      <c r="B164" s="193" t="s">
        <v>311</v>
      </c>
      <c r="C164" s="193"/>
      <c r="D164" s="193" t="s">
        <v>760</v>
      </c>
      <c r="E164" s="92"/>
      <c r="F164" s="92"/>
      <c r="G164" s="133"/>
      <c r="H164" s="10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</row>
    <row r="165" spans="1:27" ht="15.6" hidden="1">
      <c r="A165" s="82"/>
      <c r="B165" s="193"/>
      <c r="C165" s="193"/>
      <c r="D165" s="193"/>
      <c r="E165" s="93"/>
      <c r="F165" s="93"/>
      <c r="G165" s="145"/>
      <c r="H165" s="10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</row>
    <row r="166" spans="1:27" ht="15.6">
      <c r="A166" s="82"/>
      <c r="B166" s="193">
        <v>3.3</v>
      </c>
      <c r="C166" s="193"/>
      <c r="D166" s="193" t="s">
        <v>762</v>
      </c>
      <c r="E166" s="93"/>
      <c r="F166" s="93"/>
      <c r="G166" s="145"/>
      <c r="H166" s="103">
        <f>AVERAGE(G168)</f>
        <v>4</v>
      </c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</row>
    <row r="167" spans="1:27" ht="15.6" hidden="1">
      <c r="A167" s="82"/>
      <c r="B167" s="193"/>
      <c r="C167" s="193"/>
      <c r="D167" s="193"/>
      <c r="E167" s="92" t="s">
        <v>47</v>
      </c>
      <c r="F167" s="92" t="s">
        <v>10</v>
      </c>
      <c r="G167" s="133" t="s">
        <v>306</v>
      </c>
      <c r="H167" s="160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</row>
    <row r="168" spans="1:27" ht="15.6" hidden="1">
      <c r="A168" s="82"/>
      <c r="B168" s="193"/>
      <c r="C168" s="193" t="s">
        <v>307</v>
      </c>
      <c r="D168" s="193" t="s">
        <v>763</v>
      </c>
      <c r="E168" s="92" t="s">
        <v>285</v>
      </c>
      <c r="F168" s="92">
        <v>4</v>
      </c>
      <c r="G168" s="133">
        <f>AVERAGE(E168:F168)</f>
        <v>4</v>
      </c>
      <c r="H168" s="160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</row>
    <row r="169" spans="1:27" ht="15.6" hidden="1">
      <c r="A169" s="82"/>
      <c r="B169" s="193" t="s">
        <v>311</v>
      </c>
      <c r="C169" s="193"/>
      <c r="D169" s="193" t="s">
        <v>764</v>
      </c>
      <c r="E169" s="92"/>
      <c r="F169" s="92"/>
      <c r="G169" s="133"/>
      <c r="H169" s="10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</row>
    <row r="170" spans="1:27" ht="15.6" hidden="1">
      <c r="A170" s="82"/>
      <c r="B170" s="193"/>
      <c r="C170" s="193"/>
      <c r="D170" s="193"/>
      <c r="E170" s="92"/>
      <c r="F170" s="92"/>
      <c r="G170" s="133"/>
      <c r="H170" s="10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</row>
    <row r="171" spans="1:27" ht="15.6">
      <c r="A171" s="82"/>
      <c r="B171" s="193">
        <v>3.4</v>
      </c>
      <c r="C171" s="193"/>
      <c r="D171" s="193" t="s">
        <v>765</v>
      </c>
      <c r="E171" s="93"/>
      <c r="F171" s="93"/>
      <c r="G171" s="145"/>
      <c r="H171" s="103">
        <f>AVERAGE(G173)</f>
        <v>4</v>
      </c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</row>
    <row r="172" spans="1:27" ht="15.6" hidden="1">
      <c r="A172" s="82"/>
      <c r="B172" s="78"/>
      <c r="C172" s="193"/>
      <c r="D172" s="193"/>
      <c r="E172" s="92" t="s">
        <v>47</v>
      </c>
      <c r="F172" s="92" t="s">
        <v>10</v>
      </c>
      <c r="G172" s="133" t="s">
        <v>306</v>
      </c>
      <c r="H172" s="160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</row>
    <row r="173" spans="1:27" ht="15.6" hidden="1">
      <c r="A173" s="82"/>
      <c r="B173" s="78"/>
      <c r="C173" s="193" t="s">
        <v>307</v>
      </c>
      <c r="D173" s="193" t="s">
        <v>763</v>
      </c>
      <c r="E173" s="92" t="s">
        <v>285</v>
      </c>
      <c r="F173" s="92">
        <v>4</v>
      </c>
      <c r="G173" s="133">
        <f>AVERAGE(E173:F173)</f>
        <v>4</v>
      </c>
      <c r="H173" s="160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</row>
    <row r="174" spans="1:27" ht="15.6" hidden="1">
      <c r="A174" s="82"/>
      <c r="B174" s="78" t="s">
        <v>311</v>
      </c>
      <c r="C174" s="193"/>
      <c r="D174" s="193"/>
      <c r="E174" s="93"/>
      <c r="F174" s="93"/>
      <c r="G174" s="93"/>
      <c r="H174" s="10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</row>
    <row r="175" spans="1:27" ht="15.6" hidden="1">
      <c r="A175" s="82"/>
      <c r="B175" s="78"/>
      <c r="C175" s="193"/>
      <c r="D175" s="193"/>
      <c r="E175" s="93"/>
      <c r="F175" s="93"/>
      <c r="G175" s="93"/>
      <c r="H175" s="10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</row>
    <row r="176" spans="1:27" ht="15.6">
      <c r="A176" s="82"/>
      <c r="B176" s="78">
        <v>3.5</v>
      </c>
      <c r="C176" s="193"/>
      <c r="D176" s="193" t="s">
        <v>766</v>
      </c>
      <c r="E176" s="93"/>
      <c r="F176" s="93"/>
      <c r="G176" s="93"/>
      <c r="H176" s="103">
        <f>AVERAGE(G178:G181)</f>
        <v>4</v>
      </c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</row>
    <row r="177" spans="1:27" ht="15.6" hidden="1">
      <c r="A177" s="82"/>
      <c r="B177" s="78"/>
      <c r="C177" s="193"/>
      <c r="D177" s="193"/>
      <c r="E177" s="92"/>
      <c r="F177" s="92" t="s">
        <v>10</v>
      </c>
      <c r="G177" s="92" t="s">
        <v>306</v>
      </c>
      <c r="H177" s="160"/>
      <c r="I177" s="193"/>
      <c r="J177" s="194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spans="1:27" ht="15.6" hidden="1">
      <c r="A178" s="82"/>
      <c r="B178" s="78"/>
      <c r="C178" s="193" t="s">
        <v>307</v>
      </c>
      <c r="D178" s="193" t="s">
        <v>767</v>
      </c>
      <c r="E178" s="92"/>
      <c r="F178" s="92">
        <v>4</v>
      </c>
      <c r="G178" s="133">
        <f>AVERAGE(E178:F178)</f>
        <v>4</v>
      </c>
      <c r="H178" s="160"/>
      <c r="I178" s="193"/>
      <c r="J178" s="194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</row>
    <row r="179" spans="1:27" ht="15.6" hidden="1">
      <c r="A179" s="82"/>
      <c r="B179" s="78"/>
      <c r="C179" s="193" t="s">
        <v>309</v>
      </c>
      <c r="D179" s="193" t="s">
        <v>768</v>
      </c>
      <c r="E179" s="93"/>
      <c r="F179" s="93">
        <v>4</v>
      </c>
      <c r="G179" s="133">
        <f t="shared" ref="G179:G181" si="13">AVERAGE(E179:F179)</f>
        <v>4</v>
      </c>
      <c r="H179" s="103"/>
      <c r="I179" s="193"/>
      <c r="J179" s="194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</row>
    <row r="180" spans="1:27" ht="15.6" hidden="1">
      <c r="A180" s="82"/>
      <c r="B180" s="78"/>
      <c r="C180" s="193" t="s">
        <v>316</v>
      </c>
      <c r="D180" s="193" t="s">
        <v>769</v>
      </c>
      <c r="E180" s="93"/>
      <c r="F180" s="93">
        <v>4</v>
      </c>
      <c r="G180" s="133">
        <f t="shared" si="13"/>
        <v>4</v>
      </c>
      <c r="H180" s="103"/>
      <c r="I180" s="193"/>
      <c r="J180" s="194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</row>
    <row r="181" spans="1:27" ht="15.6" hidden="1">
      <c r="A181" s="82"/>
      <c r="B181" s="78"/>
      <c r="C181" s="193" t="s">
        <v>318</v>
      </c>
      <c r="D181" s="193" t="s">
        <v>770</v>
      </c>
      <c r="E181" s="93"/>
      <c r="F181" s="93">
        <v>4</v>
      </c>
      <c r="G181" s="133">
        <f t="shared" si="13"/>
        <v>4</v>
      </c>
      <c r="H181" s="103"/>
      <c r="I181" s="193"/>
      <c r="J181" s="194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</row>
    <row r="182" spans="1:27" ht="15.6" hidden="1">
      <c r="A182" s="82"/>
      <c r="B182" s="78" t="s">
        <v>311</v>
      </c>
      <c r="C182" s="193"/>
      <c r="D182" s="193"/>
      <c r="E182" s="93"/>
      <c r="F182" s="93"/>
      <c r="G182" s="145"/>
      <c r="H182" s="10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</row>
    <row r="183" spans="1:27" ht="15.6" hidden="1">
      <c r="A183" s="82"/>
      <c r="B183" s="78"/>
      <c r="C183" s="193"/>
      <c r="D183" s="193"/>
      <c r="E183" s="93"/>
      <c r="F183" s="93"/>
      <c r="G183" s="145"/>
      <c r="H183" s="10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</row>
    <row r="184" spans="1:27" ht="15.6">
      <c r="A184" s="82"/>
      <c r="B184" s="78">
        <v>3.6</v>
      </c>
      <c r="C184" s="193"/>
      <c r="D184" s="193" t="s">
        <v>771</v>
      </c>
      <c r="E184" s="93"/>
      <c r="F184" s="93"/>
      <c r="G184" s="145"/>
      <c r="H184" s="103">
        <f>AVERAGE(G186:G190)</f>
        <v>4</v>
      </c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</row>
    <row r="185" spans="1:27" ht="15.6" hidden="1">
      <c r="A185" s="82"/>
      <c r="B185" s="78"/>
      <c r="C185" s="193"/>
      <c r="D185" s="193"/>
      <c r="E185" s="92"/>
      <c r="F185" s="92" t="s">
        <v>10</v>
      </c>
      <c r="G185" s="92" t="s">
        <v>306</v>
      </c>
      <c r="H185" s="160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</row>
    <row r="186" spans="1:27" ht="15.6" hidden="1">
      <c r="A186" s="82"/>
      <c r="B186" s="78"/>
      <c r="C186" s="193" t="s">
        <v>307</v>
      </c>
      <c r="D186" s="193" t="s">
        <v>772</v>
      </c>
      <c r="E186" s="92"/>
      <c r="F186" s="92">
        <v>4</v>
      </c>
      <c r="G186" s="133">
        <f>AVERAGE(E186:F186)</f>
        <v>4</v>
      </c>
      <c r="H186" s="160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</row>
    <row r="187" spans="1:27" ht="15.6" hidden="1">
      <c r="A187" s="82"/>
      <c r="B187" s="78"/>
      <c r="C187" s="193" t="s">
        <v>309</v>
      </c>
      <c r="D187" s="193" t="s">
        <v>773</v>
      </c>
      <c r="E187" s="93"/>
      <c r="F187" s="93">
        <v>4</v>
      </c>
      <c r="G187" s="133">
        <f t="shared" ref="G187:G189" si="14">AVERAGE(E187:F187)</f>
        <v>4</v>
      </c>
      <c r="H187" s="10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</row>
    <row r="188" spans="1:27" ht="15.6" hidden="1">
      <c r="A188" s="82"/>
      <c r="B188" s="78"/>
      <c r="C188" s="193" t="s">
        <v>316</v>
      </c>
      <c r="D188" s="193" t="s">
        <v>774</v>
      </c>
      <c r="E188" s="93"/>
      <c r="F188" s="93">
        <v>4</v>
      </c>
      <c r="G188" s="133">
        <f t="shared" si="14"/>
        <v>4</v>
      </c>
      <c r="H188" s="10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</row>
    <row r="189" spans="1:27" ht="15.6" hidden="1">
      <c r="A189" s="82"/>
      <c r="B189" s="78"/>
      <c r="C189" s="193" t="s">
        <v>318</v>
      </c>
      <c r="D189" s="193" t="s">
        <v>775</v>
      </c>
      <c r="E189" s="93"/>
      <c r="F189" s="93">
        <v>4</v>
      </c>
      <c r="G189" s="133">
        <f t="shared" si="14"/>
        <v>4</v>
      </c>
      <c r="H189" s="10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</row>
    <row r="190" spans="1:27" ht="15.6" hidden="1">
      <c r="A190" s="82"/>
      <c r="B190" s="78"/>
      <c r="C190" s="193" t="s">
        <v>320</v>
      </c>
      <c r="D190" s="193" t="s">
        <v>776</v>
      </c>
      <c r="E190" s="92"/>
      <c r="F190" s="93">
        <v>4</v>
      </c>
      <c r="G190" s="133">
        <f t="shared" ref="G190" si="15">AVERAGE(E190:F190)</f>
        <v>4</v>
      </c>
      <c r="H190" s="10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</row>
    <row r="191" spans="1:27" ht="15.6" hidden="1">
      <c r="A191" s="82"/>
      <c r="B191" s="78" t="s">
        <v>311</v>
      </c>
      <c r="C191" s="193"/>
      <c r="D191" s="193"/>
      <c r="E191" s="93"/>
      <c r="F191" s="93"/>
      <c r="G191" s="145"/>
      <c r="H191" s="10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</row>
    <row r="192" spans="1:27" ht="15.6" hidden="1">
      <c r="A192" s="82"/>
      <c r="B192" s="78"/>
      <c r="C192" s="193"/>
      <c r="D192" s="193"/>
      <c r="E192" s="93"/>
      <c r="F192" s="93"/>
      <c r="G192" s="145"/>
      <c r="H192" s="10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</row>
    <row r="193" spans="1:27" ht="15.6">
      <c r="A193" s="82"/>
      <c r="B193" s="78">
        <v>3.7</v>
      </c>
      <c r="C193" s="193"/>
      <c r="D193" s="193" t="s">
        <v>777</v>
      </c>
      <c r="E193" s="93"/>
      <c r="F193" s="93"/>
      <c r="G193" s="145"/>
      <c r="H193" s="103">
        <f>AVERAGE(G195:G197)</f>
        <v>4</v>
      </c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</row>
    <row r="194" spans="1:27" ht="15.6" hidden="1">
      <c r="A194" s="82"/>
      <c r="B194" s="78"/>
      <c r="C194" s="193"/>
      <c r="D194" s="193"/>
      <c r="E194" s="92" t="s">
        <v>47</v>
      </c>
      <c r="F194" s="92" t="s">
        <v>10</v>
      </c>
      <c r="G194" s="92" t="s">
        <v>306</v>
      </c>
      <c r="H194" s="160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</row>
    <row r="195" spans="1:27" ht="15.6" hidden="1">
      <c r="A195" s="82"/>
      <c r="B195" s="78"/>
      <c r="C195" s="193" t="s">
        <v>307</v>
      </c>
      <c r="D195" s="193" t="s">
        <v>778</v>
      </c>
      <c r="E195" s="92">
        <v>4</v>
      </c>
      <c r="F195" s="92" t="s">
        <v>285</v>
      </c>
      <c r="G195" s="133">
        <f>AVERAGE(E195:F195)</f>
        <v>4</v>
      </c>
      <c r="H195" s="160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</row>
    <row r="196" spans="1:27" ht="15.6" hidden="1">
      <c r="A196" s="82"/>
      <c r="B196" s="78"/>
      <c r="C196" s="193" t="s">
        <v>309</v>
      </c>
      <c r="D196" s="194" t="s">
        <v>734</v>
      </c>
      <c r="E196" s="93" t="s">
        <v>285</v>
      </c>
      <c r="F196" s="93">
        <v>4</v>
      </c>
      <c r="G196" s="133">
        <f t="shared" ref="G196:G197" si="16">AVERAGE(E196:F196)</f>
        <v>4</v>
      </c>
      <c r="H196" s="10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</row>
    <row r="197" spans="1:27" ht="15.6" hidden="1">
      <c r="A197" s="82"/>
      <c r="B197" s="78"/>
      <c r="C197" s="193" t="s">
        <v>316</v>
      </c>
      <c r="D197" s="193" t="s">
        <v>735</v>
      </c>
      <c r="E197" s="93" t="s">
        <v>285</v>
      </c>
      <c r="F197" s="93">
        <v>4</v>
      </c>
      <c r="G197" s="133">
        <f t="shared" si="16"/>
        <v>4</v>
      </c>
      <c r="H197" s="10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</row>
    <row r="198" spans="1:27" ht="15.6" hidden="1">
      <c r="A198" s="82"/>
      <c r="B198" s="78" t="s">
        <v>311</v>
      </c>
      <c r="C198" s="193"/>
      <c r="D198" s="193"/>
      <c r="E198" s="93"/>
      <c r="F198" s="93"/>
      <c r="G198" s="145"/>
      <c r="H198" s="10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</row>
    <row r="199" spans="1:27" ht="15.6" hidden="1">
      <c r="A199" s="82"/>
      <c r="B199" s="78"/>
      <c r="C199" s="193"/>
      <c r="D199" s="193"/>
      <c r="E199" s="93"/>
      <c r="F199" s="93"/>
      <c r="G199" s="145"/>
      <c r="H199" s="10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</row>
    <row r="200" spans="1:27" ht="15.6">
      <c r="A200" s="82"/>
      <c r="B200" s="78">
        <v>3.8</v>
      </c>
      <c r="C200" s="193"/>
      <c r="D200" s="193" t="s">
        <v>497</v>
      </c>
      <c r="E200" s="93"/>
      <c r="F200" s="93"/>
      <c r="G200" s="145"/>
      <c r="H200" s="103">
        <f>AVERAGE(G202)</f>
        <v>4</v>
      </c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</row>
    <row r="201" spans="1:27" ht="15.6" hidden="1">
      <c r="A201" s="82"/>
      <c r="B201" s="78"/>
      <c r="C201" s="193"/>
      <c r="D201" s="193"/>
      <c r="E201" s="92"/>
      <c r="F201" s="92" t="s">
        <v>10</v>
      </c>
      <c r="G201" s="133" t="s">
        <v>306</v>
      </c>
      <c r="H201" s="160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 spans="1:27" ht="15.6" hidden="1">
      <c r="A202" s="82"/>
      <c r="B202" s="78"/>
      <c r="C202" s="193" t="s">
        <v>307</v>
      </c>
      <c r="D202" s="193" t="s">
        <v>436</v>
      </c>
      <c r="E202" s="92"/>
      <c r="F202" s="92">
        <v>4</v>
      </c>
      <c r="G202" s="133">
        <f>AVERAGE(E202:F202)</f>
        <v>4</v>
      </c>
      <c r="H202" s="160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 spans="1:27" ht="15.6" hidden="1">
      <c r="A203" s="82"/>
      <c r="B203" s="78" t="s">
        <v>311</v>
      </c>
      <c r="C203" s="193"/>
      <c r="D203" s="193" t="s">
        <v>764</v>
      </c>
      <c r="E203" s="93"/>
      <c r="F203" s="93"/>
      <c r="G203" s="145"/>
      <c r="H203" s="10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 spans="1:27" ht="15.6" hidden="1">
      <c r="A204" s="82"/>
      <c r="B204" s="78"/>
      <c r="C204" s="193"/>
      <c r="D204" s="193"/>
      <c r="E204" s="93"/>
      <c r="F204" s="93"/>
      <c r="G204" s="145"/>
      <c r="H204" s="10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 spans="1:27" ht="15.6">
      <c r="A205" s="82"/>
      <c r="B205" s="78">
        <v>3.9</v>
      </c>
      <c r="C205" s="193"/>
      <c r="D205" s="193" t="s">
        <v>779</v>
      </c>
      <c r="E205" s="93"/>
      <c r="F205" s="93"/>
      <c r="G205" s="145"/>
      <c r="H205" s="103">
        <f>AVERAGE(G207)</f>
        <v>4</v>
      </c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 spans="1:27" ht="15.6" hidden="1">
      <c r="A206" s="82"/>
      <c r="B206" s="78"/>
      <c r="C206" s="193"/>
      <c r="D206" s="193"/>
      <c r="E206" s="92"/>
      <c r="F206" s="92" t="s">
        <v>10</v>
      </c>
      <c r="G206" s="133" t="s">
        <v>306</v>
      </c>
      <c r="H206" s="160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 spans="1:27" ht="15.6" hidden="1">
      <c r="A207" s="82"/>
      <c r="B207" s="78"/>
      <c r="C207" s="193" t="s">
        <v>307</v>
      </c>
      <c r="D207" s="193" t="s">
        <v>436</v>
      </c>
      <c r="E207" s="92"/>
      <c r="F207" s="92">
        <v>4</v>
      </c>
      <c r="G207" s="133">
        <f>AVERAGE(E207:F207)</f>
        <v>4</v>
      </c>
      <c r="H207" s="160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 spans="1:27" ht="15.6" hidden="1">
      <c r="A208" s="82"/>
      <c r="B208" s="78" t="s">
        <v>311</v>
      </c>
      <c r="C208" s="193"/>
      <c r="D208" s="193" t="s">
        <v>764</v>
      </c>
      <c r="E208" s="93"/>
      <c r="F208" s="93"/>
      <c r="G208" s="145"/>
      <c r="H208" s="10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 spans="1:27" ht="15.6" hidden="1">
      <c r="A209" s="82"/>
      <c r="B209" s="78"/>
      <c r="C209" s="193"/>
      <c r="D209" s="193"/>
      <c r="E209" s="93"/>
      <c r="F209" s="93"/>
      <c r="G209" s="145"/>
      <c r="H209" s="10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spans="1:27" ht="15.6">
      <c r="A210" s="82"/>
      <c r="B210" s="87" t="s">
        <v>780</v>
      </c>
      <c r="C210" s="193"/>
      <c r="D210" s="193" t="s">
        <v>781</v>
      </c>
      <c r="E210" s="93"/>
      <c r="F210" s="93"/>
      <c r="G210" s="145"/>
      <c r="H210" s="103">
        <f>AVERAGE(G212)</f>
        <v>4</v>
      </c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 spans="1:27" ht="15.6" hidden="1">
      <c r="A211" s="82"/>
      <c r="B211" s="193"/>
      <c r="C211" s="193"/>
      <c r="D211" s="193"/>
      <c r="E211" s="92"/>
      <c r="F211" s="92" t="s">
        <v>10</v>
      </c>
      <c r="G211" s="133" t="s">
        <v>306</v>
      </c>
      <c r="H211" s="160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 spans="1:27" ht="15.6" hidden="1">
      <c r="A212" s="82"/>
      <c r="B212" s="78"/>
      <c r="C212" s="193" t="s">
        <v>307</v>
      </c>
      <c r="D212" s="193" t="s">
        <v>436</v>
      </c>
      <c r="E212" s="92"/>
      <c r="F212" s="92">
        <v>4</v>
      </c>
      <c r="G212" s="133">
        <f>AVERAGE(E212:F212)</f>
        <v>4</v>
      </c>
      <c r="H212" s="160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 spans="1:27" ht="15.6" hidden="1">
      <c r="A213" s="82"/>
      <c r="B213" s="78" t="s">
        <v>311</v>
      </c>
      <c r="C213" s="193"/>
      <c r="D213" s="193" t="s">
        <v>764</v>
      </c>
      <c r="E213" s="92"/>
      <c r="F213" s="92"/>
      <c r="G213" s="133"/>
      <c r="H213" s="160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 spans="1:27" ht="15.6" hidden="1">
      <c r="A214" s="82"/>
      <c r="B214" s="193"/>
      <c r="C214" s="193"/>
      <c r="D214" s="193"/>
      <c r="E214" s="92"/>
      <c r="F214" s="92"/>
      <c r="G214" s="133"/>
      <c r="H214" s="10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 spans="1:27" ht="15.6">
      <c r="A215" s="82"/>
      <c r="B215" s="78">
        <v>3.11</v>
      </c>
      <c r="C215" s="193"/>
      <c r="D215" s="193" t="s">
        <v>782</v>
      </c>
      <c r="E215" s="93"/>
      <c r="F215" s="93"/>
      <c r="G215" s="145"/>
      <c r="H215" s="103">
        <f>AVERAGE(G217:G219)</f>
        <v>4</v>
      </c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 spans="1:27" ht="15.6" hidden="1">
      <c r="A216" s="82"/>
      <c r="B216" s="193"/>
      <c r="C216" s="193"/>
      <c r="D216" s="193"/>
      <c r="E216" s="92"/>
      <c r="F216" s="92" t="s">
        <v>10</v>
      </c>
      <c r="G216" s="92" t="s">
        <v>306</v>
      </c>
      <c r="H216" s="160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 spans="1:27" ht="15.6" hidden="1">
      <c r="A217" s="82"/>
      <c r="B217" s="193"/>
      <c r="C217" s="193" t="s">
        <v>307</v>
      </c>
      <c r="D217" s="193" t="s">
        <v>413</v>
      </c>
      <c r="E217" s="92"/>
      <c r="F217" s="92">
        <v>4</v>
      </c>
      <c r="G217" s="133">
        <f>AVERAGE(E217:F217)</f>
        <v>4</v>
      </c>
      <c r="H217" s="160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 spans="1:27" ht="15.6" hidden="1">
      <c r="A218" s="82"/>
      <c r="B218" s="193"/>
      <c r="C218" s="193" t="s">
        <v>309</v>
      </c>
      <c r="D218" s="193" t="s">
        <v>414</v>
      </c>
      <c r="E218" s="93"/>
      <c r="F218" s="93">
        <v>4</v>
      </c>
      <c r="G218" s="133">
        <f t="shared" ref="G218:G219" si="17">AVERAGE(E218:F218)</f>
        <v>4</v>
      </c>
      <c r="H218" s="10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 spans="1:27" ht="15.6" hidden="1">
      <c r="A219" s="82"/>
      <c r="B219" s="193"/>
      <c r="C219" s="193" t="s">
        <v>316</v>
      </c>
      <c r="D219" s="193" t="s">
        <v>783</v>
      </c>
      <c r="E219" s="93"/>
      <c r="F219" s="93">
        <v>4</v>
      </c>
      <c r="G219" s="133">
        <f t="shared" si="17"/>
        <v>4</v>
      </c>
      <c r="H219" s="10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 spans="1:27" ht="15.6" hidden="1">
      <c r="A220" s="82"/>
      <c r="B220" s="193" t="s">
        <v>311</v>
      </c>
      <c r="C220" s="193"/>
      <c r="D220" s="193"/>
      <c r="E220" s="92"/>
      <c r="F220" s="92"/>
      <c r="G220" s="133"/>
      <c r="H220" s="10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 spans="1:27" ht="15.6" hidden="1">
      <c r="A221" s="82"/>
      <c r="B221" s="193"/>
      <c r="C221" s="193"/>
      <c r="D221" s="193"/>
      <c r="E221" s="92"/>
      <c r="F221" s="92"/>
      <c r="G221" s="133"/>
      <c r="H221" s="10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 spans="1:27" ht="15.6">
      <c r="A222" s="82"/>
      <c r="B222" s="193">
        <v>3.12</v>
      </c>
      <c r="C222" s="193"/>
      <c r="D222" s="193" t="s">
        <v>784</v>
      </c>
      <c r="E222" s="93"/>
      <c r="F222" s="93"/>
      <c r="G222" s="145"/>
      <c r="H222" s="103">
        <f>AVERAGE(G224)</f>
        <v>4</v>
      </c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 spans="1:27" ht="15.6" hidden="1">
      <c r="A223" s="82"/>
      <c r="B223" s="193"/>
      <c r="C223" s="193"/>
      <c r="D223" s="193"/>
      <c r="E223" s="92"/>
      <c r="F223" s="92" t="s">
        <v>10</v>
      </c>
      <c r="G223" s="133" t="s">
        <v>306</v>
      </c>
      <c r="H223" s="160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 spans="1:27" ht="15.6" hidden="1">
      <c r="A224" s="82"/>
      <c r="B224" s="193"/>
      <c r="C224" s="193" t="s">
        <v>307</v>
      </c>
      <c r="D224" s="193" t="s">
        <v>763</v>
      </c>
      <c r="E224" s="92"/>
      <c r="F224" s="92">
        <v>4</v>
      </c>
      <c r="G224" s="133">
        <f>AVERAGE(E224:F224)</f>
        <v>4</v>
      </c>
      <c r="H224" s="160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 spans="1:27" ht="15.6" hidden="1">
      <c r="A225" s="82"/>
      <c r="B225" s="193" t="s">
        <v>311</v>
      </c>
      <c r="C225" s="193"/>
      <c r="D225" s="193" t="s">
        <v>764</v>
      </c>
      <c r="E225" s="92"/>
      <c r="F225" s="92"/>
      <c r="G225" s="133"/>
      <c r="H225" s="10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 spans="1:27" ht="15.6" hidden="1">
      <c r="A226" s="82"/>
      <c r="B226" s="193"/>
      <c r="C226" s="193"/>
      <c r="D226" s="193"/>
      <c r="E226" s="92"/>
      <c r="F226" s="92"/>
      <c r="G226" s="133"/>
      <c r="H226" s="10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 spans="1:27" ht="15.6">
      <c r="A227" s="82"/>
      <c r="B227" s="193">
        <v>3.13</v>
      </c>
      <c r="C227" s="193"/>
      <c r="D227" s="193" t="s">
        <v>785</v>
      </c>
      <c r="E227" s="92"/>
      <c r="F227" s="92"/>
      <c r="G227" s="133"/>
      <c r="H227" s="103">
        <f>AVERAGE(G229)</f>
        <v>4</v>
      </c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 spans="1:27" ht="15.6" hidden="1">
      <c r="A228" s="82"/>
      <c r="B228" s="193"/>
      <c r="C228" s="193"/>
      <c r="D228" s="193"/>
      <c r="E228" s="194"/>
      <c r="F228" s="92" t="s">
        <v>47</v>
      </c>
      <c r="G228" s="133" t="s">
        <v>306</v>
      </c>
      <c r="H228" s="160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 spans="1:27" ht="15.6" hidden="1">
      <c r="A229" s="82"/>
      <c r="B229" s="193"/>
      <c r="C229" s="193" t="s">
        <v>307</v>
      </c>
      <c r="D229" s="193" t="s">
        <v>721</v>
      </c>
      <c r="E229" s="194"/>
      <c r="F229" s="92">
        <v>4</v>
      </c>
      <c r="G229" s="133">
        <f>AVERAGE(F229:F229)</f>
        <v>4</v>
      </c>
      <c r="H229" s="160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 spans="1:27" ht="15.6" hidden="1">
      <c r="A230" s="82"/>
      <c r="B230" s="193" t="s">
        <v>311</v>
      </c>
      <c r="C230" s="193"/>
      <c r="D230" s="193" t="s">
        <v>760</v>
      </c>
      <c r="E230" s="92"/>
      <c r="F230" s="92"/>
      <c r="G230" s="133"/>
      <c r="H230" s="10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 spans="1:27" ht="15.6" hidden="1">
      <c r="A231" s="82"/>
      <c r="B231" s="193"/>
      <c r="C231" s="193"/>
      <c r="D231" s="193"/>
      <c r="E231" s="92"/>
      <c r="F231" s="92"/>
      <c r="G231" s="133"/>
      <c r="H231" s="10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 spans="1:27" ht="15.6">
      <c r="A232" s="82"/>
      <c r="B232" s="193">
        <v>3.14</v>
      </c>
      <c r="C232" s="193"/>
      <c r="D232" s="193" t="s">
        <v>786</v>
      </c>
      <c r="E232" s="92"/>
      <c r="F232" s="92"/>
      <c r="G232" s="133"/>
      <c r="H232" s="103">
        <f>AVERAGE(G234)</f>
        <v>4</v>
      </c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 spans="1:27" ht="15.6" hidden="1">
      <c r="A233" s="82"/>
      <c r="B233" s="193"/>
      <c r="C233" s="193"/>
      <c r="D233" s="193"/>
      <c r="E233" s="92"/>
      <c r="F233" s="92" t="s">
        <v>10</v>
      </c>
      <c r="G233" s="133" t="s">
        <v>306</v>
      </c>
      <c r="H233" s="10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 spans="1:27" ht="15.6" hidden="1">
      <c r="A234" s="82"/>
      <c r="B234" s="193"/>
      <c r="C234" s="193" t="s">
        <v>307</v>
      </c>
      <c r="D234" s="193" t="s">
        <v>763</v>
      </c>
      <c r="E234" s="92"/>
      <c r="F234" s="92">
        <v>4</v>
      </c>
      <c r="G234" s="133">
        <f>AVERAGE(E234:F234)</f>
        <v>4</v>
      </c>
      <c r="H234" s="10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 spans="1:27" ht="15.6" hidden="1">
      <c r="A235" s="82"/>
      <c r="B235" s="192" t="s">
        <v>311</v>
      </c>
      <c r="C235" s="193" t="s">
        <v>285</v>
      </c>
      <c r="D235" s="193" t="s">
        <v>787</v>
      </c>
      <c r="E235" s="169"/>
      <c r="F235" s="169"/>
      <c r="G235" s="169"/>
      <c r="H235" s="10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 spans="1:27" ht="15.6" hidden="1">
      <c r="A236" s="88"/>
      <c r="B236" s="177"/>
      <c r="C236" s="177" t="s">
        <v>285</v>
      </c>
      <c r="D236" s="177" t="s">
        <v>787</v>
      </c>
      <c r="E236" s="178"/>
      <c r="F236" s="178"/>
      <c r="G236" s="178"/>
      <c r="H236" s="179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 spans="1:27" ht="15.6">
      <c r="A237" s="193"/>
      <c r="B237" s="193"/>
      <c r="C237" s="193"/>
      <c r="D237" s="193"/>
      <c r="E237" s="169"/>
      <c r="F237" s="169"/>
      <c r="G237" s="169"/>
      <c r="H237" s="92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 spans="1:27" ht="15.6">
      <c r="A238" s="193"/>
      <c r="B238" s="193"/>
      <c r="C238" s="193"/>
      <c r="D238" s="193"/>
      <c r="E238" s="169"/>
      <c r="F238" s="169"/>
      <c r="G238" s="169"/>
      <c r="H238" s="92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 spans="1:27" ht="15.6">
      <c r="A239" s="193"/>
      <c r="B239" s="193"/>
      <c r="C239" s="193"/>
      <c r="D239" s="193"/>
      <c r="E239" s="169"/>
      <c r="F239" s="169"/>
      <c r="G239" s="169"/>
      <c r="H239" s="92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 spans="1:27" ht="15.6">
      <c r="A240" s="193"/>
      <c r="B240" s="193"/>
      <c r="C240" s="193"/>
      <c r="D240" s="193"/>
      <c r="E240" s="169"/>
      <c r="F240" s="169"/>
      <c r="G240" s="169"/>
      <c r="H240" s="92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 spans="1:27" ht="15.6">
      <c r="A241" s="193"/>
      <c r="B241" s="193"/>
      <c r="C241" s="193"/>
      <c r="D241" s="193"/>
      <c r="E241" s="169"/>
      <c r="F241" s="169"/>
      <c r="G241" s="169"/>
      <c r="H241" s="92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 spans="1:27" ht="15.6">
      <c r="A242" s="193"/>
      <c r="B242" s="193"/>
      <c r="C242" s="193"/>
      <c r="D242" s="193"/>
      <c r="E242" s="169"/>
      <c r="F242" s="169"/>
      <c r="G242" s="169"/>
      <c r="H242" s="92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 spans="1:27" ht="15.6">
      <c r="A243" s="193"/>
      <c r="B243" s="193"/>
      <c r="C243" s="193"/>
      <c r="D243" s="193"/>
      <c r="E243" s="169"/>
      <c r="F243" s="169"/>
      <c r="G243" s="169"/>
      <c r="H243" s="92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 spans="1:27" ht="15.6">
      <c r="A244" s="193"/>
      <c r="B244" s="193"/>
      <c r="C244" s="193"/>
      <c r="D244" s="193"/>
      <c r="E244" s="169"/>
      <c r="F244" s="169"/>
      <c r="G244" s="169"/>
      <c r="H244" s="92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 spans="1:27" ht="15.6">
      <c r="A245" s="193"/>
      <c r="B245" s="193"/>
      <c r="C245" s="193"/>
      <c r="D245" s="193"/>
      <c r="E245" s="169"/>
      <c r="F245" s="169"/>
      <c r="G245" s="169"/>
      <c r="H245" s="92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 spans="1:27" ht="15.6">
      <c r="A246" s="193"/>
      <c r="B246" s="193"/>
      <c r="C246" s="193"/>
      <c r="D246" s="193"/>
      <c r="E246" s="169"/>
      <c r="F246" s="169"/>
      <c r="G246" s="169"/>
      <c r="H246" s="92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 spans="1:27" ht="15.6">
      <c r="A247" s="193"/>
      <c r="B247" s="193"/>
      <c r="C247" s="193"/>
      <c r="D247" s="193"/>
      <c r="E247" s="169"/>
      <c r="F247" s="169"/>
      <c r="G247" s="169"/>
      <c r="H247" s="92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 spans="1:27" ht="15.6">
      <c r="A248" s="193"/>
      <c r="B248" s="193"/>
      <c r="C248" s="193"/>
      <c r="D248" s="193"/>
      <c r="E248" s="169"/>
      <c r="F248" s="169"/>
      <c r="G248" s="169"/>
      <c r="H248" s="92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 spans="1:27" ht="15.6">
      <c r="A249" s="193"/>
      <c r="B249" s="193"/>
      <c r="C249" s="193"/>
      <c r="D249" s="193"/>
      <c r="E249" s="169"/>
      <c r="F249" s="169"/>
      <c r="G249" s="169"/>
      <c r="H249" s="92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 spans="1:27" ht="15.6">
      <c r="A250" s="193"/>
      <c r="B250" s="193"/>
      <c r="C250" s="193"/>
      <c r="D250" s="193"/>
      <c r="E250" s="169"/>
      <c r="F250" s="169"/>
      <c r="G250" s="169"/>
      <c r="H250" s="92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 spans="1:27" ht="15.6">
      <c r="A251" s="193"/>
      <c r="B251" s="193"/>
      <c r="C251" s="193"/>
      <c r="D251" s="193"/>
      <c r="E251" s="169"/>
      <c r="F251" s="169"/>
      <c r="G251" s="169"/>
      <c r="H251" s="92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 spans="1:27" ht="15.6">
      <c r="A252" s="193"/>
      <c r="B252" s="193"/>
      <c r="C252" s="193"/>
      <c r="D252" s="193"/>
      <c r="E252" s="169"/>
      <c r="F252" s="169"/>
      <c r="G252" s="169"/>
      <c r="H252" s="92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 spans="1:27" ht="15.6">
      <c r="A253" s="193"/>
      <c r="B253" s="193"/>
      <c r="C253" s="193"/>
      <c r="D253" s="193"/>
      <c r="E253" s="169"/>
      <c r="F253" s="169"/>
      <c r="G253" s="169"/>
      <c r="H253" s="92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 spans="1:27" ht="15.6">
      <c r="A254" s="193"/>
      <c r="B254" s="193"/>
      <c r="C254" s="193"/>
      <c r="D254" s="193"/>
      <c r="E254" s="169"/>
      <c r="F254" s="169"/>
      <c r="G254" s="169"/>
      <c r="H254" s="92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 spans="1:27" ht="15.6">
      <c r="A255" s="193"/>
      <c r="B255" s="193"/>
      <c r="C255" s="193"/>
      <c r="D255" s="193"/>
      <c r="E255" s="169"/>
      <c r="F255" s="169"/>
      <c r="G255" s="169"/>
      <c r="H255" s="92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 spans="1:27" ht="15.6">
      <c r="A256" s="193"/>
      <c r="B256" s="193"/>
      <c r="C256" s="193"/>
      <c r="D256" s="193"/>
      <c r="E256" s="169"/>
      <c r="F256" s="169"/>
      <c r="G256" s="169"/>
      <c r="H256" s="92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 spans="1:27" ht="15.6">
      <c r="A257" s="193"/>
      <c r="B257" s="193"/>
      <c r="C257" s="193"/>
      <c r="D257" s="193"/>
      <c r="E257" s="169"/>
      <c r="F257" s="169"/>
      <c r="G257" s="169"/>
      <c r="H257" s="92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 spans="1:27" ht="15.6">
      <c r="A258" s="193"/>
      <c r="B258" s="193"/>
      <c r="C258" s="193"/>
      <c r="D258" s="193"/>
      <c r="E258" s="169"/>
      <c r="F258" s="169"/>
      <c r="G258" s="169"/>
      <c r="H258" s="92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 spans="1:27" ht="15.6">
      <c r="A259" s="193"/>
      <c r="B259" s="193"/>
      <c r="C259" s="193"/>
      <c r="D259" s="193"/>
      <c r="E259" s="169"/>
      <c r="F259" s="169"/>
      <c r="G259" s="169"/>
      <c r="H259" s="92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 spans="1:27" ht="15.6">
      <c r="A260" s="193"/>
      <c r="B260" s="193"/>
      <c r="C260" s="193"/>
      <c r="D260" s="193"/>
      <c r="E260" s="169"/>
      <c r="F260" s="169"/>
      <c r="G260" s="169"/>
      <c r="H260" s="92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 spans="1:27" ht="15.6">
      <c r="A261" s="193"/>
      <c r="B261" s="193"/>
      <c r="C261" s="193"/>
      <c r="D261" s="193"/>
      <c r="E261" s="169"/>
      <c r="F261" s="169"/>
      <c r="G261" s="169"/>
      <c r="H261" s="92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 spans="1:27" ht="15.6">
      <c r="A262" s="193"/>
      <c r="B262" s="193"/>
      <c r="C262" s="193"/>
      <c r="D262" s="193"/>
      <c r="E262" s="169"/>
      <c r="F262" s="169"/>
      <c r="G262" s="169"/>
      <c r="H262" s="92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 spans="1:27" ht="15.6">
      <c r="A263" s="193"/>
      <c r="B263" s="193"/>
      <c r="C263" s="193"/>
      <c r="D263" s="193"/>
      <c r="E263" s="169"/>
      <c r="F263" s="169"/>
      <c r="G263" s="169"/>
      <c r="H263" s="92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 spans="1:27" ht="15.6">
      <c r="A264" s="193"/>
      <c r="B264" s="193"/>
      <c r="C264" s="193"/>
      <c r="D264" s="193"/>
      <c r="E264" s="169"/>
      <c r="F264" s="169"/>
      <c r="G264" s="169"/>
      <c r="H264" s="92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 spans="1:27" ht="15.6">
      <c r="A265" s="193"/>
      <c r="B265" s="193"/>
      <c r="C265" s="193"/>
      <c r="D265" s="193"/>
      <c r="E265" s="169"/>
      <c r="F265" s="169"/>
      <c r="G265" s="169"/>
      <c r="H265" s="92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 spans="1:27" ht="15.6">
      <c r="A266" s="193"/>
      <c r="B266" s="193"/>
      <c r="C266" s="193"/>
      <c r="D266" s="193"/>
      <c r="E266" s="169"/>
      <c r="F266" s="169"/>
      <c r="G266" s="169"/>
      <c r="H266" s="92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 spans="1:27" ht="15.6">
      <c r="A267" s="193"/>
      <c r="B267" s="193"/>
      <c r="C267" s="193"/>
      <c r="D267" s="193"/>
      <c r="E267" s="169"/>
      <c r="F267" s="169"/>
      <c r="G267" s="169"/>
      <c r="H267" s="92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 spans="1:27" ht="15.6">
      <c r="A268" s="193"/>
      <c r="B268" s="193"/>
      <c r="C268" s="193"/>
      <c r="D268" s="193"/>
      <c r="E268" s="169"/>
      <c r="F268" s="169"/>
      <c r="G268" s="169"/>
      <c r="H268" s="92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 spans="1:27" ht="15.6">
      <c r="A269" s="193"/>
      <c r="B269" s="193"/>
      <c r="C269" s="193"/>
      <c r="D269" s="193"/>
      <c r="E269" s="169"/>
      <c r="F269" s="169"/>
      <c r="G269" s="169"/>
      <c r="H269" s="92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 spans="1:27" ht="15.6">
      <c r="A270" s="193"/>
      <c r="B270" s="193"/>
      <c r="C270" s="193"/>
      <c r="D270" s="193"/>
      <c r="E270" s="169"/>
      <c r="F270" s="169"/>
      <c r="G270" s="169"/>
      <c r="H270" s="92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 spans="1:27" ht="15.6">
      <c r="A271" s="193"/>
      <c r="B271" s="193"/>
      <c r="C271" s="193"/>
      <c r="D271" s="193"/>
      <c r="E271" s="169"/>
      <c r="F271" s="169"/>
      <c r="G271" s="169"/>
      <c r="H271" s="92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 spans="1:27" ht="15.6">
      <c r="A272" s="193"/>
      <c r="B272" s="193"/>
      <c r="C272" s="193"/>
      <c r="D272" s="193"/>
      <c r="E272" s="169"/>
      <c r="F272" s="169"/>
      <c r="G272" s="169"/>
      <c r="H272" s="92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 spans="1:27" ht="15.6">
      <c r="A273" s="193"/>
      <c r="B273" s="193"/>
      <c r="C273" s="193"/>
      <c r="D273" s="193"/>
      <c r="E273" s="169"/>
      <c r="F273" s="169"/>
      <c r="G273" s="169"/>
      <c r="H273" s="92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 spans="1:27" ht="15.6">
      <c r="A274" s="193"/>
      <c r="B274" s="193"/>
      <c r="C274" s="193"/>
      <c r="D274" s="193"/>
      <c r="E274" s="169"/>
      <c r="F274" s="169"/>
      <c r="G274" s="169"/>
      <c r="H274" s="92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 spans="1:27" ht="15.6">
      <c r="A275" s="193"/>
      <c r="B275" s="193"/>
      <c r="C275" s="193"/>
      <c r="D275" s="193"/>
      <c r="E275" s="169"/>
      <c r="F275" s="169"/>
      <c r="G275" s="169"/>
      <c r="H275" s="92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 spans="1:27" ht="15.6">
      <c r="A276" s="193"/>
      <c r="B276" s="193"/>
      <c r="C276" s="193"/>
      <c r="D276" s="193"/>
      <c r="E276" s="169"/>
      <c r="F276" s="169"/>
      <c r="G276" s="169"/>
      <c r="H276" s="92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 spans="1:27" ht="15.6">
      <c r="A277" s="193"/>
      <c r="B277" s="193"/>
      <c r="C277" s="193"/>
      <c r="D277" s="193"/>
      <c r="E277" s="169"/>
      <c r="F277" s="169"/>
      <c r="G277" s="169"/>
      <c r="H277" s="92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 spans="1:27" ht="15.6">
      <c r="A278" s="193"/>
      <c r="B278" s="193"/>
      <c r="C278" s="193"/>
      <c r="D278" s="193"/>
      <c r="E278" s="169"/>
      <c r="F278" s="169"/>
      <c r="G278" s="169"/>
      <c r="H278" s="92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 spans="1:27" ht="15.6">
      <c r="A279" s="193"/>
      <c r="B279" s="193"/>
      <c r="C279" s="193"/>
      <c r="D279" s="193"/>
      <c r="E279" s="169"/>
      <c r="F279" s="169"/>
      <c r="G279" s="169"/>
      <c r="H279" s="92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 spans="1:27" ht="15.6">
      <c r="A280" s="193"/>
      <c r="B280" s="193"/>
      <c r="C280" s="193"/>
      <c r="D280" s="193"/>
      <c r="E280" s="169"/>
      <c r="F280" s="169"/>
      <c r="G280" s="169"/>
      <c r="H280" s="92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 spans="1:27" ht="15.6">
      <c r="A281" s="193"/>
      <c r="B281" s="193"/>
      <c r="C281" s="193"/>
      <c r="D281" s="193"/>
      <c r="E281" s="169"/>
      <c r="F281" s="169"/>
      <c r="G281" s="169"/>
      <c r="H281" s="92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 spans="1:27" ht="15.6">
      <c r="A282" s="193"/>
      <c r="B282" s="193"/>
      <c r="C282" s="193"/>
      <c r="D282" s="193"/>
      <c r="E282" s="169"/>
      <c r="F282" s="169"/>
      <c r="G282" s="169"/>
      <c r="H282" s="92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 spans="1:27" ht="15.6">
      <c r="A283" s="193"/>
      <c r="B283" s="193"/>
      <c r="C283" s="193"/>
      <c r="D283" s="193"/>
      <c r="E283" s="169"/>
      <c r="F283" s="169"/>
      <c r="G283" s="169"/>
      <c r="H283" s="92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 spans="1:27" ht="15.6">
      <c r="A284" s="193"/>
      <c r="B284" s="193"/>
      <c r="C284" s="193"/>
      <c r="D284" s="193"/>
      <c r="E284" s="169"/>
      <c r="F284" s="169"/>
      <c r="G284" s="169"/>
      <c r="H284" s="92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 spans="1:27" ht="15.6">
      <c r="A285" s="193"/>
      <c r="B285" s="193"/>
      <c r="C285" s="193"/>
      <c r="D285" s="193"/>
      <c r="E285" s="169"/>
      <c r="F285" s="169"/>
      <c r="G285" s="169"/>
      <c r="H285" s="92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 spans="1:27" ht="15.6">
      <c r="A286" s="193"/>
      <c r="B286" s="193"/>
      <c r="C286" s="193"/>
      <c r="D286" s="193"/>
      <c r="E286" s="169"/>
      <c r="F286" s="169"/>
      <c r="G286" s="169"/>
      <c r="H286" s="92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 spans="1:27" ht="15.6">
      <c r="A287" s="193"/>
      <c r="B287" s="193"/>
      <c r="C287" s="193"/>
      <c r="D287" s="193"/>
      <c r="E287" s="169"/>
      <c r="F287" s="169"/>
      <c r="G287" s="169"/>
      <c r="H287" s="92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 spans="1:27" ht="15.6">
      <c r="A288" s="193"/>
      <c r="B288" s="193"/>
      <c r="C288" s="193"/>
      <c r="D288" s="193"/>
      <c r="E288" s="169"/>
      <c r="F288" s="169"/>
      <c r="G288" s="169"/>
      <c r="H288" s="92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 spans="1:27" ht="15.6">
      <c r="A289" s="193"/>
      <c r="B289" s="193"/>
      <c r="C289" s="193"/>
      <c r="D289" s="193"/>
      <c r="E289" s="169"/>
      <c r="F289" s="169"/>
      <c r="G289" s="169"/>
      <c r="H289" s="92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 spans="1:27" ht="15.6">
      <c r="A290" s="193"/>
      <c r="B290" s="193"/>
      <c r="C290" s="193"/>
      <c r="D290" s="193"/>
      <c r="E290" s="169"/>
      <c r="F290" s="169"/>
      <c r="G290" s="169"/>
      <c r="H290" s="92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 spans="1:27" ht="15.6">
      <c r="A291" s="193"/>
      <c r="B291" s="193"/>
      <c r="C291" s="193"/>
      <c r="D291" s="193"/>
      <c r="E291" s="169"/>
      <c r="F291" s="169"/>
      <c r="G291" s="169"/>
      <c r="H291" s="92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 spans="1:27" ht="15.6">
      <c r="A292" s="193"/>
      <c r="B292" s="193"/>
      <c r="C292" s="193"/>
      <c r="D292" s="193"/>
      <c r="E292" s="169"/>
      <c r="F292" s="169"/>
      <c r="G292" s="169"/>
      <c r="H292" s="92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 spans="1:27" ht="15.6">
      <c r="A293" s="193"/>
      <c r="B293" s="193"/>
      <c r="C293" s="193"/>
      <c r="D293" s="193"/>
      <c r="E293" s="169"/>
      <c r="F293" s="169"/>
      <c r="G293" s="169"/>
      <c r="H293" s="92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 spans="1:27" ht="15.6">
      <c r="A294" s="193"/>
      <c r="B294" s="193"/>
      <c r="C294" s="193"/>
      <c r="D294" s="193"/>
      <c r="E294" s="169"/>
      <c r="F294" s="169"/>
      <c r="G294" s="169"/>
      <c r="H294" s="92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 spans="1:27" ht="15.6">
      <c r="A295" s="193"/>
      <c r="B295" s="193"/>
      <c r="C295" s="193"/>
      <c r="D295" s="193"/>
      <c r="E295" s="169"/>
      <c r="F295" s="169"/>
      <c r="G295" s="169"/>
      <c r="H295" s="92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 spans="1:27" ht="15.6">
      <c r="A296" s="193"/>
      <c r="B296" s="193"/>
      <c r="C296" s="193"/>
      <c r="D296" s="193"/>
      <c r="E296" s="169"/>
      <c r="F296" s="169"/>
      <c r="G296" s="169"/>
      <c r="H296" s="92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 spans="1:27" ht="15.6">
      <c r="A297" s="193"/>
      <c r="B297" s="193"/>
      <c r="C297" s="193"/>
      <c r="D297" s="193"/>
      <c r="E297" s="169"/>
      <c r="F297" s="169"/>
      <c r="G297" s="169"/>
      <c r="H297" s="92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 spans="1:27" ht="15.6">
      <c r="A298" s="193"/>
      <c r="B298" s="193"/>
      <c r="C298" s="193"/>
      <c r="D298" s="193"/>
      <c r="E298" s="169"/>
      <c r="F298" s="169"/>
      <c r="G298" s="169"/>
      <c r="H298" s="92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 spans="1:27" ht="15.6">
      <c r="A299" s="193"/>
      <c r="B299" s="193"/>
      <c r="C299" s="193"/>
      <c r="D299" s="193"/>
      <c r="E299" s="169"/>
      <c r="F299" s="169"/>
      <c r="G299" s="169"/>
      <c r="H299" s="92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 spans="1:27" ht="15.6">
      <c r="A300" s="193"/>
      <c r="B300" s="193"/>
      <c r="C300" s="193"/>
      <c r="D300" s="193"/>
      <c r="E300" s="169"/>
      <c r="F300" s="169"/>
      <c r="G300" s="169"/>
      <c r="H300" s="92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 spans="1:27" ht="15.6">
      <c r="A301" s="193"/>
      <c r="B301" s="193"/>
      <c r="C301" s="193"/>
      <c r="D301" s="193"/>
      <c r="E301" s="169"/>
      <c r="F301" s="169"/>
      <c r="G301" s="169"/>
      <c r="H301" s="92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 spans="1:27" ht="15.6">
      <c r="A302" s="193"/>
      <c r="B302" s="193"/>
      <c r="C302" s="193"/>
      <c r="D302" s="193"/>
      <c r="E302" s="169"/>
      <c r="F302" s="169"/>
      <c r="G302" s="169"/>
      <c r="H302" s="92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 spans="1:27" ht="15.6">
      <c r="A303" s="193"/>
      <c r="B303" s="193"/>
      <c r="C303" s="193"/>
      <c r="D303" s="193"/>
      <c r="E303" s="169"/>
      <c r="F303" s="169"/>
      <c r="G303" s="169"/>
      <c r="H303" s="92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 spans="1:27" ht="15.6">
      <c r="A304" s="193"/>
      <c r="B304" s="193"/>
      <c r="C304" s="193"/>
      <c r="D304" s="193"/>
      <c r="E304" s="169"/>
      <c r="F304" s="169"/>
      <c r="G304" s="169"/>
      <c r="H304" s="92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 spans="1:27" ht="15.6">
      <c r="A305" s="193"/>
      <c r="B305" s="193"/>
      <c r="C305" s="193"/>
      <c r="D305" s="193"/>
      <c r="E305" s="169"/>
      <c r="F305" s="169"/>
      <c r="G305" s="169"/>
      <c r="H305" s="92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 spans="1:27" ht="15.6">
      <c r="A306" s="193"/>
      <c r="B306" s="193"/>
      <c r="C306" s="193"/>
      <c r="D306" s="193"/>
      <c r="E306" s="169"/>
      <c r="F306" s="169"/>
      <c r="G306" s="169"/>
      <c r="H306" s="92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 spans="1:27" ht="15.6">
      <c r="A307" s="193"/>
      <c r="B307" s="193"/>
      <c r="C307" s="193"/>
      <c r="D307" s="193"/>
      <c r="E307" s="169"/>
      <c r="F307" s="169"/>
      <c r="G307" s="169"/>
      <c r="H307" s="92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 spans="1:27" ht="15.6">
      <c r="A308" s="193"/>
      <c r="B308" s="193"/>
      <c r="C308" s="193"/>
      <c r="D308" s="193"/>
      <c r="E308" s="169"/>
      <c r="F308" s="169"/>
      <c r="G308" s="169"/>
      <c r="H308" s="92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 spans="1:27" ht="15.6">
      <c r="A309" s="193"/>
      <c r="B309" s="193"/>
      <c r="C309" s="193"/>
      <c r="D309" s="193"/>
      <c r="E309" s="169"/>
      <c r="F309" s="169"/>
      <c r="G309" s="169"/>
      <c r="H309" s="92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 spans="1:27" ht="15.6">
      <c r="A310" s="193"/>
      <c r="B310" s="193"/>
      <c r="C310" s="193"/>
      <c r="D310" s="193"/>
      <c r="E310" s="169"/>
      <c r="F310" s="169"/>
      <c r="G310" s="169"/>
      <c r="H310" s="92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 spans="1:27" ht="15.6">
      <c r="A311" s="193"/>
      <c r="B311" s="193"/>
      <c r="C311" s="193"/>
      <c r="D311" s="193"/>
      <c r="E311" s="169"/>
      <c r="F311" s="169"/>
      <c r="G311" s="169"/>
      <c r="H311" s="92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 spans="1:27" ht="15.6">
      <c r="A312" s="193"/>
      <c r="B312" s="193"/>
      <c r="C312" s="193"/>
      <c r="D312" s="193"/>
      <c r="E312" s="169"/>
      <c r="F312" s="169"/>
      <c r="G312" s="169"/>
      <c r="H312" s="92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 spans="1:27" ht="15.6">
      <c r="A313" s="193"/>
      <c r="B313" s="193"/>
      <c r="C313" s="193"/>
      <c r="D313" s="193"/>
      <c r="E313" s="169"/>
      <c r="F313" s="169"/>
      <c r="G313" s="169"/>
      <c r="H313" s="92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 spans="1:27" ht="15.6">
      <c r="A314" s="193"/>
      <c r="B314" s="193"/>
      <c r="C314" s="193"/>
      <c r="D314" s="193"/>
      <c r="E314" s="169"/>
      <c r="F314" s="169"/>
      <c r="G314" s="169"/>
      <c r="H314" s="92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 spans="1:27" ht="15.6">
      <c r="A315" s="193"/>
      <c r="B315" s="193"/>
      <c r="C315" s="193"/>
      <c r="D315" s="193"/>
      <c r="E315" s="169"/>
      <c r="F315" s="169"/>
      <c r="G315" s="169"/>
      <c r="H315" s="92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 spans="1:27" ht="15.6">
      <c r="A316" s="193"/>
      <c r="B316" s="193"/>
      <c r="C316" s="193"/>
      <c r="D316" s="193"/>
      <c r="E316" s="169"/>
      <c r="F316" s="169"/>
      <c r="G316" s="169"/>
      <c r="H316" s="92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 spans="1:27" ht="15.6">
      <c r="A317" s="193"/>
      <c r="B317" s="193"/>
      <c r="C317" s="193"/>
      <c r="D317" s="193"/>
      <c r="E317" s="169"/>
      <c r="F317" s="169"/>
      <c r="G317" s="169"/>
      <c r="H317" s="92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 spans="1:27" ht="15.6">
      <c r="A318" s="193"/>
      <c r="B318" s="193"/>
      <c r="C318" s="193"/>
      <c r="D318" s="193"/>
      <c r="E318" s="169"/>
      <c r="F318" s="169"/>
      <c r="G318" s="169"/>
      <c r="H318" s="92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 spans="1:27" ht="15.6">
      <c r="A319" s="193"/>
      <c r="B319" s="193"/>
      <c r="C319" s="193"/>
      <c r="D319" s="193"/>
      <c r="E319" s="169"/>
      <c r="F319" s="169"/>
      <c r="G319" s="169"/>
      <c r="H319" s="92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 spans="1:27" ht="15.6">
      <c r="A320" s="193"/>
      <c r="B320" s="193"/>
      <c r="C320" s="193"/>
      <c r="D320" s="193"/>
      <c r="E320" s="169"/>
      <c r="F320" s="169"/>
      <c r="G320" s="169"/>
      <c r="H320" s="92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 spans="1:27" ht="15.6">
      <c r="A321" s="193"/>
      <c r="B321" s="193"/>
      <c r="C321" s="193"/>
      <c r="D321" s="193"/>
      <c r="E321" s="169"/>
      <c r="F321" s="169"/>
      <c r="G321" s="169"/>
      <c r="H321" s="92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 spans="1:27" ht="15.6">
      <c r="A322" s="193"/>
      <c r="B322" s="193"/>
      <c r="C322" s="193"/>
      <c r="D322" s="193"/>
      <c r="E322" s="169"/>
      <c r="F322" s="169"/>
      <c r="G322" s="169"/>
      <c r="H322" s="92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 spans="1:27" ht="15.6">
      <c r="A323" s="193"/>
      <c r="B323" s="193"/>
      <c r="C323" s="193"/>
      <c r="D323" s="193"/>
      <c r="E323" s="169"/>
      <c r="F323" s="169"/>
      <c r="G323" s="169"/>
      <c r="H323" s="92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 spans="1:27" ht="15.6">
      <c r="A324" s="193"/>
      <c r="B324" s="193"/>
      <c r="C324" s="193"/>
      <c r="D324" s="193"/>
      <c r="E324" s="169"/>
      <c r="F324" s="169"/>
      <c r="G324" s="169"/>
      <c r="H324" s="92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 spans="1:27" ht="15.6">
      <c r="A325" s="193"/>
      <c r="B325" s="193"/>
      <c r="C325" s="193"/>
      <c r="D325" s="193"/>
      <c r="E325" s="169"/>
      <c r="F325" s="169"/>
      <c r="G325" s="169"/>
      <c r="H325" s="92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 spans="1:27" ht="15.6">
      <c r="A326" s="193"/>
      <c r="B326" s="193"/>
      <c r="C326" s="193"/>
      <c r="D326" s="193"/>
      <c r="E326" s="169"/>
      <c r="F326" s="169"/>
      <c r="G326" s="169"/>
      <c r="H326" s="92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 spans="1:27" ht="15.6">
      <c r="A327" s="193"/>
      <c r="B327" s="193"/>
      <c r="C327" s="193"/>
      <c r="D327" s="193"/>
      <c r="E327" s="169"/>
      <c r="F327" s="169"/>
      <c r="G327" s="169"/>
      <c r="H327" s="92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 spans="1:27" ht="15.6">
      <c r="A328" s="193"/>
      <c r="B328" s="193"/>
      <c r="C328" s="193"/>
      <c r="D328" s="193"/>
      <c r="E328" s="169"/>
      <c r="F328" s="169"/>
      <c r="G328" s="169"/>
      <c r="H328" s="92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 spans="1:27" ht="15.6">
      <c r="A329" s="193"/>
      <c r="B329" s="193"/>
      <c r="C329" s="193"/>
      <c r="D329" s="193"/>
      <c r="E329" s="169"/>
      <c r="F329" s="169"/>
      <c r="G329" s="169"/>
      <c r="H329" s="92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 spans="1:27" ht="15.6">
      <c r="A330" s="193"/>
      <c r="B330" s="193"/>
      <c r="C330" s="193"/>
      <c r="D330" s="193"/>
      <c r="E330" s="169"/>
      <c r="F330" s="169"/>
      <c r="G330" s="169"/>
      <c r="H330" s="92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 spans="1:27" ht="15.6">
      <c r="A331" s="193"/>
      <c r="B331" s="193"/>
      <c r="C331" s="193"/>
      <c r="D331" s="193"/>
      <c r="E331" s="169"/>
      <c r="F331" s="169"/>
      <c r="G331" s="169"/>
      <c r="H331" s="92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 spans="1:27" ht="15.6">
      <c r="A332" s="193"/>
      <c r="B332" s="193"/>
      <c r="C332" s="193"/>
      <c r="D332" s="193"/>
      <c r="E332" s="169"/>
      <c r="F332" s="169"/>
      <c r="G332" s="169"/>
      <c r="H332" s="92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 spans="1:27" ht="15.6">
      <c r="A333" s="193"/>
      <c r="B333" s="193"/>
      <c r="C333" s="193"/>
      <c r="D333" s="193"/>
      <c r="E333" s="169"/>
      <c r="F333" s="169"/>
      <c r="G333" s="169"/>
      <c r="H333" s="92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 spans="1:27" ht="15.6">
      <c r="A334" s="193"/>
      <c r="B334" s="193"/>
      <c r="C334" s="193"/>
      <c r="D334" s="193"/>
      <c r="E334" s="169"/>
      <c r="F334" s="169"/>
      <c r="G334" s="169"/>
      <c r="H334" s="92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 spans="1:27" ht="15.6">
      <c r="A335" s="193"/>
      <c r="B335" s="193"/>
      <c r="C335" s="193"/>
      <c r="D335" s="193"/>
      <c r="E335" s="169"/>
      <c r="F335" s="169"/>
      <c r="G335" s="169"/>
      <c r="H335" s="92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 spans="1:27" ht="15.6">
      <c r="A336" s="193"/>
      <c r="B336" s="193"/>
      <c r="C336" s="193"/>
      <c r="D336" s="193"/>
      <c r="E336" s="169"/>
      <c r="F336" s="169"/>
      <c r="G336" s="169"/>
      <c r="H336" s="92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 spans="1:27" ht="15.6">
      <c r="A337" s="193"/>
      <c r="B337" s="193"/>
      <c r="C337" s="193"/>
      <c r="D337" s="193"/>
      <c r="E337" s="169"/>
      <c r="F337" s="169"/>
      <c r="G337" s="169"/>
      <c r="H337" s="92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 spans="1:27" ht="15.6">
      <c r="A338" s="193"/>
      <c r="B338" s="193"/>
      <c r="C338" s="193"/>
      <c r="D338" s="193"/>
      <c r="E338" s="169"/>
      <c r="F338" s="169"/>
      <c r="G338" s="169"/>
      <c r="H338" s="92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 spans="1:27" ht="15.6">
      <c r="A339" s="193"/>
      <c r="B339" s="193"/>
      <c r="C339" s="193"/>
      <c r="D339" s="193"/>
      <c r="E339" s="169"/>
      <c r="F339" s="169"/>
      <c r="G339" s="169"/>
      <c r="H339" s="92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 spans="1:27" ht="15.6">
      <c r="A340" s="193"/>
      <c r="B340" s="193"/>
      <c r="C340" s="193"/>
      <c r="D340" s="193"/>
      <c r="E340" s="169"/>
      <c r="F340" s="169"/>
      <c r="G340" s="169"/>
      <c r="H340" s="92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 spans="1:27" ht="15.6">
      <c r="A341" s="193"/>
      <c r="B341" s="193"/>
      <c r="C341" s="193"/>
      <c r="D341" s="193"/>
      <c r="E341" s="169"/>
      <c r="F341" s="169"/>
      <c r="G341" s="169"/>
      <c r="H341" s="92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 spans="1:27" ht="15.6">
      <c r="A342" s="193"/>
      <c r="B342" s="193"/>
      <c r="C342" s="193"/>
      <c r="D342" s="193"/>
      <c r="E342" s="169"/>
      <c r="F342" s="169"/>
      <c r="G342" s="169"/>
      <c r="H342" s="92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 spans="1:27" ht="15.6">
      <c r="A343" s="193"/>
      <c r="B343" s="193"/>
      <c r="C343" s="193"/>
      <c r="D343" s="193"/>
      <c r="E343" s="169"/>
      <c r="F343" s="169"/>
      <c r="G343" s="169"/>
      <c r="H343" s="92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 spans="1:27" ht="15.6">
      <c r="A344" s="193"/>
      <c r="B344" s="193"/>
      <c r="C344" s="193"/>
      <c r="D344" s="193"/>
      <c r="E344" s="169"/>
      <c r="F344" s="169"/>
      <c r="G344" s="169"/>
      <c r="H344" s="92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 spans="1:27" ht="15.6">
      <c r="A345" s="193"/>
      <c r="B345" s="193"/>
      <c r="C345" s="193"/>
      <c r="D345" s="193"/>
      <c r="E345" s="169"/>
      <c r="F345" s="169"/>
      <c r="G345" s="169"/>
      <c r="H345" s="92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 spans="1:27" ht="15.6">
      <c r="A346" s="193"/>
      <c r="B346" s="193"/>
      <c r="C346" s="193"/>
      <c r="D346" s="193"/>
      <c r="E346" s="169"/>
      <c r="F346" s="169"/>
      <c r="G346" s="169"/>
      <c r="H346" s="92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 spans="1:27" ht="15.6">
      <c r="A347" s="193"/>
      <c r="B347" s="193"/>
      <c r="C347" s="193"/>
      <c r="D347" s="193"/>
      <c r="E347" s="169"/>
      <c r="F347" s="169"/>
      <c r="G347" s="169"/>
      <c r="H347" s="92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 spans="1:27" ht="15.6">
      <c r="A348" s="193"/>
      <c r="B348" s="193"/>
      <c r="C348" s="193"/>
      <c r="D348" s="193"/>
      <c r="E348" s="169"/>
      <c r="F348" s="169"/>
      <c r="G348" s="169"/>
      <c r="H348" s="92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 spans="1:27" ht="15.6">
      <c r="A349" s="193"/>
      <c r="B349" s="193"/>
      <c r="C349" s="193"/>
      <c r="D349" s="193"/>
      <c r="E349" s="169"/>
      <c r="F349" s="169"/>
      <c r="G349" s="169"/>
      <c r="H349" s="92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 spans="1:27" ht="15.6">
      <c r="A350" s="193"/>
      <c r="B350" s="193"/>
      <c r="C350" s="193"/>
      <c r="D350" s="193"/>
      <c r="E350" s="169"/>
      <c r="F350" s="169"/>
      <c r="G350" s="169"/>
      <c r="H350" s="92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 spans="1:27" ht="15.6">
      <c r="A351" s="193"/>
      <c r="B351" s="193"/>
      <c r="C351" s="193"/>
      <c r="D351" s="193"/>
      <c r="E351" s="169"/>
      <c r="F351" s="169"/>
      <c r="G351" s="169"/>
      <c r="H351" s="92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 spans="1:27" ht="15.6">
      <c r="A352" s="193"/>
      <c r="B352" s="193"/>
      <c r="C352" s="193"/>
      <c r="D352" s="193"/>
      <c r="E352" s="169"/>
      <c r="F352" s="169"/>
      <c r="G352" s="169"/>
      <c r="H352" s="92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 spans="1:27" ht="15.6">
      <c r="A353" s="193"/>
      <c r="B353" s="193"/>
      <c r="C353" s="193"/>
      <c r="D353" s="193"/>
      <c r="E353" s="169"/>
      <c r="F353" s="169"/>
      <c r="G353" s="169"/>
      <c r="H353" s="92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 spans="1:27" ht="15.6">
      <c r="A354" s="193"/>
      <c r="B354" s="193"/>
      <c r="C354" s="193"/>
      <c r="D354" s="193"/>
      <c r="E354" s="169"/>
      <c r="F354" s="169"/>
      <c r="G354" s="169"/>
      <c r="H354" s="92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 spans="1:27" ht="15.6">
      <c r="A355" s="193"/>
      <c r="B355" s="193"/>
      <c r="C355" s="193"/>
      <c r="D355" s="193"/>
      <c r="E355" s="169"/>
      <c r="F355" s="169"/>
      <c r="G355" s="169"/>
      <c r="H355" s="92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 spans="1:27" ht="15.6">
      <c r="A356" s="193"/>
      <c r="B356" s="193"/>
      <c r="C356" s="193"/>
      <c r="D356" s="193"/>
      <c r="E356" s="169"/>
      <c r="F356" s="169"/>
      <c r="G356" s="169"/>
      <c r="H356" s="92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 spans="1:27" ht="15.6">
      <c r="A357" s="193"/>
      <c r="B357" s="193"/>
      <c r="C357" s="193"/>
      <c r="D357" s="193"/>
      <c r="E357" s="169"/>
      <c r="F357" s="169"/>
      <c r="G357" s="169"/>
      <c r="H357" s="92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 spans="1:27" ht="15.6">
      <c r="A358" s="193"/>
      <c r="B358" s="193"/>
      <c r="C358" s="193"/>
      <c r="D358" s="193"/>
      <c r="E358" s="169"/>
      <c r="F358" s="169"/>
      <c r="G358" s="169"/>
      <c r="H358" s="92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 spans="1:27" ht="15.6">
      <c r="A359" s="193"/>
      <c r="B359" s="193"/>
      <c r="C359" s="193"/>
      <c r="D359" s="193"/>
      <c r="E359" s="169"/>
      <c r="F359" s="169"/>
      <c r="G359" s="169"/>
      <c r="H359" s="92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 spans="1:27" ht="15.6">
      <c r="A360" s="193"/>
      <c r="B360" s="193"/>
      <c r="C360" s="193"/>
      <c r="D360" s="193"/>
      <c r="E360" s="169"/>
      <c r="F360" s="169"/>
      <c r="G360" s="169"/>
      <c r="H360" s="92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 spans="1:27" ht="15.6">
      <c r="A361" s="193"/>
      <c r="B361" s="193"/>
      <c r="C361" s="193"/>
      <c r="D361" s="193"/>
      <c r="E361" s="169"/>
      <c r="F361" s="169"/>
      <c r="G361" s="169"/>
      <c r="H361" s="92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 spans="1:27" ht="15.6">
      <c r="A362" s="193"/>
      <c r="B362" s="193"/>
      <c r="C362" s="193"/>
      <c r="D362" s="193"/>
      <c r="E362" s="169"/>
      <c r="F362" s="169"/>
      <c r="G362" s="169"/>
      <c r="H362" s="92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 spans="1:27" ht="15.6">
      <c r="A363" s="193"/>
      <c r="B363" s="193"/>
      <c r="C363" s="193"/>
      <c r="D363" s="193"/>
      <c r="E363" s="169"/>
      <c r="F363" s="169"/>
      <c r="G363" s="169"/>
      <c r="H363" s="92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 spans="1:27" ht="15.6">
      <c r="A364" s="193"/>
      <c r="B364" s="193"/>
      <c r="C364" s="193"/>
      <c r="D364" s="193"/>
      <c r="E364" s="169"/>
      <c r="F364" s="169"/>
      <c r="G364" s="169"/>
      <c r="H364" s="92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 spans="1:27" ht="15.6">
      <c r="A365" s="193"/>
      <c r="B365" s="193"/>
      <c r="C365" s="193"/>
      <c r="D365" s="193"/>
      <c r="E365" s="169"/>
      <c r="F365" s="169"/>
      <c r="G365" s="169"/>
      <c r="H365" s="92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 spans="1:27" ht="15.6">
      <c r="A366" s="193"/>
      <c r="B366" s="193"/>
      <c r="C366" s="193"/>
      <c r="D366" s="193"/>
      <c r="E366" s="169"/>
      <c r="F366" s="169"/>
      <c r="G366" s="169"/>
      <c r="H366" s="92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 spans="1:27" ht="15.6">
      <c r="A367" s="193"/>
      <c r="B367" s="193"/>
      <c r="C367" s="193"/>
      <c r="D367" s="193"/>
      <c r="E367" s="169"/>
      <c r="F367" s="169"/>
      <c r="G367" s="169"/>
      <c r="H367" s="92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 spans="1:27" ht="15.6">
      <c r="A368" s="193"/>
      <c r="B368" s="193"/>
      <c r="C368" s="193"/>
      <c r="D368" s="193"/>
      <c r="E368" s="169"/>
      <c r="F368" s="169"/>
      <c r="G368" s="169"/>
      <c r="H368" s="92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 spans="1:27" ht="15.6">
      <c r="A369" s="193"/>
      <c r="B369" s="193"/>
      <c r="C369" s="193"/>
      <c r="D369" s="193"/>
      <c r="E369" s="169"/>
      <c r="F369" s="169"/>
      <c r="G369" s="169"/>
      <c r="H369" s="92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 spans="1:27" ht="15.6">
      <c r="A370" s="193"/>
      <c r="B370" s="193"/>
      <c r="C370" s="193"/>
      <c r="D370" s="193"/>
      <c r="E370" s="169"/>
      <c r="F370" s="169"/>
      <c r="G370" s="169"/>
      <c r="H370" s="92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 spans="1:27" ht="15.6">
      <c r="A371" s="193"/>
      <c r="B371" s="193"/>
      <c r="C371" s="193"/>
      <c r="D371" s="193"/>
      <c r="E371" s="169"/>
      <c r="F371" s="169"/>
      <c r="G371" s="169"/>
      <c r="H371" s="92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 spans="1:27" ht="15.6">
      <c r="A372" s="193"/>
      <c r="B372" s="193"/>
      <c r="C372" s="193"/>
      <c r="D372" s="193"/>
      <c r="E372" s="169"/>
      <c r="F372" s="169"/>
      <c r="G372" s="169"/>
      <c r="H372" s="92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 spans="1:27" ht="15.6">
      <c r="A373" s="193"/>
      <c r="B373" s="193"/>
      <c r="C373" s="193"/>
      <c r="D373" s="193"/>
      <c r="E373" s="169"/>
      <c r="F373" s="169"/>
      <c r="G373" s="169"/>
      <c r="H373" s="92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 spans="1:27" ht="15.6">
      <c r="A374" s="193"/>
      <c r="B374" s="193"/>
      <c r="C374" s="193"/>
      <c r="D374" s="193"/>
      <c r="E374" s="169"/>
      <c r="F374" s="169"/>
      <c r="G374" s="169"/>
      <c r="H374" s="92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 spans="1:27" ht="15.6">
      <c r="A375" s="193"/>
      <c r="B375" s="193"/>
      <c r="C375" s="193"/>
      <c r="D375" s="193"/>
      <c r="E375" s="169"/>
      <c r="F375" s="169"/>
      <c r="G375" s="169"/>
      <c r="H375" s="92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 spans="1:27" ht="15.6">
      <c r="A376" s="193"/>
      <c r="B376" s="193"/>
      <c r="C376" s="193"/>
      <c r="D376" s="193"/>
      <c r="E376" s="169"/>
      <c r="F376" s="169"/>
      <c r="G376" s="169"/>
      <c r="H376" s="92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 spans="1:27" ht="15.6">
      <c r="A377" s="193"/>
      <c r="B377" s="193"/>
      <c r="C377" s="193"/>
      <c r="D377" s="193"/>
      <c r="E377" s="169"/>
      <c r="F377" s="169"/>
      <c r="G377" s="169"/>
      <c r="H377" s="92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 spans="1:27" ht="15.6">
      <c r="A378" s="193"/>
      <c r="B378" s="193"/>
      <c r="C378" s="193"/>
      <c r="D378" s="193"/>
      <c r="E378" s="169"/>
      <c r="F378" s="169"/>
      <c r="G378" s="169"/>
      <c r="H378" s="92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 spans="1:27" ht="15.6">
      <c r="A379" s="193"/>
      <c r="B379" s="193"/>
      <c r="C379" s="193"/>
      <c r="D379" s="193"/>
      <c r="E379" s="169"/>
      <c r="F379" s="169"/>
      <c r="G379" s="169"/>
      <c r="H379" s="92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 spans="1:27" ht="15.6">
      <c r="A380" s="193"/>
      <c r="B380" s="193"/>
      <c r="C380" s="193"/>
      <c r="D380" s="193"/>
      <c r="E380" s="169"/>
      <c r="F380" s="169"/>
      <c r="G380" s="169"/>
      <c r="H380" s="92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 spans="1:27" ht="15.6">
      <c r="A381" s="193"/>
      <c r="B381" s="193"/>
      <c r="C381" s="193"/>
      <c r="D381" s="193"/>
      <c r="E381" s="169"/>
      <c r="F381" s="169"/>
      <c r="G381" s="169"/>
      <c r="H381" s="92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 spans="1:27" ht="15.6">
      <c r="A382" s="193"/>
      <c r="B382" s="193"/>
      <c r="C382" s="193"/>
      <c r="D382" s="193"/>
      <c r="E382" s="169"/>
      <c r="F382" s="169"/>
      <c r="G382" s="169"/>
      <c r="H382" s="92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 spans="1:27" ht="15.6">
      <c r="A383" s="193"/>
      <c r="B383" s="193"/>
      <c r="C383" s="193"/>
      <c r="D383" s="193"/>
      <c r="E383" s="169"/>
      <c r="F383" s="169"/>
      <c r="G383" s="169"/>
      <c r="H383" s="92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 spans="1:27" ht="15.6">
      <c r="A384" s="193"/>
      <c r="B384" s="193"/>
      <c r="C384" s="193"/>
      <c r="D384" s="193"/>
      <c r="E384" s="169"/>
      <c r="F384" s="169"/>
      <c r="G384" s="169"/>
      <c r="H384" s="92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 spans="1:27" ht="15.6">
      <c r="A385" s="193"/>
      <c r="B385" s="193"/>
      <c r="C385" s="193"/>
      <c r="D385" s="193"/>
      <c r="E385" s="169"/>
      <c r="F385" s="169"/>
      <c r="G385" s="169"/>
      <c r="H385" s="92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 spans="1:27" ht="15.6">
      <c r="A386" s="193"/>
      <c r="B386" s="193"/>
      <c r="C386" s="193"/>
      <c r="D386" s="193"/>
      <c r="E386" s="169"/>
      <c r="F386" s="169"/>
      <c r="G386" s="169"/>
      <c r="H386" s="92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 spans="1:27" ht="15.6">
      <c r="A387" s="193"/>
      <c r="B387" s="193"/>
      <c r="C387" s="193"/>
      <c r="D387" s="193"/>
      <c r="E387" s="169"/>
      <c r="F387" s="169"/>
      <c r="G387" s="169"/>
      <c r="H387" s="92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 spans="1:27" ht="15.6">
      <c r="A388" s="193"/>
      <c r="B388" s="193"/>
      <c r="C388" s="193"/>
      <c r="D388" s="193"/>
      <c r="E388" s="169"/>
      <c r="F388" s="169"/>
      <c r="G388" s="169"/>
      <c r="H388" s="92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 spans="1:27" ht="15.6">
      <c r="A389" s="193"/>
      <c r="B389" s="193"/>
      <c r="C389" s="193"/>
      <c r="D389" s="193"/>
      <c r="E389" s="169"/>
      <c r="F389" s="169"/>
      <c r="G389" s="169"/>
      <c r="H389" s="92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 spans="1:27" ht="15.6">
      <c r="A390" s="193"/>
      <c r="B390" s="193"/>
      <c r="C390" s="193"/>
      <c r="D390" s="193"/>
      <c r="E390" s="169"/>
      <c r="F390" s="169"/>
      <c r="G390" s="169"/>
      <c r="H390" s="92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 spans="1:27" ht="15.6">
      <c r="A391" s="193"/>
      <c r="B391" s="193"/>
      <c r="C391" s="193"/>
      <c r="D391" s="193"/>
      <c r="E391" s="169"/>
      <c r="F391" s="169"/>
      <c r="G391" s="169"/>
      <c r="H391" s="92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 spans="1:27" ht="15.6">
      <c r="A392" s="193"/>
      <c r="B392" s="193"/>
      <c r="C392" s="193"/>
      <c r="D392" s="193"/>
      <c r="E392" s="169"/>
      <c r="F392" s="169"/>
      <c r="G392" s="169"/>
      <c r="H392" s="92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 spans="1:27" ht="15.6">
      <c r="A393" s="193"/>
      <c r="B393" s="193"/>
      <c r="C393" s="193"/>
      <c r="D393" s="193"/>
      <c r="E393" s="169"/>
      <c r="F393" s="169"/>
      <c r="G393" s="169"/>
      <c r="H393" s="92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 spans="1:27" ht="15.6">
      <c r="A394" s="193"/>
      <c r="B394" s="193"/>
      <c r="C394" s="193"/>
      <c r="D394" s="193"/>
      <c r="E394" s="169"/>
      <c r="F394" s="169"/>
      <c r="G394" s="169"/>
      <c r="H394" s="92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 spans="1:27" ht="15.6">
      <c r="A395" s="193"/>
      <c r="B395" s="193"/>
      <c r="C395" s="193"/>
      <c r="D395" s="193"/>
      <c r="E395" s="169"/>
      <c r="F395" s="169"/>
      <c r="G395" s="169"/>
      <c r="H395" s="92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 spans="1:27" ht="15.6">
      <c r="A396" s="193"/>
      <c r="B396" s="193"/>
      <c r="C396" s="193"/>
      <c r="D396" s="193"/>
      <c r="E396" s="169"/>
      <c r="F396" s="169"/>
      <c r="G396" s="169"/>
      <c r="H396" s="92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 spans="1:27" ht="15.6">
      <c r="A397" s="193"/>
      <c r="B397" s="193"/>
      <c r="C397" s="193"/>
      <c r="D397" s="193"/>
      <c r="E397" s="169"/>
      <c r="F397" s="169"/>
      <c r="G397" s="169"/>
      <c r="H397" s="92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 spans="1:27" ht="15.6">
      <c r="A398" s="193"/>
      <c r="B398" s="193"/>
      <c r="C398" s="193"/>
      <c r="D398" s="193"/>
      <c r="E398" s="169"/>
      <c r="F398" s="169"/>
      <c r="G398" s="169"/>
      <c r="H398" s="92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 spans="1:27" ht="15.6">
      <c r="A399" s="193"/>
      <c r="B399" s="193"/>
      <c r="C399" s="193"/>
      <c r="D399" s="193"/>
      <c r="E399" s="169"/>
      <c r="F399" s="169"/>
      <c r="G399" s="169"/>
      <c r="H399" s="92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 spans="1:27" ht="15.6">
      <c r="A400" s="193"/>
      <c r="B400" s="193"/>
      <c r="C400" s="193"/>
      <c r="D400" s="193"/>
      <c r="E400" s="169"/>
      <c r="F400" s="169"/>
      <c r="G400" s="169"/>
      <c r="H400" s="92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 spans="1:27" ht="15.6">
      <c r="A401" s="193"/>
      <c r="B401" s="193"/>
      <c r="C401" s="193"/>
      <c r="D401" s="193"/>
      <c r="E401" s="169"/>
      <c r="F401" s="169"/>
      <c r="G401" s="169"/>
      <c r="H401" s="92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 spans="1:27" ht="15.6">
      <c r="A402" s="193"/>
      <c r="B402" s="193"/>
      <c r="C402" s="193"/>
      <c r="D402" s="193"/>
      <c r="E402" s="169"/>
      <c r="F402" s="169"/>
      <c r="G402" s="169"/>
      <c r="H402" s="92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 spans="1:27" ht="15.6">
      <c r="A403" s="193"/>
      <c r="B403" s="193"/>
      <c r="C403" s="193"/>
      <c r="D403" s="193"/>
      <c r="E403" s="169"/>
      <c r="F403" s="169"/>
      <c r="G403" s="169"/>
      <c r="H403" s="92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 spans="1:27" ht="15.6">
      <c r="A404" s="193"/>
      <c r="B404" s="193"/>
      <c r="C404" s="193"/>
      <c r="D404" s="193"/>
      <c r="E404" s="169"/>
      <c r="F404" s="169"/>
      <c r="G404" s="169"/>
      <c r="H404" s="92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 spans="1:27" ht="15.6">
      <c r="A405" s="193"/>
      <c r="B405" s="193"/>
      <c r="C405" s="193"/>
      <c r="D405" s="193"/>
      <c r="E405" s="169"/>
      <c r="F405" s="169"/>
      <c r="G405" s="169"/>
      <c r="H405" s="92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 spans="1:27" ht="15.6">
      <c r="A406" s="193"/>
      <c r="B406" s="193"/>
      <c r="C406" s="193"/>
      <c r="D406" s="193"/>
      <c r="E406" s="169"/>
      <c r="F406" s="169"/>
      <c r="G406" s="169"/>
      <c r="H406" s="92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 spans="1:27" ht="15.6">
      <c r="A407" s="193"/>
      <c r="B407" s="193"/>
      <c r="C407" s="193"/>
      <c r="D407" s="193"/>
      <c r="E407" s="169"/>
      <c r="F407" s="169"/>
      <c r="G407" s="169"/>
      <c r="H407" s="92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 spans="1:27" ht="15.6">
      <c r="A408" s="193"/>
      <c r="B408" s="193"/>
      <c r="C408" s="193"/>
      <c r="D408" s="193"/>
      <c r="E408" s="169"/>
      <c r="F408" s="169"/>
      <c r="G408" s="169"/>
      <c r="H408" s="92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 spans="1:27" ht="15.6">
      <c r="A409" s="193"/>
      <c r="B409" s="193"/>
      <c r="C409" s="193"/>
      <c r="D409" s="193"/>
      <c r="E409" s="169"/>
      <c r="F409" s="169"/>
      <c r="G409" s="169"/>
      <c r="H409" s="92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 spans="1:27" ht="15.6">
      <c r="A410" s="193"/>
      <c r="B410" s="193"/>
      <c r="C410" s="193"/>
      <c r="D410" s="193"/>
      <c r="E410" s="169"/>
      <c r="F410" s="169"/>
      <c r="G410" s="169"/>
      <c r="H410" s="92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 spans="1:27" ht="15.6">
      <c r="A411" s="193"/>
      <c r="B411" s="193"/>
      <c r="C411" s="193"/>
      <c r="D411" s="193"/>
      <c r="E411" s="169"/>
      <c r="F411" s="169"/>
      <c r="G411" s="169"/>
      <c r="H411" s="92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 spans="1:27" ht="15.6">
      <c r="A412" s="193"/>
      <c r="B412" s="193"/>
      <c r="C412" s="193"/>
      <c r="D412" s="193"/>
      <c r="E412" s="169"/>
      <c r="F412" s="169"/>
      <c r="G412" s="169"/>
      <c r="H412" s="92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 spans="1:27" ht="15.6">
      <c r="A413" s="193"/>
      <c r="B413" s="193"/>
      <c r="C413" s="193"/>
      <c r="D413" s="193"/>
      <c r="E413" s="169"/>
      <c r="F413" s="169"/>
      <c r="G413" s="169"/>
      <c r="H413" s="92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 spans="1:27" ht="15.6">
      <c r="A414" s="193"/>
      <c r="B414" s="193"/>
      <c r="C414" s="193"/>
      <c r="D414" s="193"/>
      <c r="E414" s="169"/>
      <c r="F414" s="169"/>
      <c r="G414" s="169"/>
      <c r="H414" s="92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 spans="1:27" ht="15.6">
      <c r="A415" s="193"/>
      <c r="B415" s="193"/>
      <c r="C415" s="193"/>
      <c r="D415" s="193"/>
      <c r="E415" s="169"/>
      <c r="F415" s="169"/>
      <c r="G415" s="169"/>
      <c r="H415" s="92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 spans="1:27" ht="15.6">
      <c r="A416" s="193"/>
      <c r="B416" s="193"/>
      <c r="C416" s="193"/>
      <c r="D416" s="193"/>
      <c r="E416" s="169"/>
      <c r="F416" s="169"/>
      <c r="G416" s="169"/>
      <c r="H416" s="92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 spans="1:27" ht="15.6">
      <c r="A417" s="193"/>
      <c r="B417" s="193"/>
      <c r="C417" s="193"/>
      <c r="D417" s="193"/>
      <c r="E417" s="169"/>
      <c r="F417" s="169"/>
      <c r="G417" s="169"/>
      <c r="H417" s="92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 spans="1:27" ht="15.6">
      <c r="A418" s="193"/>
      <c r="B418" s="193"/>
      <c r="C418" s="193"/>
      <c r="D418" s="193"/>
      <c r="E418" s="169"/>
      <c r="F418" s="169"/>
      <c r="G418" s="169"/>
      <c r="H418" s="92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 spans="1:27" ht="15.6">
      <c r="A419" s="193"/>
      <c r="B419" s="193"/>
      <c r="C419" s="193"/>
      <c r="D419" s="193"/>
      <c r="E419" s="169"/>
      <c r="F419" s="169"/>
      <c r="G419" s="169"/>
      <c r="H419" s="92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 spans="1:27" ht="15.6">
      <c r="A420" s="193"/>
      <c r="B420" s="193"/>
      <c r="C420" s="193"/>
      <c r="D420" s="193"/>
      <c r="E420" s="169"/>
      <c r="F420" s="169"/>
      <c r="G420" s="169"/>
      <c r="H420" s="92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 spans="1:27" ht="15.6">
      <c r="A421" s="193"/>
      <c r="B421" s="193"/>
      <c r="C421" s="193"/>
      <c r="D421" s="193"/>
      <c r="E421" s="169"/>
      <c r="F421" s="169"/>
      <c r="G421" s="169"/>
      <c r="H421" s="92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 spans="1:27" ht="15.6">
      <c r="A422" s="193"/>
      <c r="B422" s="193"/>
      <c r="C422" s="193"/>
      <c r="D422" s="193"/>
      <c r="E422" s="169"/>
      <c r="F422" s="169"/>
      <c r="G422" s="169"/>
      <c r="H422" s="92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 spans="1:27" ht="15.6">
      <c r="A423" s="193"/>
      <c r="B423" s="193"/>
      <c r="C423" s="193"/>
      <c r="D423" s="193"/>
      <c r="E423" s="169"/>
      <c r="F423" s="169"/>
      <c r="G423" s="169"/>
      <c r="H423" s="92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 spans="1:27" ht="15.6">
      <c r="A424" s="193"/>
      <c r="B424" s="193"/>
      <c r="C424" s="193"/>
      <c r="D424" s="193"/>
      <c r="E424" s="169"/>
      <c r="F424" s="169"/>
      <c r="G424" s="169"/>
      <c r="H424" s="92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 spans="1:27" ht="15.6">
      <c r="A425" s="193"/>
      <c r="B425" s="193"/>
      <c r="C425" s="193"/>
      <c r="D425" s="193"/>
      <c r="E425" s="169"/>
      <c r="F425" s="169"/>
      <c r="G425" s="169"/>
      <c r="H425" s="92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 spans="1:27" ht="15.6">
      <c r="A426" s="193"/>
      <c r="B426" s="193"/>
      <c r="C426" s="193"/>
      <c r="D426" s="193"/>
      <c r="E426" s="169"/>
      <c r="F426" s="169"/>
      <c r="G426" s="169"/>
      <c r="H426" s="92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 spans="1:27" ht="15.6">
      <c r="A427" s="193"/>
      <c r="B427" s="193"/>
      <c r="C427" s="193"/>
      <c r="D427" s="193"/>
      <c r="E427" s="169"/>
      <c r="F427" s="169"/>
      <c r="G427" s="169"/>
      <c r="H427" s="92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 spans="1:27" ht="15.6">
      <c r="A428" s="193"/>
      <c r="B428" s="193"/>
      <c r="C428" s="193"/>
      <c r="D428" s="193"/>
      <c r="E428" s="169"/>
      <c r="F428" s="169"/>
      <c r="G428" s="169"/>
      <c r="H428" s="92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 spans="1:27" ht="15.6">
      <c r="A429" s="193"/>
      <c r="B429" s="193"/>
      <c r="C429" s="193"/>
      <c r="D429" s="193"/>
      <c r="E429" s="169"/>
      <c r="F429" s="169"/>
      <c r="G429" s="169"/>
      <c r="H429" s="92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 spans="1:27" ht="15.6">
      <c r="A430" s="193"/>
      <c r="B430" s="193"/>
      <c r="C430" s="193"/>
      <c r="D430" s="193"/>
      <c r="E430" s="169"/>
      <c r="F430" s="169"/>
      <c r="G430" s="169"/>
      <c r="H430" s="92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 spans="1:27" ht="15.6">
      <c r="A431" s="193"/>
      <c r="B431" s="193"/>
      <c r="C431" s="193"/>
      <c r="D431" s="193"/>
      <c r="E431" s="169"/>
      <c r="F431" s="169"/>
      <c r="G431" s="169"/>
      <c r="H431" s="92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 spans="1:27" ht="15.6">
      <c r="A432" s="193"/>
      <c r="B432" s="193"/>
      <c r="C432" s="193"/>
      <c r="D432" s="193"/>
      <c r="E432" s="169"/>
      <c r="F432" s="169"/>
      <c r="G432" s="169"/>
      <c r="H432" s="92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 spans="1:27" ht="15.6">
      <c r="A433" s="193"/>
      <c r="B433" s="193"/>
      <c r="C433" s="193"/>
      <c r="D433" s="193"/>
      <c r="E433" s="169"/>
      <c r="F433" s="169"/>
      <c r="G433" s="169"/>
      <c r="H433" s="92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 spans="1:27" ht="15.6">
      <c r="A434" s="193"/>
      <c r="B434" s="193"/>
      <c r="C434" s="193"/>
      <c r="D434" s="193"/>
      <c r="E434" s="169"/>
      <c r="F434" s="169"/>
      <c r="G434" s="169"/>
      <c r="H434" s="92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 spans="1:27" ht="15.6">
      <c r="A435" s="193"/>
      <c r="B435" s="193"/>
      <c r="C435" s="193"/>
      <c r="D435" s="193"/>
      <c r="E435" s="169"/>
      <c r="F435" s="169"/>
      <c r="G435" s="169"/>
      <c r="H435" s="92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 spans="1:27" ht="15.6">
      <c r="A436" s="193"/>
      <c r="B436" s="193"/>
      <c r="C436" s="193"/>
      <c r="D436" s="193"/>
      <c r="E436" s="169"/>
      <c r="F436" s="169"/>
      <c r="G436" s="169"/>
      <c r="H436" s="92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 spans="1:27" ht="15.6">
      <c r="A437" s="193"/>
      <c r="B437" s="193"/>
      <c r="C437" s="193"/>
      <c r="D437" s="193"/>
      <c r="E437" s="169"/>
      <c r="F437" s="169"/>
      <c r="G437" s="169"/>
      <c r="H437" s="92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 spans="1:27" ht="15.6">
      <c r="A438" s="193"/>
      <c r="B438" s="193"/>
      <c r="C438" s="193"/>
      <c r="D438" s="193"/>
      <c r="E438" s="169"/>
      <c r="F438" s="169"/>
      <c r="G438" s="169"/>
      <c r="H438" s="92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 spans="1:27" ht="15.6">
      <c r="A439" s="193"/>
      <c r="B439" s="193"/>
      <c r="C439" s="193"/>
      <c r="D439" s="193"/>
      <c r="E439" s="169"/>
      <c r="F439" s="169"/>
      <c r="G439" s="169"/>
      <c r="H439" s="92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 spans="1:27" ht="15.6">
      <c r="A440" s="193"/>
      <c r="B440" s="193"/>
      <c r="C440" s="193"/>
      <c r="D440" s="193"/>
      <c r="E440" s="169"/>
      <c r="F440" s="169"/>
      <c r="G440" s="169"/>
      <c r="H440" s="92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 spans="1:27" ht="15.6">
      <c r="A441" s="193"/>
      <c r="B441" s="193"/>
      <c r="C441" s="193"/>
      <c r="D441" s="193"/>
      <c r="E441" s="169"/>
      <c r="F441" s="169"/>
      <c r="G441" s="169"/>
      <c r="H441" s="92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 spans="1:27" ht="15.6">
      <c r="A442" s="193"/>
      <c r="B442" s="193"/>
      <c r="C442" s="193"/>
      <c r="D442" s="193"/>
      <c r="E442" s="169"/>
      <c r="F442" s="169"/>
      <c r="G442" s="169"/>
      <c r="H442" s="92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 spans="1:27" ht="15.6">
      <c r="A443" s="193"/>
      <c r="B443" s="193"/>
      <c r="C443" s="193"/>
      <c r="D443" s="193"/>
      <c r="E443" s="169"/>
      <c r="F443" s="169"/>
      <c r="G443" s="169"/>
      <c r="H443" s="92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 spans="1:27" ht="15.6">
      <c r="A444" s="193"/>
      <c r="B444" s="193"/>
      <c r="C444" s="193"/>
      <c r="D444" s="193"/>
      <c r="E444" s="169"/>
      <c r="F444" s="169"/>
      <c r="G444" s="169"/>
      <c r="H444" s="92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 spans="1:27" ht="15.6">
      <c r="A445" s="193"/>
      <c r="B445" s="193"/>
      <c r="C445" s="193"/>
      <c r="D445" s="193"/>
      <c r="E445" s="169"/>
      <c r="F445" s="169"/>
      <c r="G445" s="169"/>
      <c r="H445" s="92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 spans="1:27" ht="15.6">
      <c r="A446" s="193"/>
      <c r="B446" s="193"/>
      <c r="C446" s="193"/>
      <c r="D446" s="193"/>
      <c r="E446" s="169"/>
      <c r="F446" s="169"/>
      <c r="G446" s="169"/>
      <c r="H446" s="92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 spans="1:27" ht="15.6">
      <c r="A447" s="193"/>
      <c r="B447" s="193"/>
      <c r="C447" s="193"/>
      <c r="D447" s="193"/>
      <c r="E447" s="169"/>
      <c r="F447" s="169"/>
      <c r="G447" s="169"/>
      <c r="H447" s="92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 spans="1:27" ht="15.6">
      <c r="A448" s="193"/>
      <c r="B448" s="193"/>
      <c r="C448" s="193"/>
      <c r="D448" s="193"/>
      <c r="E448" s="169"/>
      <c r="F448" s="169"/>
      <c r="G448" s="169"/>
      <c r="H448" s="92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 spans="1:27" ht="15.6">
      <c r="A449" s="193"/>
      <c r="B449" s="193"/>
      <c r="C449" s="193"/>
      <c r="D449" s="193"/>
      <c r="E449" s="169"/>
      <c r="F449" s="169"/>
      <c r="G449" s="169"/>
      <c r="H449" s="92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 spans="1:27" ht="15.6">
      <c r="A450" s="193"/>
      <c r="B450" s="193"/>
      <c r="C450" s="193"/>
      <c r="D450" s="193"/>
      <c r="E450" s="169"/>
      <c r="F450" s="169"/>
      <c r="G450" s="169"/>
      <c r="H450" s="92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 spans="1:27" ht="15.6">
      <c r="A451" s="193"/>
      <c r="B451" s="193"/>
      <c r="C451" s="193"/>
      <c r="D451" s="193"/>
      <c r="E451" s="169"/>
      <c r="F451" s="169"/>
      <c r="G451" s="169"/>
      <c r="H451" s="92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 spans="1:27" ht="15.6">
      <c r="A452" s="193"/>
      <c r="B452" s="193"/>
      <c r="C452" s="193"/>
      <c r="D452" s="193"/>
      <c r="E452" s="169"/>
      <c r="F452" s="169"/>
      <c r="G452" s="169"/>
      <c r="H452" s="92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 spans="1:27" ht="15.6">
      <c r="A453" s="193"/>
      <c r="B453" s="193"/>
      <c r="C453" s="193"/>
      <c r="D453" s="193"/>
      <c r="E453" s="169"/>
      <c r="F453" s="169"/>
      <c r="G453" s="169"/>
      <c r="H453" s="92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 spans="1:27" ht="15.6">
      <c r="A454" s="193"/>
      <c r="B454" s="193"/>
      <c r="C454" s="193"/>
      <c r="D454" s="193"/>
      <c r="E454" s="169"/>
      <c r="F454" s="169"/>
      <c r="G454" s="169"/>
      <c r="H454" s="92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 spans="1:27" ht="15.6">
      <c r="A455" s="193"/>
      <c r="B455" s="193"/>
      <c r="C455" s="193"/>
      <c r="D455" s="193"/>
      <c r="E455" s="169"/>
      <c r="F455" s="169"/>
      <c r="G455" s="169"/>
      <c r="H455" s="92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 spans="1:27" ht="15.6">
      <c r="A456" s="193"/>
      <c r="B456" s="193"/>
      <c r="C456" s="193"/>
      <c r="D456" s="193"/>
      <c r="E456" s="169"/>
      <c r="F456" s="169"/>
      <c r="G456" s="169"/>
      <c r="H456" s="92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 spans="1:27" ht="15.6">
      <c r="A457" s="193"/>
      <c r="B457" s="193"/>
      <c r="C457" s="193"/>
      <c r="D457" s="193"/>
      <c r="E457" s="169"/>
      <c r="F457" s="169"/>
      <c r="G457" s="169"/>
      <c r="H457" s="92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 spans="1:27" ht="15.6">
      <c r="A458" s="193"/>
      <c r="B458" s="193"/>
      <c r="C458" s="193"/>
      <c r="D458" s="193"/>
      <c r="E458" s="169"/>
      <c r="F458" s="169"/>
      <c r="G458" s="169"/>
      <c r="H458" s="92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 spans="1:27" ht="15.6">
      <c r="A459" s="193"/>
      <c r="B459" s="193"/>
      <c r="C459" s="193"/>
      <c r="D459" s="193"/>
      <c r="E459" s="169"/>
      <c r="F459" s="169"/>
      <c r="G459" s="169"/>
      <c r="H459" s="92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 spans="1:27" ht="15.6">
      <c r="A460" s="193"/>
      <c r="B460" s="193"/>
      <c r="C460" s="193"/>
      <c r="D460" s="193"/>
      <c r="E460" s="169"/>
      <c r="F460" s="169"/>
      <c r="G460" s="169"/>
      <c r="H460" s="92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 spans="1:27" ht="15.6">
      <c r="A461" s="193"/>
      <c r="B461" s="193"/>
      <c r="C461" s="193"/>
      <c r="D461" s="193"/>
      <c r="E461" s="169"/>
      <c r="F461" s="169"/>
      <c r="G461" s="169"/>
      <c r="H461" s="92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 spans="1:27" ht="15.6">
      <c r="A462" s="193"/>
      <c r="B462" s="193"/>
      <c r="C462" s="193"/>
      <c r="D462" s="193"/>
      <c r="E462" s="169"/>
      <c r="F462" s="169"/>
      <c r="G462" s="169"/>
      <c r="H462" s="92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 spans="1:27" ht="15.6">
      <c r="A463" s="193"/>
      <c r="B463" s="193"/>
      <c r="C463" s="193"/>
      <c r="D463" s="193"/>
      <c r="E463" s="169"/>
      <c r="F463" s="169"/>
      <c r="G463" s="169"/>
      <c r="H463" s="92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 spans="1:27" ht="15.6">
      <c r="A464" s="193"/>
      <c r="B464" s="193"/>
      <c r="C464" s="193"/>
      <c r="D464" s="193"/>
      <c r="E464" s="169"/>
      <c r="F464" s="169"/>
      <c r="G464" s="169"/>
      <c r="H464" s="92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 spans="1:27" ht="15.6">
      <c r="A465" s="193"/>
      <c r="B465" s="193"/>
      <c r="C465" s="193"/>
      <c r="D465" s="193"/>
      <c r="E465" s="169"/>
      <c r="F465" s="169"/>
      <c r="G465" s="169"/>
      <c r="H465" s="92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 spans="1:27" ht="15.6">
      <c r="A466" s="193"/>
      <c r="B466" s="193"/>
      <c r="C466" s="193"/>
      <c r="D466" s="193"/>
      <c r="E466" s="169"/>
      <c r="F466" s="169"/>
      <c r="G466" s="169"/>
      <c r="H466" s="92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 spans="1:27" ht="15.6">
      <c r="A467" s="193"/>
      <c r="B467" s="193"/>
      <c r="C467" s="193"/>
      <c r="D467" s="193"/>
      <c r="E467" s="169"/>
      <c r="F467" s="169"/>
      <c r="G467" s="169"/>
      <c r="H467" s="92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 spans="1:27" ht="15.6">
      <c r="A468" s="193"/>
      <c r="B468" s="193"/>
      <c r="C468" s="193"/>
      <c r="D468" s="193"/>
      <c r="E468" s="169"/>
      <c r="F468" s="169"/>
      <c r="G468" s="169"/>
      <c r="H468" s="92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 spans="1:27" ht="15.6">
      <c r="A469" s="193"/>
      <c r="B469" s="193"/>
      <c r="C469" s="193"/>
      <c r="D469" s="193"/>
      <c r="E469" s="169"/>
      <c r="F469" s="169"/>
      <c r="G469" s="169"/>
      <c r="H469" s="92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 spans="1:27" ht="15.6">
      <c r="A470" s="193"/>
      <c r="B470" s="193"/>
      <c r="C470" s="193"/>
      <c r="D470" s="193"/>
      <c r="E470" s="169"/>
      <c r="F470" s="169"/>
      <c r="G470" s="169"/>
      <c r="H470" s="92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 spans="1:27" ht="15.6">
      <c r="A471" s="193"/>
      <c r="B471" s="193"/>
      <c r="C471" s="193"/>
      <c r="D471" s="193"/>
      <c r="E471" s="169"/>
      <c r="F471" s="169"/>
      <c r="G471" s="169"/>
      <c r="H471" s="92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 spans="1:27" ht="15.6">
      <c r="A472" s="193"/>
      <c r="B472" s="193"/>
      <c r="C472" s="193"/>
      <c r="D472" s="193"/>
      <c r="E472" s="169"/>
      <c r="F472" s="169"/>
      <c r="G472" s="169"/>
      <c r="H472" s="92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 spans="1:27" ht="15.6">
      <c r="A473" s="193"/>
      <c r="B473" s="193"/>
      <c r="C473" s="193"/>
      <c r="D473" s="193"/>
      <c r="E473" s="169"/>
      <c r="F473" s="169"/>
      <c r="G473" s="169"/>
      <c r="H473" s="92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 spans="1:27" ht="15.6">
      <c r="A474" s="193"/>
      <c r="B474" s="193"/>
      <c r="C474" s="193"/>
      <c r="D474" s="193"/>
      <c r="E474" s="169"/>
      <c r="F474" s="169"/>
      <c r="G474" s="169"/>
      <c r="H474" s="92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 spans="1:27" ht="15.6">
      <c r="A475" s="193"/>
      <c r="B475" s="193"/>
      <c r="C475" s="193"/>
      <c r="D475" s="193"/>
      <c r="E475" s="169"/>
      <c r="F475" s="169"/>
      <c r="G475" s="169"/>
      <c r="H475" s="92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 spans="1:27" ht="15.6">
      <c r="A476" s="193"/>
      <c r="B476" s="193"/>
      <c r="C476" s="193"/>
      <c r="D476" s="193"/>
      <c r="E476" s="169"/>
      <c r="F476" s="169"/>
      <c r="G476" s="169"/>
      <c r="H476" s="92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 spans="1:27" ht="15.6">
      <c r="A477" s="193"/>
      <c r="B477" s="193"/>
      <c r="C477" s="193"/>
      <c r="D477" s="193"/>
      <c r="E477" s="169"/>
      <c r="F477" s="169"/>
      <c r="G477" s="169"/>
      <c r="H477" s="92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 spans="1:27" ht="15.6">
      <c r="A478" s="193"/>
      <c r="B478" s="193"/>
      <c r="C478" s="193"/>
      <c r="D478" s="193"/>
      <c r="E478" s="169"/>
      <c r="F478" s="169"/>
      <c r="G478" s="169"/>
      <c r="H478" s="92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 spans="1:27" ht="15.6">
      <c r="A479" s="193"/>
      <c r="B479" s="193"/>
      <c r="C479" s="193"/>
      <c r="D479" s="193"/>
      <c r="E479" s="169"/>
      <c r="F479" s="169"/>
      <c r="G479" s="169"/>
      <c r="H479" s="92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 spans="1:27" ht="15.6">
      <c r="A480" s="193"/>
      <c r="B480" s="193"/>
      <c r="C480" s="193"/>
      <c r="D480" s="193"/>
      <c r="E480" s="169"/>
      <c r="F480" s="169"/>
      <c r="G480" s="169"/>
      <c r="H480" s="92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 spans="1:27" ht="15.6">
      <c r="A481" s="193"/>
      <c r="B481" s="193"/>
      <c r="C481" s="193"/>
      <c r="D481" s="193"/>
      <c r="E481" s="169"/>
      <c r="F481" s="169"/>
      <c r="G481" s="169"/>
      <c r="H481" s="92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 spans="1:27" ht="15.6">
      <c r="A482" s="193"/>
      <c r="B482" s="193"/>
      <c r="C482" s="193"/>
      <c r="D482" s="193"/>
      <c r="E482" s="169"/>
      <c r="F482" s="169"/>
      <c r="G482" s="169"/>
      <c r="H482" s="92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 spans="1:27" ht="15.6">
      <c r="A483" s="193"/>
      <c r="B483" s="193"/>
      <c r="C483" s="193"/>
      <c r="D483" s="193"/>
      <c r="E483" s="169"/>
      <c r="F483" s="169"/>
      <c r="G483" s="169"/>
      <c r="H483" s="92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 spans="1:27" ht="15.6">
      <c r="A484" s="193"/>
      <c r="B484" s="193"/>
      <c r="C484" s="193"/>
      <c r="D484" s="193"/>
      <c r="E484" s="169"/>
      <c r="F484" s="169"/>
      <c r="G484" s="169"/>
      <c r="H484" s="92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 spans="1:27" ht="15.6">
      <c r="A485" s="193"/>
      <c r="B485" s="193"/>
      <c r="C485" s="193"/>
      <c r="D485" s="193"/>
      <c r="E485" s="169"/>
      <c r="F485" s="169"/>
      <c r="G485" s="169"/>
      <c r="H485" s="92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 spans="1:27" ht="15.6">
      <c r="A486" s="193"/>
      <c r="B486" s="193"/>
      <c r="C486" s="193"/>
      <c r="D486" s="193"/>
      <c r="E486" s="169"/>
      <c r="F486" s="169"/>
      <c r="G486" s="169"/>
      <c r="H486" s="92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 spans="1:27" ht="15.6">
      <c r="A487" s="193"/>
      <c r="B487" s="193"/>
      <c r="C487" s="193"/>
      <c r="D487" s="193"/>
      <c r="E487" s="169"/>
      <c r="F487" s="169"/>
      <c r="G487" s="169"/>
      <c r="H487" s="92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 spans="1:27" ht="15.6">
      <c r="A488" s="193"/>
      <c r="B488" s="193"/>
      <c r="C488" s="193"/>
      <c r="D488" s="193"/>
      <c r="E488" s="169"/>
      <c r="F488" s="169"/>
      <c r="G488" s="169"/>
      <c r="H488" s="92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 spans="1:27" ht="15.6">
      <c r="A489" s="193"/>
      <c r="B489" s="193"/>
      <c r="C489" s="193"/>
      <c r="D489" s="193"/>
      <c r="E489" s="169"/>
      <c r="F489" s="169"/>
      <c r="G489" s="169"/>
      <c r="H489" s="92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 spans="1:27" ht="15.6">
      <c r="A490" s="193"/>
      <c r="B490" s="193"/>
      <c r="C490" s="193"/>
      <c r="D490" s="193"/>
      <c r="E490" s="169"/>
      <c r="F490" s="169"/>
      <c r="G490" s="169"/>
      <c r="H490" s="92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 spans="1:27" ht="15.6">
      <c r="A491" s="193"/>
      <c r="B491" s="193"/>
      <c r="C491" s="193"/>
      <c r="D491" s="193"/>
      <c r="E491" s="169"/>
      <c r="F491" s="169"/>
      <c r="G491" s="169"/>
      <c r="H491" s="92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 spans="1:27" ht="15.6">
      <c r="A492" s="193"/>
      <c r="B492" s="193"/>
      <c r="C492" s="193"/>
      <c r="D492" s="193"/>
      <c r="E492" s="169"/>
      <c r="F492" s="169"/>
      <c r="G492" s="169"/>
      <c r="H492" s="92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 spans="1:27" ht="15.6">
      <c r="A493" s="193"/>
      <c r="B493" s="193"/>
      <c r="C493" s="193"/>
      <c r="D493" s="193"/>
      <c r="E493" s="169"/>
      <c r="F493" s="169"/>
      <c r="G493" s="169"/>
      <c r="H493" s="92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 spans="1:27" ht="15.6">
      <c r="A494" s="193"/>
      <c r="B494" s="193"/>
      <c r="C494" s="193"/>
      <c r="D494" s="193"/>
      <c r="E494" s="169"/>
      <c r="F494" s="169"/>
      <c r="G494" s="169"/>
      <c r="H494" s="92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 spans="1:27" ht="15.6">
      <c r="A495" s="193"/>
      <c r="B495" s="193"/>
      <c r="C495" s="193"/>
      <c r="D495" s="193"/>
      <c r="E495" s="169"/>
      <c r="F495" s="169"/>
      <c r="G495" s="169"/>
      <c r="H495" s="92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 spans="1:27" ht="15.6">
      <c r="A496" s="193"/>
      <c r="B496" s="193"/>
      <c r="C496" s="193"/>
      <c r="D496" s="193"/>
      <c r="E496" s="169"/>
      <c r="F496" s="169"/>
      <c r="G496" s="169"/>
      <c r="H496" s="92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 spans="1:27" ht="15.6">
      <c r="A497" s="193"/>
      <c r="B497" s="193"/>
      <c r="C497" s="193"/>
      <c r="D497" s="193"/>
      <c r="E497" s="169"/>
      <c r="F497" s="169"/>
      <c r="G497" s="169"/>
      <c r="H497" s="92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 spans="1:27" ht="15.6">
      <c r="A498" s="193"/>
      <c r="B498" s="193"/>
      <c r="C498" s="193"/>
      <c r="D498" s="193"/>
      <c r="E498" s="169"/>
      <c r="F498" s="169"/>
      <c r="G498" s="169"/>
      <c r="H498" s="92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 spans="1:27" ht="15.6">
      <c r="A499" s="193"/>
      <c r="B499" s="193"/>
      <c r="C499" s="193"/>
      <c r="D499" s="193"/>
      <c r="E499" s="169"/>
      <c r="F499" s="169"/>
      <c r="G499" s="169"/>
      <c r="H499" s="92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 spans="1:27" ht="15.6">
      <c r="A500" s="193"/>
      <c r="B500" s="193"/>
      <c r="C500" s="193"/>
      <c r="D500" s="193"/>
      <c r="E500" s="169"/>
      <c r="F500" s="169"/>
      <c r="G500" s="169"/>
      <c r="H500" s="92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 spans="1:27" ht="15.6">
      <c r="A501" s="193"/>
      <c r="B501" s="193"/>
      <c r="C501" s="193"/>
      <c r="D501" s="193"/>
      <c r="E501" s="169"/>
      <c r="F501" s="169"/>
      <c r="G501" s="169"/>
      <c r="H501" s="92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 spans="1:27" ht="15.6">
      <c r="A502" s="193"/>
      <c r="B502" s="193"/>
      <c r="C502" s="193"/>
      <c r="D502" s="193"/>
      <c r="E502" s="169"/>
      <c r="F502" s="169"/>
      <c r="G502" s="169"/>
      <c r="H502" s="92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 spans="1:27" ht="15.6">
      <c r="A503" s="193"/>
      <c r="B503" s="193"/>
      <c r="C503" s="193"/>
      <c r="D503" s="193"/>
      <c r="E503" s="169"/>
      <c r="F503" s="169"/>
      <c r="G503" s="169"/>
      <c r="H503" s="92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 spans="1:27" ht="15.6">
      <c r="A504" s="193"/>
      <c r="B504" s="193"/>
      <c r="C504" s="193"/>
      <c r="D504" s="193"/>
      <c r="E504" s="169"/>
      <c r="F504" s="169"/>
      <c r="G504" s="169"/>
      <c r="H504" s="92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 spans="1:27" ht="15.6">
      <c r="A505" s="193"/>
      <c r="B505" s="193"/>
      <c r="C505" s="193"/>
      <c r="D505" s="193"/>
      <c r="E505" s="169"/>
      <c r="F505" s="169"/>
      <c r="G505" s="169"/>
      <c r="H505" s="92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 spans="1:27" ht="15.6">
      <c r="A506" s="193"/>
      <c r="B506" s="193"/>
      <c r="C506" s="193"/>
      <c r="D506" s="193"/>
      <c r="E506" s="169"/>
      <c r="F506" s="169"/>
      <c r="G506" s="169"/>
      <c r="H506" s="92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 spans="1:27" ht="15.6">
      <c r="A507" s="193"/>
      <c r="B507" s="193"/>
      <c r="C507" s="193"/>
      <c r="D507" s="193"/>
      <c r="E507" s="169"/>
      <c r="F507" s="169"/>
      <c r="G507" s="169"/>
      <c r="H507" s="92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 spans="1:27" ht="15.6">
      <c r="A508" s="193"/>
      <c r="B508" s="193"/>
      <c r="C508" s="193"/>
      <c r="D508" s="193"/>
      <c r="E508" s="169"/>
      <c r="F508" s="169"/>
      <c r="G508" s="169"/>
      <c r="H508" s="92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 spans="1:27" ht="15.6">
      <c r="A509" s="193"/>
      <c r="B509" s="193"/>
      <c r="C509" s="193"/>
      <c r="D509" s="193"/>
      <c r="E509" s="169"/>
      <c r="F509" s="169"/>
      <c r="G509" s="169"/>
      <c r="H509" s="92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 spans="1:27" ht="15.6">
      <c r="A510" s="193"/>
      <c r="B510" s="193"/>
      <c r="C510" s="193"/>
      <c r="D510" s="193"/>
      <c r="E510" s="169"/>
      <c r="F510" s="169"/>
      <c r="G510" s="169"/>
      <c r="H510" s="92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 spans="1:27" ht="15.6">
      <c r="A511" s="193"/>
      <c r="B511" s="193"/>
      <c r="C511" s="193"/>
      <c r="D511" s="193"/>
      <c r="E511" s="169"/>
      <c r="F511" s="169"/>
      <c r="G511" s="169"/>
      <c r="H511" s="92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 spans="1:27" ht="15.6">
      <c r="A512" s="193"/>
      <c r="B512" s="193"/>
      <c r="C512" s="193"/>
      <c r="D512" s="193"/>
      <c r="E512" s="169"/>
      <c r="F512" s="169"/>
      <c r="G512" s="169"/>
      <c r="H512" s="92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 spans="1:27" ht="15.6">
      <c r="A513" s="193"/>
      <c r="B513" s="193"/>
      <c r="C513" s="193"/>
      <c r="D513" s="193"/>
      <c r="E513" s="169"/>
      <c r="F513" s="169"/>
      <c r="G513" s="169"/>
      <c r="H513" s="92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 spans="1:27" ht="15.6">
      <c r="A514" s="193"/>
      <c r="B514" s="193"/>
      <c r="C514" s="193"/>
      <c r="D514" s="193"/>
      <c r="E514" s="169"/>
      <c r="F514" s="169"/>
      <c r="G514" s="169"/>
      <c r="H514" s="92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 spans="1:27" ht="15.6">
      <c r="A515" s="193"/>
      <c r="B515" s="193"/>
      <c r="C515" s="193"/>
      <c r="D515" s="193"/>
      <c r="E515" s="169"/>
      <c r="F515" s="169"/>
      <c r="G515" s="169"/>
      <c r="H515" s="92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 spans="1:27" ht="15.6">
      <c r="A516" s="193"/>
      <c r="B516" s="193"/>
      <c r="C516" s="193"/>
      <c r="D516" s="193"/>
      <c r="E516" s="169"/>
      <c r="F516" s="169"/>
      <c r="G516" s="169"/>
      <c r="H516" s="92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 spans="1:27" ht="15.6">
      <c r="A517" s="193"/>
      <c r="B517" s="193"/>
      <c r="C517" s="193"/>
      <c r="D517" s="193"/>
      <c r="E517" s="169"/>
      <c r="F517" s="169"/>
      <c r="G517" s="169"/>
      <c r="H517" s="92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 spans="1:27" ht="15.6">
      <c r="A518" s="193"/>
      <c r="B518" s="193"/>
      <c r="C518" s="193"/>
      <c r="D518" s="193"/>
      <c r="E518" s="169"/>
      <c r="F518" s="169"/>
      <c r="G518" s="169"/>
      <c r="H518" s="92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 spans="1:27" ht="15.6">
      <c r="A519" s="193"/>
      <c r="B519" s="193"/>
      <c r="C519" s="193"/>
      <c r="D519" s="193"/>
      <c r="E519" s="169"/>
      <c r="F519" s="169"/>
      <c r="G519" s="169"/>
      <c r="H519" s="92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 spans="1:27" ht="15.6">
      <c r="A520" s="193"/>
      <c r="B520" s="193"/>
      <c r="C520" s="193"/>
      <c r="D520" s="193"/>
      <c r="E520" s="169"/>
      <c r="F520" s="169"/>
      <c r="G520" s="169"/>
      <c r="H520" s="92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 spans="1:27" ht="15.6">
      <c r="A521" s="193"/>
      <c r="B521" s="193"/>
      <c r="C521" s="193"/>
      <c r="D521" s="193"/>
      <c r="E521" s="169"/>
      <c r="F521" s="169"/>
      <c r="G521" s="169"/>
      <c r="H521" s="92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 spans="1:27" ht="15.6">
      <c r="A522" s="193"/>
      <c r="B522" s="193"/>
      <c r="C522" s="193"/>
      <c r="D522" s="193"/>
      <c r="E522" s="169"/>
      <c r="F522" s="169"/>
      <c r="G522" s="169"/>
      <c r="H522" s="92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 spans="1:27" ht="15.6">
      <c r="A523" s="193"/>
      <c r="B523" s="193"/>
      <c r="C523" s="193"/>
      <c r="D523" s="193"/>
      <c r="E523" s="169"/>
      <c r="F523" s="169"/>
      <c r="G523" s="169"/>
      <c r="H523" s="92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 spans="1:27" ht="15.6">
      <c r="A524" s="193"/>
      <c r="B524" s="193"/>
      <c r="C524" s="193"/>
      <c r="D524" s="193"/>
      <c r="E524" s="169"/>
      <c r="F524" s="169"/>
      <c r="G524" s="169"/>
      <c r="H524" s="92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 spans="1:27" ht="15.6">
      <c r="A525" s="193"/>
      <c r="B525" s="193"/>
      <c r="C525" s="193"/>
      <c r="D525" s="193"/>
      <c r="E525" s="169"/>
      <c r="F525" s="169"/>
      <c r="G525" s="169"/>
      <c r="H525" s="92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 spans="1:27" ht="15.6">
      <c r="A526" s="193"/>
      <c r="B526" s="193"/>
      <c r="C526" s="193"/>
      <c r="D526" s="193"/>
      <c r="E526" s="169"/>
      <c r="F526" s="169"/>
      <c r="G526" s="169"/>
      <c r="H526" s="92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 spans="1:27" ht="15.6">
      <c r="A527" s="193"/>
      <c r="B527" s="193"/>
      <c r="C527" s="193"/>
      <c r="D527" s="193"/>
      <c r="E527" s="169"/>
      <c r="F527" s="169"/>
      <c r="G527" s="169"/>
      <c r="H527" s="92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 spans="1:27" ht="15.6">
      <c r="A528" s="193"/>
      <c r="B528" s="193"/>
      <c r="C528" s="193"/>
      <c r="D528" s="193"/>
      <c r="E528" s="169"/>
      <c r="F528" s="169"/>
      <c r="G528" s="169"/>
      <c r="H528" s="92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 spans="1:27" ht="15.6">
      <c r="A529" s="193"/>
      <c r="B529" s="193"/>
      <c r="C529" s="193"/>
      <c r="D529" s="193"/>
      <c r="E529" s="169"/>
      <c r="F529" s="169"/>
      <c r="G529" s="169"/>
      <c r="H529" s="92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 spans="1:27" ht="15.6">
      <c r="A530" s="193"/>
      <c r="B530" s="193"/>
      <c r="C530" s="193"/>
      <c r="D530" s="193"/>
      <c r="E530" s="169"/>
      <c r="F530" s="169"/>
      <c r="G530" s="169"/>
      <c r="H530" s="92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 spans="1:27" ht="15.6">
      <c r="A531" s="193"/>
      <c r="B531" s="193"/>
      <c r="C531" s="193"/>
      <c r="D531" s="193"/>
      <c r="E531" s="169"/>
      <c r="F531" s="169"/>
      <c r="G531" s="169"/>
      <c r="H531" s="92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 spans="1:27" ht="15.6">
      <c r="A532" s="193"/>
      <c r="B532" s="193"/>
      <c r="C532" s="193"/>
      <c r="D532" s="193"/>
      <c r="E532" s="169"/>
      <c r="F532" s="169"/>
      <c r="G532" s="169"/>
      <c r="H532" s="92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 spans="1:27" ht="15.6">
      <c r="A533" s="193"/>
      <c r="B533" s="193"/>
      <c r="C533" s="193"/>
      <c r="D533" s="193"/>
      <c r="E533" s="169"/>
      <c r="F533" s="169"/>
      <c r="G533" s="169"/>
      <c r="H533" s="92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 spans="1:27" ht="15.6">
      <c r="A534" s="193"/>
      <c r="B534" s="193"/>
      <c r="C534" s="193"/>
      <c r="D534" s="193"/>
      <c r="E534" s="169"/>
      <c r="F534" s="169"/>
      <c r="G534" s="169"/>
      <c r="H534" s="92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 spans="1:27" ht="15.6">
      <c r="A535" s="193"/>
      <c r="B535" s="193"/>
      <c r="C535" s="193"/>
      <c r="D535" s="193"/>
      <c r="E535" s="169"/>
      <c r="F535" s="169"/>
      <c r="G535" s="169"/>
      <c r="H535" s="92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 spans="1:27" ht="15.6">
      <c r="A536" s="193"/>
      <c r="B536" s="193"/>
      <c r="C536" s="193"/>
      <c r="D536" s="193"/>
      <c r="E536" s="169"/>
      <c r="F536" s="169"/>
      <c r="G536" s="169"/>
      <c r="H536" s="92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 spans="1:27" ht="15.6">
      <c r="A537" s="193"/>
      <c r="B537" s="193"/>
      <c r="C537" s="193"/>
      <c r="D537" s="193"/>
      <c r="E537" s="169"/>
      <c r="F537" s="169"/>
      <c r="G537" s="169"/>
      <c r="H537" s="92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 spans="1:27" ht="15.6">
      <c r="A538" s="193"/>
      <c r="B538" s="193"/>
      <c r="C538" s="193"/>
      <c r="D538" s="193"/>
      <c r="E538" s="169"/>
      <c r="F538" s="169"/>
      <c r="G538" s="169"/>
      <c r="H538" s="92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 spans="1:27" ht="15.6">
      <c r="A539" s="193"/>
      <c r="B539" s="193"/>
      <c r="C539" s="193"/>
      <c r="D539" s="193"/>
      <c r="E539" s="169"/>
      <c r="F539" s="169"/>
      <c r="G539" s="169"/>
      <c r="H539" s="92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 spans="1:27" ht="15.6">
      <c r="A540" s="193"/>
      <c r="B540" s="193"/>
      <c r="C540" s="193"/>
      <c r="D540" s="193"/>
      <c r="E540" s="169"/>
      <c r="F540" s="169"/>
      <c r="G540" s="169"/>
      <c r="H540" s="92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 spans="1:27" ht="15.6">
      <c r="A541" s="193"/>
      <c r="B541" s="193"/>
      <c r="C541" s="193"/>
      <c r="D541" s="193"/>
      <c r="E541" s="169"/>
      <c r="F541" s="169"/>
      <c r="G541" s="169"/>
      <c r="H541" s="92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 spans="1:27" ht="15.6">
      <c r="A542" s="193"/>
      <c r="B542" s="193"/>
      <c r="C542" s="193"/>
      <c r="D542" s="193"/>
      <c r="E542" s="169"/>
      <c r="F542" s="169"/>
      <c r="G542" s="169"/>
      <c r="H542" s="92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 spans="1:27" ht="15.6">
      <c r="A543" s="193"/>
      <c r="B543" s="193"/>
      <c r="C543" s="193"/>
      <c r="D543" s="193"/>
      <c r="E543" s="169"/>
      <c r="F543" s="169"/>
      <c r="G543" s="169"/>
      <c r="H543" s="92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 spans="1:27" ht="15.6">
      <c r="A544" s="193"/>
      <c r="B544" s="193"/>
      <c r="C544" s="193"/>
      <c r="D544" s="193"/>
      <c r="E544" s="169"/>
      <c r="F544" s="169"/>
      <c r="G544" s="169"/>
      <c r="H544" s="92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 spans="1:27" ht="15.6">
      <c r="A545" s="193"/>
      <c r="B545" s="193"/>
      <c r="C545" s="193"/>
      <c r="D545" s="193"/>
      <c r="E545" s="169"/>
      <c r="F545" s="169"/>
      <c r="G545" s="169"/>
      <c r="H545" s="92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 spans="1:27" ht="15.6">
      <c r="A546" s="193"/>
      <c r="B546" s="193"/>
      <c r="C546" s="193"/>
      <c r="D546" s="193"/>
      <c r="E546" s="169"/>
      <c r="F546" s="169"/>
      <c r="G546" s="169"/>
      <c r="H546" s="92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 spans="1:27" ht="15.6">
      <c r="A547" s="193"/>
      <c r="B547" s="193"/>
      <c r="C547" s="193"/>
      <c r="D547" s="193"/>
      <c r="E547" s="169"/>
      <c r="F547" s="169"/>
      <c r="G547" s="169"/>
      <c r="H547" s="92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 spans="1:27" ht="15.6">
      <c r="A548" s="193"/>
      <c r="B548" s="193"/>
      <c r="C548" s="193"/>
      <c r="D548" s="193"/>
      <c r="E548" s="169"/>
      <c r="F548" s="169"/>
      <c r="G548" s="169"/>
      <c r="H548" s="92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 spans="1:27" ht="15.6">
      <c r="A549" s="193"/>
      <c r="B549" s="193"/>
      <c r="C549" s="193"/>
      <c r="D549" s="193"/>
      <c r="E549" s="169"/>
      <c r="F549" s="169"/>
      <c r="G549" s="169"/>
      <c r="H549" s="92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 spans="1:27" ht="15.6">
      <c r="A550" s="193"/>
      <c r="B550" s="193"/>
      <c r="C550" s="193"/>
      <c r="D550" s="193"/>
      <c r="E550" s="169"/>
      <c r="F550" s="169"/>
      <c r="G550" s="169"/>
      <c r="H550" s="92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 spans="1:27" ht="15.6">
      <c r="A551" s="193"/>
      <c r="B551" s="193"/>
      <c r="C551" s="193"/>
      <c r="D551" s="193"/>
      <c r="E551" s="169"/>
      <c r="F551" s="169"/>
      <c r="G551" s="169"/>
      <c r="H551" s="92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 spans="1:27" ht="15.6">
      <c r="A552" s="193"/>
      <c r="B552" s="193"/>
      <c r="C552" s="193"/>
      <c r="D552" s="193"/>
      <c r="E552" s="169"/>
      <c r="F552" s="169"/>
      <c r="G552" s="169"/>
      <c r="H552" s="92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 spans="1:27" ht="15.6">
      <c r="A553" s="193"/>
      <c r="B553" s="193"/>
      <c r="C553" s="193"/>
      <c r="D553" s="193"/>
      <c r="E553" s="169"/>
      <c r="F553" s="169"/>
      <c r="G553" s="169"/>
      <c r="H553" s="92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 spans="1:27" ht="15.6">
      <c r="A554" s="193"/>
      <c r="B554" s="193"/>
      <c r="C554" s="193"/>
      <c r="D554" s="193"/>
      <c r="E554" s="169"/>
      <c r="F554" s="169"/>
      <c r="G554" s="169"/>
      <c r="H554" s="92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 spans="1:27" ht="15.6">
      <c r="A555" s="193"/>
      <c r="B555" s="193"/>
      <c r="C555" s="193"/>
      <c r="D555" s="193"/>
      <c r="E555" s="169"/>
      <c r="F555" s="169"/>
      <c r="G555" s="169"/>
      <c r="H555" s="92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 spans="1:27" ht="15.6">
      <c r="A556" s="193"/>
      <c r="B556" s="193"/>
      <c r="C556" s="193"/>
      <c r="D556" s="193"/>
      <c r="E556" s="169"/>
      <c r="F556" s="169"/>
      <c r="G556" s="169"/>
      <c r="H556" s="92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 spans="1:27" ht="15.6">
      <c r="A557" s="193"/>
      <c r="B557" s="193"/>
      <c r="C557" s="193"/>
      <c r="D557" s="193"/>
      <c r="E557" s="169"/>
      <c r="F557" s="169"/>
      <c r="G557" s="169"/>
      <c r="H557" s="92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 spans="1:27" ht="15.6">
      <c r="A558" s="193"/>
      <c r="B558" s="193"/>
      <c r="C558" s="193"/>
      <c r="D558" s="193"/>
      <c r="E558" s="169"/>
      <c r="F558" s="169"/>
      <c r="G558" s="169"/>
      <c r="H558" s="92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 spans="1:27" ht="15.6">
      <c r="A559" s="193"/>
      <c r="B559" s="193"/>
      <c r="C559" s="193"/>
      <c r="D559" s="193"/>
      <c r="E559" s="169"/>
      <c r="F559" s="169"/>
      <c r="G559" s="169"/>
      <c r="H559" s="92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 spans="1:27" ht="15.6">
      <c r="A560" s="193"/>
      <c r="B560" s="193"/>
      <c r="C560" s="193"/>
      <c r="D560" s="193"/>
      <c r="E560" s="169"/>
      <c r="F560" s="169"/>
      <c r="G560" s="169"/>
      <c r="H560" s="92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 spans="1:27" ht="15.6">
      <c r="A561" s="193"/>
      <c r="B561" s="193"/>
      <c r="C561" s="193"/>
      <c r="D561" s="193"/>
      <c r="E561" s="169"/>
      <c r="F561" s="169"/>
      <c r="G561" s="169"/>
      <c r="H561" s="92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 spans="1:27" ht="15.6">
      <c r="A562" s="193"/>
      <c r="B562" s="193"/>
      <c r="C562" s="193"/>
      <c r="D562" s="193"/>
      <c r="E562" s="169"/>
      <c r="F562" s="169"/>
      <c r="G562" s="169"/>
      <c r="H562" s="92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 spans="1:27" ht="15.6">
      <c r="A563" s="193"/>
      <c r="B563" s="193"/>
      <c r="C563" s="193"/>
      <c r="D563" s="193"/>
      <c r="E563" s="169"/>
      <c r="F563" s="169"/>
      <c r="G563" s="169"/>
      <c r="H563" s="92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 spans="1:27" ht="15.6">
      <c r="A564" s="193"/>
      <c r="B564" s="193"/>
      <c r="C564" s="193"/>
      <c r="D564" s="193"/>
      <c r="E564" s="169"/>
      <c r="F564" s="169"/>
      <c r="G564" s="169"/>
      <c r="H564" s="92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 spans="1:27" ht="15.6">
      <c r="A565" s="193"/>
      <c r="B565" s="193"/>
      <c r="C565" s="193"/>
      <c r="D565" s="193"/>
      <c r="E565" s="169"/>
      <c r="F565" s="169"/>
      <c r="G565" s="169"/>
      <c r="H565" s="92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 spans="1:27" ht="15.6">
      <c r="A566" s="193"/>
      <c r="B566" s="193"/>
      <c r="C566" s="193"/>
      <c r="D566" s="193"/>
      <c r="E566" s="169"/>
      <c r="F566" s="169"/>
      <c r="G566" s="169"/>
      <c r="H566" s="92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 spans="1:27" ht="15.6">
      <c r="A567" s="193"/>
      <c r="B567" s="193"/>
      <c r="C567" s="193"/>
      <c r="D567" s="193"/>
      <c r="E567" s="169"/>
      <c r="F567" s="169"/>
      <c r="G567" s="169"/>
      <c r="H567" s="92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 spans="1:27" ht="15.6">
      <c r="A568" s="193"/>
      <c r="B568" s="193"/>
      <c r="C568" s="193"/>
      <c r="D568" s="193"/>
      <c r="E568" s="169"/>
      <c r="F568" s="169"/>
      <c r="G568" s="169"/>
      <c r="H568" s="92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 spans="1:27" ht="15.6">
      <c r="A569" s="193"/>
      <c r="B569" s="193"/>
      <c r="C569" s="193"/>
      <c r="D569" s="193"/>
      <c r="E569" s="169"/>
      <c r="F569" s="169"/>
      <c r="G569" s="169"/>
      <c r="H569" s="92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 spans="1:27" ht="15.6">
      <c r="A570" s="193"/>
      <c r="B570" s="193"/>
      <c r="C570" s="193"/>
      <c r="D570" s="193"/>
      <c r="E570" s="169"/>
      <c r="F570" s="169"/>
      <c r="G570" s="169"/>
      <c r="H570" s="92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 spans="1:27" ht="15.6">
      <c r="A571" s="193"/>
      <c r="B571" s="193"/>
      <c r="C571" s="193"/>
      <c r="D571" s="193"/>
      <c r="E571" s="169"/>
      <c r="F571" s="169"/>
      <c r="G571" s="169"/>
      <c r="H571" s="92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 spans="1:27" ht="15.6">
      <c r="A572" s="193"/>
      <c r="B572" s="193"/>
      <c r="C572" s="193"/>
      <c r="D572" s="193"/>
      <c r="E572" s="169"/>
      <c r="F572" s="169"/>
      <c r="G572" s="169"/>
      <c r="H572" s="92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 spans="1:27" ht="15.6">
      <c r="A573" s="193"/>
      <c r="B573" s="193"/>
      <c r="C573" s="193"/>
      <c r="D573" s="193"/>
      <c r="E573" s="169"/>
      <c r="F573" s="169"/>
      <c r="G573" s="169"/>
      <c r="H573" s="92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 spans="1:27" ht="15.6">
      <c r="A574" s="193"/>
      <c r="B574" s="193"/>
      <c r="C574" s="193"/>
      <c r="D574" s="193"/>
      <c r="E574" s="169"/>
      <c r="F574" s="169"/>
      <c r="G574" s="169"/>
      <c r="H574" s="92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 spans="1:27" ht="15.6">
      <c r="A575" s="193"/>
      <c r="B575" s="193"/>
      <c r="C575" s="193"/>
      <c r="D575" s="193"/>
      <c r="E575" s="169"/>
      <c r="F575" s="169"/>
      <c r="G575" s="169"/>
      <c r="H575" s="92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 spans="1:27" ht="15.6">
      <c r="A576" s="193"/>
      <c r="B576" s="193"/>
      <c r="C576" s="193"/>
      <c r="D576" s="193"/>
      <c r="E576" s="169"/>
      <c r="F576" s="169"/>
      <c r="G576" s="169"/>
      <c r="H576" s="92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 spans="1:27" ht="15.6">
      <c r="A577" s="193"/>
      <c r="B577" s="193"/>
      <c r="C577" s="193"/>
      <c r="D577" s="193"/>
      <c r="E577" s="169"/>
      <c r="F577" s="169"/>
      <c r="G577" s="169"/>
      <c r="H577" s="92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 spans="1:27" ht="15.6">
      <c r="A578" s="193"/>
      <c r="B578" s="193"/>
      <c r="C578" s="193"/>
      <c r="D578" s="193"/>
      <c r="E578" s="169"/>
      <c r="F578" s="169"/>
      <c r="G578" s="169"/>
      <c r="H578" s="92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 spans="1:27" ht="15.6">
      <c r="A579" s="193"/>
      <c r="B579" s="193"/>
      <c r="C579" s="193"/>
      <c r="D579" s="193"/>
      <c r="E579" s="169"/>
      <c r="F579" s="169"/>
      <c r="G579" s="169"/>
      <c r="H579" s="92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 spans="1:27" ht="15.6">
      <c r="A580" s="193"/>
      <c r="B580" s="193"/>
      <c r="C580" s="193"/>
      <c r="D580" s="193"/>
      <c r="E580" s="169"/>
      <c r="F580" s="169"/>
      <c r="G580" s="169"/>
      <c r="H580" s="92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 spans="1:27" ht="15.6">
      <c r="A581" s="193"/>
      <c r="B581" s="193"/>
      <c r="C581" s="193"/>
      <c r="D581" s="193"/>
      <c r="E581" s="169"/>
      <c r="F581" s="169"/>
      <c r="G581" s="169"/>
      <c r="H581" s="92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 spans="1:27" ht="15.6">
      <c r="A582" s="193"/>
      <c r="B582" s="193"/>
      <c r="C582" s="193"/>
      <c r="D582" s="193"/>
      <c r="E582" s="169"/>
      <c r="F582" s="169"/>
      <c r="G582" s="169"/>
      <c r="H582" s="92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 spans="1:27" ht="15.6">
      <c r="A583" s="193"/>
      <c r="B583" s="193"/>
      <c r="C583" s="193"/>
      <c r="D583" s="193"/>
      <c r="E583" s="169"/>
      <c r="F583" s="169"/>
      <c r="G583" s="169"/>
      <c r="H583" s="92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 spans="1:27" ht="15.6">
      <c r="A584" s="193"/>
      <c r="B584" s="193"/>
      <c r="C584" s="193"/>
      <c r="D584" s="193"/>
      <c r="E584" s="169"/>
      <c r="F584" s="169"/>
      <c r="G584" s="169"/>
      <c r="H584" s="92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 spans="1:27" ht="15.6">
      <c r="A585" s="193"/>
      <c r="B585" s="193"/>
      <c r="C585" s="193"/>
      <c r="D585" s="193"/>
      <c r="E585" s="169"/>
      <c r="F585" s="169"/>
      <c r="G585" s="169"/>
      <c r="H585" s="92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 spans="1:27" ht="15.6">
      <c r="A586" s="193"/>
      <c r="B586" s="193"/>
      <c r="C586" s="193"/>
      <c r="D586" s="193"/>
      <c r="E586" s="169"/>
      <c r="F586" s="169"/>
      <c r="G586" s="169"/>
      <c r="H586" s="92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 spans="1:27" ht="15.6">
      <c r="A587" s="193"/>
      <c r="B587" s="193"/>
      <c r="C587" s="193"/>
      <c r="D587" s="193"/>
      <c r="E587" s="169"/>
      <c r="F587" s="169"/>
      <c r="G587" s="169"/>
      <c r="H587" s="92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 spans="1:27" ht="15.6">
      <c r="A588" s="193"/>
      <c r="B588" s="193"/>
      <c r="C588" s="193"/>
      <c r="D588" s="193"/>
      <c r="E588" s="169"/>
      <c r="F588" s="169"/>
      <c r="G588" s="169"/>
      <c r="H588" s="92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 spans="1:27" ht="15.6">
      <c r="A589" s="193"/>
      <c r="B589" s="193"/>
      <c r="C589" s="193"/>
      <c r="D589" s="193"/>
      <c r="E589" s="169"/>
      <c r="F589" s="169"/>
      <c r="G589" s="169"/>
      <c r="H589" s="92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 spans="1:27" ht="15.6">
      <c r="A590" s="193"/>
      <c r="B590" s="193"/>
      <c r="C590" s="193"/>
      <c r="D590" s="193"/>
      <c r="E590" s="169"/>
      <c r="F590" s="169"/>
      <c r="G590" s="169"/>
      <c r="H590" s="92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 spans="1:27" ht="15.6">
      <c r="A591" s="193"/>
      <c r="B591" s="193"/>
      <c r="C591" s="193"/>
      <c r="D591" s="193"/>
      <c r="E591" s="169"/>
      <c r="F591" s="169"/>
      <c r="G591" s="169"/>
      <c r="H591" s="92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 spans="1:27" ht="15.6">
      <c r="A592" s="193"/>
      <c r="B592" s="193"/>
      <c r="C592" s="193"/>
      <c r="D592" s="193"/>
      <c r="E592" s="169"/>
      <c r="F592" s="169"/>
      <c r="G592" s="169"/>
      <c r="H592" s="92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 spans="1:27" ht="15.6">
      <c r="A593" s="193"/>
      <c r="B593" s="193"/>
      <c r="C593" s="193"/>
      <c r="D593" s="193"/>
      <c r="E593" s="169"/>
      <c r="F593" s="169"/>
      <c r="G593" s="169"/>
      <c r="H593" s="92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 spans="1:27" ht="15.6">
      <c r="A594" s="193"/>
      <c r="B594" s="193"/>
      <c r="C594" s="193"/>
      <c r="D594" s="193"/>
      <c r="E594" s="169"/>
      <c r="F594" s="169"/>
      <c r="G594" s="169"/>
      <c r="H594" s="92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 spans="1:27" ht="15.6">
      <c r="A595" s="193"/>
      <c r="B595" s="193"/>
      <c r="C595" s="193"/>
      <c r="D595" s="193"/>
      <c r="E595" s="169"/>
      <c r="F595" s="169"/>
      <c r="G595" s="169"/>
      <c r="H595" s="92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 spans="1:27" ht="15.6">
      <c r="A596" s="193"/>
      <c r="B596" s="193"/>
      <c r="C596" s="193"/>
      <c r="D596" s="193"/>
      <c r="E596" s="169"/>
      <c r="F596" s="169"/>
      <c r="G596" s="169"/>
      <c r="H596" s="92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 spans="1:27" ht="15.6">
      <c r="A597" s="193"/>
      <c r="B597" s="193"/>
      <c r="C597" s="193"/>
      <c r="D597" s="193"/>
      <c r="E597" s="169"/>
      <c r="F597" s="169"/>
      <c r="G597" s="169"/>
      <c r="H597" s="92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 spans="1:27" ht="15.6">
      <c r="A598" s="193"/>
      <c r="B598" s="193"/>
      <c r="C598" s="193"/>
      <c r="D598" s="193"/>
      <c r="E598" s="169"/>
      <c r="F598" s="169"/>
      <c r="G598" s="169"/>
      <c r="H598" s="92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 spans="1:27" ht="15.6">
      <c r="A599" s="193"/>
      <c r="B599" s="193"/>
      <c r="C599" s="193"/>
      <c r="D599" s="193"/>
      <c r="E599" s="169"/>
      <c r="F599" s="169"/>
      <c r="G599" s="169"/>
      <c r="H599" s="92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 spans="1:27" ht="15.6">
      <c r="A600" s="193"/>
      <c r="B600" s="193"/>
      <c r="C600" s="193"/>
      <c r="D600" s="193"/>
      <c r="E600" s="169"/>
      <c r="F600" s="169"/>
      <c r="G600" s="169"/>
      <c r="H600" s="92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 spans="1:27" ht="15.6">
      <c r="A601" s="193"/>
      <c r="B601" s="193"/>
      <c r="C601" s="193"/>
      <c r="D601" s="193"/>
      <c r="E601" s="169"/>
      <c r="F601" s="169"/>
      <c r="G601" s="169"/>
      <c r="H601" s="92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 spans="1:27" ht="15.6">
      <c r="A602" s="193"/>
      <c r="B602" s="193"/>
      <c r="C602" s="193"/>
      <c r="D602" s="193"/>
      <c r="E602" s="169"/>
      <c r="F602" s="169"/>
      <c r="G602" s="169"/>
      <c r="H602" s="92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 spans="1:27" ht="15.6">
      <c r="A603" s="193"/>
      <c r="B603" s="193"/>
      <c r="C603" s="193"/>
      <c r="D603" s="193"/>
      <c r="E603" s="169"/>
      <c r="F603" s="169"/>
      <c r="G603" s="169"/>
      <c r="H603" s="92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 spans="1:27" ht="15.6">
      <c r="A604" s="193"/>
      <c r="B604" s="193"/>
      <c r="C604" s="193"/>
      <c r="D604" s="193"/>
      <c r="E604" s="169"/>
      <c r="F604" s="169"/>
      <c r="G604" s="169"/>
      <c r="H604" s="92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 spans="1:27" ht="15.6">
      <c r="A605" s="193"/>
      <c r="B605" s="193"/>
      <c r="C605" s="193"/>
      <c r="D605" s="193"/>
      <c r="E605" s="169"/>
      <c r="F605" s="169"/>
      <c r="G605" s="169"/>
      <c r="H605" s="92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 spans="1:27" ht="15.6">
      <c r="A606" s="193"/>
      <c r="B606" s="193"/>
      <c r="C606" s="193"/>
      <c r="D606" s="193"/>
      <c r="E606" s="169"/>
      <c r="F606" s="169"/>
      <c r="G606" s="169"/>
      <c r="H606" s="92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 spans="1:27" ht="15.6">
      <c r="A607" s="193"/>
      <c r="B607" s="193"/>
      <c r="C607" s="193"/>
      <c r="D607" s="193"/>
      <c r="E607" s="169"/>
      <c r="F607" s="169"/>
      <c r="G607" s="169"/>
      <c r="H607" s="92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 spans="1:27" ht="15.6">
      <c r="A608" s="193"/>
      <c r="B608" s="193"/>
      <c r="C608" s="193"/>
      <c r="D608" s="193"/>
      <c r="E608" s="169"/>
      <c r="F608" s="169"/>
      <c r="G608" s="169"/>
      <c r="H608" s="92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 spans="1:27" ht="15.6">
      <c r="A609" s="193"/>
      <c r="B609" s="193"/>
      <c r="C609" s="193"/>
      <c r="D609" s="193"/>
      <c r="E609" s="169"/>
      <c r="F609" s="169"/>
      <c r="G609" s="169"/>
      <c r="H609" s="92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 spans="1:27" ht="15.6">
      <c r="A610" s="193"/>
      <c r="B610" s="193"/>
      <c r="C610" s="193"/>
      <c r="D610" s="193"/>
      <c r="E610" s="169"/>
      <c r="F610" s="169"/>
      <c r="G610" s="169"/>
      <c r="H610" s="92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 spans="1:27" ht="15.6">
      <c r="A611" s="193"/>
      <c r="B611" s="193"/>
      <c r="C611" s="193"/>
      <c r="D611" s="193"/>
      <c r="E611" s="169"/>
      <c r="F611" s="169"/>
      <c r="G611" s="169"/>
      <c r="H611" s="92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 spans="1:27" ht="15.6">
      <c r="A612" s="193"/>
      <c r="B612" s="193"/>
      <c r="C612" s="193"/>
      <c r="D612" s="193"/>
      <c r="E612" s="169"/>
      <c r="F612" s="169"/>
      <c r="G612" s="169"/>
      <c r="H612" s="92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 spans="1:27" ht="15.6">
      <c r="A613" s="193"/>
      <c r="B613" s="193"/>
      <c r="C613" s="193"/>
      <c r="D613" s="193"/>
      <c r="E613" s="169"/>
      <c r="F613" s="169"/>
      <c r="G613" s="169"/>
      <c r="H613" s="92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 spans="1:27" ht="15.6">
      <c r="A614" s="193"/>
      <c r="B614" s="193"/>
      <c r="C614" s="193"/>
      <c r="D614" s="193"/>
      <c r="E614" s="169"/>
      <c r="F614" s="169"/>
      <c r="G614" s="169"/>
      <c r="H614" s="92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 spans="1:27" ht="15.6">
      <c r="A615" s="193"/>
      <c r="B615" s="193"/>
      <c r="C615" s="193"/>
      <c r="D615" s="193"/>
      <c r="E615" s="169"/>
      <c r="F615" s="169"/>
      <c r="G615" s="169"/>
      <c r="H615" s="92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 spans="1:27" ht="15.6">
      <c r="A616" s="193"/>
      <c r="B616" s="193"/>
      <c r="C616" s="193"/>
      <c r="D616" s="193"/>
      <c r="E616" s="169"/>
      <c r="F616" s="169"/>
      <c r="G616" s="169"/>
      <c r="H616" s="92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 spans="1:27" ht="15.6">
      <c r="A617" s="193"/>
      <c r="B617" s="193"/>
      <c r="C617" s="193"/>
      <c r="D617" s="193"/>
      <c r="E617" s="169"/>
      <c r="F617" s="169"/>
      <c r="G617" s="169"/>
      <c r="H617" s="92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 spans="1:27" ht="15.6">
      <c r="A618" s="193"/>
      <c r="B618" s="193"/>
      <c r="C618" s="193"/>
      <c r="D618" s="193"/>
      <c r="E618" s="169"/>
      <c r="F618" s="169"/>
      <c r="G618" s="169"/>
      <c r="H618" s="92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 spans="1:27" ht="15.6">
      <c r="A619" s="193"/>
      <c r="B619" s="193"/>
      <c r="C619" s="193"/>
      <c r="D619" s="193"/>
      <c r="E619" s="169"/>
      <c r="F619" s="169"/>
      <c r="G619" s="169"/>
      <c r="H619" s="92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 spans="1:27" ht="15.6">
      <c r="A620" s="193"/>
      <c r="B620" s="193"/>
      <c r="C620" s="193"/>
      <c r="D620" s="193"/>
      <c r="E620" s="169"/>
      <c r="F620" s="169"/>
      <c r="G620" s="169"/>
      <c r="H620" s="92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 spans="1:27" ht="15.6">
      <c r="A621" s="193"/>
      <c r="B621" s="193"/>
      <c r="C621" s="193"/>
      <c r="D621" s="193"/>
      <c r="E621" s="169"/>
      <c r="F621" s="169"/>
      <c r="G621" s="169"/>
      <c r="H621" s="92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 spans="1:27" ht="15.6">
      <c r="A622" s="193"/>
      <c r="B622" s="193"/>
      <c r="C622" s="193"/>
      <c r="D622" s="193"/>
      <c r="E622" s="169"/>
      <c r="F622" s="169"/>
      <c r="G622" s="169"/>
      <c r="H622" s="92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 spans="1:27" ht="15.6">
      <c r="A623" s="193"/>
      <c r="B623" s="193"/>
      <c r="C623" s="193"/>
      <c r="D623" s="193"/>
      <c r="E623" s="169"/>
      <c r="F623" s="169"/>
      <c r="G623" s="169"/>
      <c r="H623" s="92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 spans="1:27" ht="15.6">
      <c r="A624" s="193"/>
      <c r="B624" s="193"/>
      <c r="C624" s="193"/>
      <c r="D624" s="193"/>
      <c r="E624" s="169"/>
      <c r="F624" s="169"/>
      <c r="G624" s="169"/>
      <c r="H624" s="92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 spans="1:27" ht="15.6">
      <c r="A625" s="193"/>
      <c r="B625" s="193"/>
      <c r="C625" s="193"/>
      <c r="D625" s="193"/>
      <c r="E625" s="169"/>
      <c r="F625" s="169"/>
      <c r="G625" s="169"/>
      <c r="H625" s="92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 spans="1:27" ht="15.6">
      <c r="A626" s="193"/>
      <c r="B626" s="193"/>
      <c r="C626" s="193"/>
      <c r="D626" s="193"/>
      <c r="E626" s="169"/>
      <c r="F626" s="169"/>
      <c r="G626" s="169"/>
      <c r="H626" s="92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 spans="1:27" ht="15.6">
      <c r="A627" s="193"/>
      <c r="B627" s="193"/>
      <c r="C627" s="193"/>
      <c r="D627" s="193"/>
      <c r="E627" s="169"/>
      <c r="F627" s="169"/>
      <c r="G627" s="169"/>
      <c r="H627" s="92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 spans="1:27" ht="15.6">
      <c r="A628" s="193"/>
      <c r="B628" s="193"/>
      <c r="C628" s="193"/>
      <c r="D628" s="193"/>
      <c r="E628" s="169"/>
      <c r="F628" s="169"/>
      <c r="G628" s="169"/>
      <c r="H628" s="92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 spans="1:27" ht="15.6">
      <c r="A629" s="193"/>
      <c r="B629" s="193"/>
      <c r="C629" s="193"/>
      <c r="D629" s="193"/>
      <c r="E629" s="169"/>
      <c r="F629" s="169"/>
      <c r="G629" s="169"/>
      <c r="H629" s="92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 spans="1:27" ht="15.6">
      <c r="A630" s="193"/>
      <c r="B630" s="193"/>
      <c r="C630" s="193"/>
      <c r="D630" s="193"/>
      <c r="E630" s="169"/>
      <c r="F630" s="169"/>
      <c r="G630" s="169"/>
      <c r="H630" s="92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 spans="1:27" ht="15.6">
      <c r="A631" s="193"/>
      <c r="B631" s="193"/>
      <c r="C631" s="193"/>
      <c r="D631" s="193"/>
      <c r="E631" s="169"/>
      <c r="F631" s="169"/>
      <c r="G631" s="169"/>
      <c r="H631" s="92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 spans="1:27" ht="15.6">
      <c r="A632" s="193"/>
      <c r="B632" s="193"/>
      <c r="C632" s="193"/>
      <c r="D632" s="193"/>
      <c r="E632" s="169"/>
      <c r="F632" s="169"/>
      <c r="G632" s="169"/>
      <c r="H632" s="92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 spans="1:27" ht="15.6">
      <c r="A633" s="193"/>
      <c r="B633" s="193"/>
      <c r="C633" s="193"/>
      <c r="D633" s="193"/>
      <c r="E633" s="169"/>
      <c r="F633" s="169"/>
      <c r="G633" s="169"/>
      <c r="H633" s="92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 spans="1:27" ht="15.6">
      <c r="A634" s="193"/>
      <c r="B634" s="193"/>
      <c r="C634" s="193"/>
      <c r="D634" s="193"/>
      <c r="E634" s="169"/>
      <c r="F634" s="169"/>
      <c r="G634" s="169"/>
      <c r="H634" s="92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 spans="1:27" ht="15.6">
      <c r="A635" s="193"/>
      <c r="B635" s="193"/>
      <c r="C635" s="193"/>
      <c r="D635" s="193"/>
      <c r="E635" s="169"/>
      <c r="F635" s="169"/>
      <c r="G635" s="169"/>
      <c r="H635" s="92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 spans="1:27" ht="15.6">
      <c r="A636" s="193"/>
      <c r="B636" s="193"/>
      <c r="C636" s="193"/>
      <c r="D636" s="193"/>
      <c r="E636" s="169"/>
      <c r="F636" s="169"/>
      <c r="G636" s="169"/>
      <c r="H636" s="92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 spans="1:27" ht="15.6">
      <c r="A637" s="193"/>
      <c r="B637" s="193"/>
      <c r="C637" s="193"/>
      <c r="D637" s="193"/>
      <c r="E637" s="169"/>
      <c r="F637" s="169"/>
      <c r="G637" s="169"/>
      <c r="H637" s="92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 spans="1:27" ht="15.6">
      <c r="A638" s="193"/>
      <c r="B638" s="193"/>
      <c r="C638" s="193"/>
      <c r="D638" s="193"/>
      <c r="E638" s="169"/>
      <c r="F638" s="169"/>
      <c r="G638" s="169"/>
      <c r="H638" s="92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 spans="1:27" ht="15.6">
      <c r="A639" s="193"/>
      <c r="B639" s="193"/>
      <c r="C639" s="193"/>
      <c r="D639" s="193"/>
      <c r="E639" s="169"/>
      <c r="F639" s="169"/>
      <c r="G639" s="169"/>
      <c r="H639" s="92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 spans="1:27" ht="15.6">
      <c r="A640" s="193"/>
      <c r="B640" s="193"/>
      <c r="C640" s="193"/>
      <c r="D640" s="193"/>
      <c r="E640" s="169"/>
      <c r="F640" s="169"/>
      <c r="G640" s="169"/>
      <c r="H640" s="92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 spans="1:27" ht="15.6">
      <c r="A641" s="193"/>
      <c r="B641" s="193"/>
      <c r="C641" s="193"/>
      <c r="D641" s="193"/>
      <c r="E641" s="169"/>
      <c r="F641" s="169"/>
      <c r="G641" s="169"/>
      <c r="H641" s="92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 spans="1:27" ht="15.6">
      <c r="A642" s="193"/>
      <c r="B642" s="193"/>
      <c r="C642" s="193"/>
      <c r="D642" s="193"/>
      <c r="E642" s="169"/>
      <c r="F642" s="169"/>
      <c r="G642" s="169"/>
      <c r="H642" s="92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 spans="1:27" ht="15.6">
      <c r="A643" s="193"/>
      <c r="B643" s="193"/>
      <c r="C643" s="193"/>
      <c r="D643" s="193"/>
      <c r="E643" s="169"/>
      <c r="F643" s="169"/>
      <c r="G643" s="169"/>
      <c r="H643" s="92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 spans="1:27" ht="15.6">
      <c r="A644" s="193"/>
      <c r="B644" s="193"/>
      <c r="C644" s="193"/>
      <c r="D644" s="193"/>
      <c r="E644" s="169"/>
      <c r="F644" s="169"/>
      <c r="G644" s="169"/>
      <c r="H644" s="92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 spans="1:27" ht="15.6">
      <c r="A645" s="193"/>
      <c r="B645" s="193"/>
      <c r="C645" s="193"/>
      <c r="D645" s="193"/>
      <c r="E645" s="169"/>
      <c r="F645" s="169"/>
      <c r="G645" s="169"/>
      <c r="H645" s="92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 spans="1:27" ht="15.6">
      <c r="A646" s="193"/>
      <c r="B646" s="193"/>
      <c r="C646" s="193"/>
      <c r="D646" s="193"/>
      <c r="E646" s="169"/>
      <c r="F646" s="169"/>
      <c r="G646" s="169"/>
      <c r="H646" s="92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 spans="1:27" ht="15.6">
      <c r="A647" s="193"/>
      <c r="B647" s="193"/>
      <c r="C647" s="193"/>
      <c r="D647" s="193"/>
      <c r="E647" s="169"/>
      <c r="F647" s="169"/>
      <c r="G647" s="169"/>
      <c r="H647" s="92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 spans="1:27" ht="15.6">
      <c r="A648" s="193"/>
      <c r="B648" s="193"/>
      <c r="C648" s="193"/>
      <c r="D648" s="193"/>
      <c r="E648" s="169"/>
      <c r="F648" s="169"/>
      <c r="G648" s="169"/>
      <c r="H648" s="92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 spans="1:27" ht="15.6">
      <c r="A649" s="193"/>
      <c r="B649" s="193"/>
      <c r="C649" s="193"/>
      <c r="D649" s="193"/>
      <c r="E649" s="169"/>
      <c r="F649" s="169"/>
      <c r="G649" s="169"/>
      <c r="H649" s="92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 spans="1:27" ht="15.6">
      <c r="A650" s="193"/>
      <c r="B650" s="193"/>
      <c r="C650" s="193"/>
      <c r="D650" s="193"/>
      <c r="E650" s="169"/>
      <c r="F650" s="169"/>
      <c r="G650" s="169"/>
      <c r="H650" s="92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 spans="1:27" ht="15.6">
      <c r="A651" s="193"/>
      <c r="B651" s="193"/>
      <c r="C651" s="193"/>
      <c r="D651" s="193"/>
      <c r="E651" s="169"/>
      <c r="F651" s="169"/>
      <c r="G651" s="169"/>
      <c r="H651" s="92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 spans="1:27" ht="15.6">
      <c r="A652" s="193"/>
      <c r="B652" s="193"/>
      <c r="C652" s="193"/>
      <c r="D652" s="193"/>
      <c r="E652" s="169"/>
      <c r="F652" s="169"/>
      <c r="G652" s="169"/>
      <c r="H652" s="92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 spans="1:27" ht="15.6">
      <c r="A653" s="193"/>
      <c r="B653" s="193"/>
      <c r="C653" s="193"/>
      <c r="D653" s="193"/>
      <c r="E653" s="169"/>
      <c r="F653" s="169"/>
      <c r="G653" s="169"/>
      <c r="H653" s="92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 spans="1:27" ht="15.6">
      <c r="A654" s="193"/>
      <c r="B654" s="193"/>
      <c r="C654" s="193"/>
      <c r="D654" s="193"/>
      <c r="E654" s="169"/>
      <c r="F654" s="169"/>
      <c r="G654" s="169"/>
      <c r="H654" s="92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 spans="1:27" ht="15.6">
      <c r="A655" s="193"/>
      <c r="B655" s="193"/>
      <c r="C655" s="193"/>
      <c r="D655" s="193"/>
      <c r="E655" s="169"/>
      <c r="F655" s="169"/>
      <c r="G655" s="169"/>
      <c r="H655" s="92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 spans="1:27" ht="15.6">
      <c r="A656" s="193"/>
      <c r="B656" s="193"/>
      <c r="C656" s="193"/>
      <c r="D656" s="193"/>
      <c r="E656" s="169"/>
      <c r="F656" s="169"/>
      <c r="G656" s="169"/>
      <c r="H656" s="92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 spans="1:27" ht="15.6">
      <c r="A657" s="193"/>
      <c r="B657" s="193"/>
      <c r="C657" s="193"/>
      <c r="D657" s="193"/>
      <c r="E657" s="169"/>
      <c r="F657" s="169"/>
      <c r="G657" s="169"/>
      <c r="H657" s="92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 spans="1:27" ht="15.6">
      <c r="A658" s="193"/>
      <c r="B658" s="193"/>
      <c r="C658" s="193"/>
      <c r="D658" s="193"/>
      <c r="E658" s="169"/>
      <c r="F658" s="169"/>
      <c r="G658" s="169"/>
      <c r="H658" s="92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 spans="1:27" ht="15.6">
      <c r="A659" s="193"/>
      <c r="B659" s="193"/>
      <c r="C659" s="193"/>
      <c r="D659" s="193"/>
      <c r="E659" s="169"/>
      <c r="F659" s="169"/>
      <c r="G659" s="169"/>
      <c r="H659" s="92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 spans="1:27" ht="15.6">
      <c r="A660" s="193"/>
      <c r="B660" s="193"/>
      <c r="C660" s="193"/>
      <c r="D660" s="193"/>
      <c r="E660" s="169"/>
      <c r="F660" s="169"/>
      <c r="G660" s="169"/>
      <c r="H660" s="92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 spans="1:27" ht="15.6">
      <c r="A661" s="193"/>
      <c r="B661" s="193"/>
      <c r="C661" s="193"/>
      <c r="D661" s="193"/>
      <c r="E661" s="169"/>
      <c r="F661" s="169"/>
      <c r="G661" s="169"/>
      <c r="H661" s="92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 spans="1:27" ht="15.6">
      <c r="A662" s="193"/>
      <c r="B662" s="193"/>
      <c r="C662" s="193"/>
      <c r="D662" s="193"/>
      <c r="E662" s="169"/>
      <c r="F662" s="169"/>
      <c r="G662" s="169"/>
      <c r="H662" s="92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 spans="1:27" ht="15.6">
      <c r="A663" s="193"/>
      <c r="B663" s="193"/>
      <c r="C663" s="193"/>
      <c r="D663" s="193"/>
      <c r="E663" s="169"/>
      <c r="F663" s="169"/>
      <c r="G663" s="169"/>
      <c r="H663" s="92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 spans="1:27" ht="15.6">
      <c r="A664" s="193"/>
      <c r="B664" s="193"/>
      <c r="C664" s="193"/>
      <c r="D664" s="193"/>
      <c r="E664" s="169"/>
      <c r="F664" s="169"/>
      <c r="G664" s="169"/>
      <c r="H664" s="92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 spans="1:27" ht="15.6">
      <c r="A665" s="193"/>
      <c r="B665" s="193"/>
      <c r="C665" s="193"/>
      <c r="D665" s="193"/>
      <c r="E665" s="169"/>
      <c r="F665" s="169"/>
      <c r="G665" s="169"/>
      <c r="H665" s="92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 spans="1:27" ht="15.6">
      <c r="A666" s="193"/>
      <c r="B666" s="193"/>
      <c r="C666" s="193"/>
      <c r="D666" s="193"/>
      <c r="E666" s="169"/>
      <c r="F666" s="169"/>
      <c r="G666" s="169"/>
      <c r="H666" s="92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 spans="1:27" ht="15.6">
      <c r="A667" s="193"/>
      <c r="B667" s="193"/>
      <c r="C667" s="193"/>
      <c r="D667" s="193"/>
      <c r="E667" s="169"/>
      <c r="F667" s="169"/>
      <c r="G667" s="169"/>
      <c r="H667" s="92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 spans="1:27" ht="15.6">
      <c r="A668" s="193"/>
      <c r="B668" s="193"/>
      <c r="C668" s="193"/>
      <c r="D668" s="193"/>
      <c r="E668" s="169"/>
      <c r="F668" s="169"/>
      <c r="G668" s="169"/>
      <c r="H668" s="92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 spans="1:27" ht="15.6">
      <c r="A669" s="193"/>
      <c r="B669" s="193"/>
      <c r="C669" s="193"/>
      <c r="D669" s="193"/>
      <c r="E669" s="169"/>
      <c r="F669" s="169"/>
      <c r="G669" s="169"/>
      <c r="H669" s="92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 spans="1:27" ht="15.6">
      <c r="A670" s="193"/>
      <c r="B670" s="193"/>
      <c r="C670" s="193"/>
      <c r="D670" s="193"/>
      <c r="E670" s="169"/>
      <c r="F670" s="169"/>
      <c r="G670" s="169"/>
      <c r="H670" s="92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 spans="1:27" ht="15.6">
      <c r="A671" s="193"/>
      <c r="B671" s="193"/>
      <c r="C671" s="193"/>
      <c r="D671" s="193"/>
      <c r="E671" s="169"/>
      <c r="F671" s="169"/>
      <c r="G671" s="169"/>
      <c r="H671" s="92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 spans="1:27" ht="15.6">
      <c r="A672" s="193"/>
      <c r="B672" s="193"/>
      <c r="C672" s="193"/>
      <c r="D672" s="193"/>
      <c r="E672" s="169"/>
      <c r="F672" s="169"/>
      <c r="G672" s="169"/>
      <c r="H672" s="92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 spans="1:27" ht="15.6">
      <c r="A673" s="193"/>
      <c r="B673" s="193"/>
      <c r="C673" s="193"/>
      <c r="D673" s="193"/>
      <c r="E673" s="169"/>
      <c r="F673" s="169"/>
      <c r="G673" s="169"/>
      <c r="H673" s="92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</row>
    <row r="674" spans="1:27" ht="15.6">
      <c r="A674" s="193"/>
      <c r="B674" s="193"/>
      <c r="C674" s="193"/>
      <c r="D674" s="193"/>
      <c r="E674" s="169"/>
      <c r="F674" s="169"/>
      <c r="G674" s="169"/>
      <c r="H674" s="92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</row>
    <row r="675" spans="1:27" ht="15.6">
      <c r="A675" s="193"/>
      <c r="B675" s="193"/>
      <c r="C675" s="193"/>
      <c r="D675" s="193"/>
      <c r="E675" s="169"/>
      <c r="F675" s="169"/>
      <c r="G675" s="169"/>
      <c r="H675" s="92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</row>
    <row r="676" spans="1:27" ht="15.6">
      <c r="A676" s="193"/>
      <c r="B676" s="193"/>
      <c r="C676" s="193"/>
      <c r="D676" s="193"/>
      <c r="E676" s="169"/>
      <c r="F676" s="169"/>
      <c r="G676" s="169"/>
      <c r="H676" s="92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</row>
    <row r="677" spans="1:27" ht="15.6">
      <c r="A677" s="193"/>
      <c r="B677" s="193"/>
      <c r="C677" s="193"/>
      <c r="D677" s="193"/>
      <c r="E677" s="169"/>
      <c r="F677" s="169"/>
      <c r="G677" s="169"/>
      <c r="H677" s="92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</row>
    <row r="678" spans="1:27" ht="15.6">
      <c r="A678" s="193"/>
      <c r="B678" s="193"/>
      <c r="C678" s="193"/>
      <c r="D678" s="193"/>
      <c r="E678" s="169"/>
      <c r="F678" s="169"/>
      <c r="G678" s="169"/>
      <c r="H678" s="92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</row>
    <row r="679" spans="1:27" ht="15.6">
      <c r="A679" s="193"/>
      <c r="B679" s="193"/>
      <c r="C679" s="193"/>
      <c r="D679" s="193"/>
      <c r="E679" s="169"/>
      <c r="F679" s="169"/>
      <c r="G679" s="169"/>
      <c r="H679" s="92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</row>
    <row r="680" spans="1:27" ht="15.6">
      <c r="A680" s="193"/>
      <c r="B680" s="193"/>
      <c r="C680" s="193"/>
      <c r="D680" s="193"/>
      <c r="E680" s="169"/>
      <c r="F680" s="169"/>
      <c r="G680" s="169"/>
      <c r="H680" s="92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</row>
    <row r="681" spans="1:27" ht="15.6">
      <c r="A681" s="193"/>
      <c r="B681" s="193"/>
      <c r="C681" s="193"/>
      <c r="D681" s="193"/>
      <c r="E681" s="169"/>
      <c r="F681" s="169"/>
      <c r="G681" s="169"/>
      <c r="H681" s="92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</row>
    <row r="682" spans="1:27" ht="15.6">
      <c r="A682" s="193"/>
      <c r="B682" s="193"/>
      <c r="C682" s="193"/>
      <c r="D682" s="193"/>
      <c r="E682" s="169"/>
      <c r="F682" s="169"/>
      <c r="G682" s="169"/>
      <c r="H682" s="92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</row>
    <row r="683" spans="1:27" ht="15.6">
      <c r="A683" s="193"/>
      <c r="B683" s="193"/>
      <c r="C683" s="193"/>
      <c r="D683" s="193"/>
      <c r="E683" s="169"/>
      <c r="F683" s="169"/>
      <c r="G683" s="169"/>
      <c r="H683" s="92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</row>
    <row r="684" spans="1:27" ht="15.6">
      <c r="A684" s="193"/>
      <c r="B684" s="193"/>
      <c r="C684" s="193"/>
      <c r="D684" s="193"/>
      <c r="E684" s="169"/>
      <c r="F684" s="169"/>
      <c r="G684" s="169"/>
      <c r="H684" s="92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</row>
    <row r="685" spans="1:27" ht="15.6">
      <c r="A685" s="193"/>
      <c r="B685" s="193"/>
      <c r="C685" s="193"/>
      <c r="D685" s="193"/>
      <c r="E685" s="169"/>
      <c r="F685" s="169"/>
      <c r="G685" s="169"/>
      <c r="H685" s="92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</row>
    <row r="686" spans="1:27" ht="15.6">
      <c r="A686" s="193"/>
      <c r="B686" s="193"/>
      <c r="C686" s="193"/>
      <c r="D686" s="193"/>
      <c r="E686" s="169"/>
      <c r="F686" s="169"/>
      <c r="G686" s="169"/>
      <c r="H686" s="92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</row>
    <row r="687" spans="1:27" ht="15.6">
      <c r="A687" s="193"/>
      <c r="B687" s="193"/>
      <c r="C687" s="193"/>
      <c r="D687" s="193"/>
      <c r="E687" s="169"/>
      <c r="F687" s="169"/>
      <c r="G687" s="169"/>
      <c r="H687" s="92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</row>
    <row r="688" spans="1:27" ht="15.6">
      <c r="A688" s="193"/>
      <c r="B688" s="193"/>
      <c r="C688" s="193"/>
      <c r="D688" s="193"/>
      <c r="E688" s="169"/>
      <c r="F688" s="169"/>
      <c r="G688" s="169"/>
      <c r="H688" s="92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</row>
    <row r="689" spans="1:27" ht="15.6">
      <c r="A689" s="193"/>
      <c r="B689" s="193"/>
      <c r="C689" s="193"/>
      <c r="D689" s="193"/>
      <c r="E689" s="169"/>
      <c r="F689" s="169"/>
      <c r="G689" s="169"/>
      <c r="H689" s="92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</row>
    <row r="690" spans="1:27" ht="15.6">
      <c r="A690" s="193"/>
      <c r="B690" s="193"/>
      <c r="C690" s="193"/>
      <c r="D690" s="193"/>
      <c r="E690" s="169"/>
      <c r="F690" s="169"/>
      <c r="G690" s="169"/>
      <c r="H690" s="92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</row>
    <row r="691" spans="1:27" ht="15.6">
      <c r="A691" s="193"/>
      <c r="B691" s="193"/>
      <c r="C691" s="193"/>
      <c r="D691" s="193"/>
      <c r="E691" s="169"/>
      <c r="F691" s="169"/>
      <c r="G691" s="169"/>
      <c r="H691" s="92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</row>
    <row r="692" spans="1:27" ht="15.6">
      <c r="A692" s="193"/>
      <c r="B692" s="193"/>
      <c r="C692" s="193"/>
      <c r="D692" s="193"/>
      <c r="E692" s="169"/>
      <c r="F692" s="169"/>
      <c r="G692" s="169"/>
      <c r="H692" s="92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</row>
    <row r="693" spans="1:27" ht="15.6">
      <c r="A693" s="193"/>
      <c r="B693" s="193"/>
      <c r="C693" s="193"/>
      <c r="D693" s="193"/>
      <c r="E693" s="169"/>
      <c r="F693" s="169"/>
      <c r="G693" s="169"/>
      <c r="H693" s="92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</row>
    <row r="694" spans="1:27" ht="15.6">
      <c r="A694" s="193"/>
      <c r="B694" s="193"/>
      <c r="C694" s="193"/>
      <c r="D694" s="193"/>
      <c r="E694" s="169"/>
      <c r="F694" s="169"/>
      <c r="G694" s="169"/>
      <c r="H694" s="92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</row>
    <row r="695" spans="1:27" ht="15.6">
      <c r="A695" s="193"/>
      <c r="B695" s="193"/>
      <c r="C695" s="193"/>
      <c r="D695" s="193"/>
      <c r="E695" s="169"/>
      <c r="F695" s="169"/>
      <c r="G695" s="169"/>
      <c r="H695" s="92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</row>
    <row r="696" spans="1:27" ht="15.6">
      <c r="A696" s="193"/>
      <c r="B696" s="193"/>
      <c r="C696" s="193"/>
      <c r="D696" s="193"/>
      <c r="E696" s="169"/>
      <c r="F696" s="169"/>
      <c r="G696" s="169"/>
      <c r="H696" s="92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</row>
    <row r="697" spans="1:27" ht="15.6">
      <c r="A697" s="193"/>
      <c r="B697" s="193"/>
      <c r="C697" s="193"/>
      <c r="D697" s="193"/>
      <c r="E697" s="169"/>
      <c r="F697" s="169"/>
      <c r="G697" s="169"/>
      <c r="H697" s="92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</row>
    <row r="698" spans="1:27" ht="15.6">
      <c r="A698" s="193"/>
      <c r="B698" s="193"/>
      <c r="C698" s="193"/>
      <c r="D698" s="193"/>
      <c r="E698" s="169"/>
      <c r="F698" s="169"/>
      <c r="G698" s="169"/>
      <c r="H698" s="92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</row>
    <row r="699" spans="1:27" ht="15.6">
      <c r="A699" s="193"/>
      <c r="B699" s="193"/>
      <c r="C699" s="193"/>
      <c r="D699" s="193"/>
      <c r="E699" s="169"/>
      <c r="F699" s="169"/>
      <c r="G699" s="169"/>
      <c r="H699" s="92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</row>
    <row r="700" spans="1:27" ht="15.6">
      <c r="A700" s="193"/>
      <c r="B700" s="193"/>
      <c r="C700" s="193"/>
      <c r="D700" s="193"/>
      <c r="E700" s="169"/>
      <c r="F700" s="169"/>
      <c r="G700" s="169"/>
      <c r="H700" s="92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</row>
    <row r="701" spans="1:27" ht="15.6">
      <c r="A701" s="193"/>
      <c r="B701" s="193"/>
      <c r="C701" s="193"/>
      <c r="D701" s="193"/>
      <c r="E701" s="169"/>
      <c r="F701" s="169"/>
      <c r="G701" s="169"/>
      <c r="H701" s="92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</row>
    <row r="702" spans="1:27" ht="15.6">
      <c r="A702" s="193"/>
      <c r="B702" s="193"/>
      <c r="C702" s="193"/>
      <c r="D702" s="193"/>
      <c r="E702" s="169"/>
      <c r="F702" s="169"/>
      <c r="G702" s="169"/>
      <c r="H702" s="92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</row>
    <row r="703" spans="1:27" ht="15.6">
      <c r="A703" s="193"/>
      <c r="B703" s="193"/>
      <c r="C703" s="193"/>
      <c r="D703" s="193"/>
      <c r="E703" s="169"/>
      <c r="F703" s="169"/>
      <c r="G703" s="169"/>
      <c r="H703" s="92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</row>
    <row r="704" spans="1:27" ht="15.6">
      <c r="A704" s="193"/>
      <c r="B704" s="193"/>
      <c r="C704" s="193"/>
      <c r="D704" s="193"/>
      <c r="E704" s="169"/>
      <c r="F704" s="169"/>
      <c r="G704" s="169"/>
      <c r="H704" s="92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</row>
    <row r="705" spans="1:27" ht="15.6">
      <c r="A705" s="193"/>
      <c r="B705" s="193"/>
      <c r="C705" s="193"/>
      <c r="D705" s="193"/>
      <c r="E705" s="169"/>
      <c r="F705" s="169"/>
      <c r="G705" s="169"/>
      <c r="H705" s="92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</row>
    <row r="706" spans="1:27" ht="15.6">
      <c r="A706" s="193"/>
      <c r="B706" s="193"/>
      <c r="C706" s="193"/>
      <c r="D706" s="193"/>
      <c r="E706" s="169"/>
      <c r="F706" s="169"/>
      <c r="G706" s="169"/>
      <c r="H706" s="92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</row>
    <row r="707" spans="1:27" ht="15.6">
      <c r="A707" s="193"/>
      <c r="B707" s="193"/>
      <c r="C707" s="193"/>
      <c r="D707" s="193"/>
      <c r="E707" s="169"/>
      <c r="F707" s="169"/>
      <c r="G707" s="169"/>
      <c r="H707" s="92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</row>
    <row r="708" spans="1:27" ht="15.6">
      <c r="A708" s="193"/>
      <c r="B708" s="193"/>
      <c r="C708" s="193"/>
      <c r="D708" s="193"/>
      <c r="E708" s="169"/>
      <c r="F708" s="169"/>
      <c r="G708" s="169"/>
      <c r="H708" s="92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</row>
    <row r="709" spans="1:27" ht="15.6">
      <c r="A709" s="193"/>
      <c r="B709" s="193"/>
      <c r="C709" s="193"/>
      <c r="D709" s="193"/>
      <c r="E709" s="169"/>
      <c r="F709" s="169"/>
      <c r="G709" s="169"/>
      <c r="H709" s="92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</row>
    <row r="710" spans="1:27" ht="15.6">
      <c r="A710" s="193"/>
      <c r="B710" s="193"/>
      <c r="C710" s="193"/>
      <c r="D710" s="193"/>
      <c r="E710" s="169"/>
      <c r="F710" s="169"/>
      <c r="G710" s="169"/>
      <c r="H710" s="92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</row>
    <row r="711" spans="1:27" ht="15.6">
      <c r="A711" s="193"/>
      <c r="B711" s="193"/>
      <c r="C711" s="193"/>
      <c r="D711" s="193"/>
      <c r="E711" s="169"/>
      <c r="F711" s="169"/>
      <c r="G711" s="169"/>
      <c r="H711" s="92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</row>
    <row r="712" spans="1:27" ht="15.6">
      <c r="A712" s="193"/>
      <c r="B712" s="193"/>
      <c r="C712" s="193"/>
      <c r="D712" s="193"/>
      <c r="E712" s="169"/>
      <c r="F712" s="169"/>
      <c r="G712" s="169"/>
      <c r="H712" s="92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</row>
    <row r="713" spans="1:27" ht="15.6">
      <c r="A713" s="193"/>
      <c r="B713" s="193"/>
      <c r="C713" s="193"/>
      <c r="D713" s="193"/>
      <c r="E713" s="169"/>
      <c r="F713" s="169"/>
      <c r="G713" s="169"/>
      <c r="H713" s="92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</row>
    <row r="714" spans="1:27" ht="15.6">
      <c r="A714" s="193"/>
      <c r="B714" s="193"/>
      <c r="C714" s="193"/>
      <c r="D714" s="193"/>
      <c r="E714" s="169"/>
      <c r="F714" s="169"/>
      <c r="G714" s="169"/>
      <c r="H714" s="92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</row>
    <row r="715" spans="1:27" ht="15.6">
      <c r="A715" s="193"/>
      <c r="B715" s="193"/>
      <c r="C715" s="193"/>
      <c r="D715" s="193"/>
      <c r="E715" s="169"/>
      <c r="F715" s="169"/>
      <c r="G715" s="169"/>
      <c r="H715" s="92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</row>
    <row r="716" spans="1:27" ht="15.6">
      <c r="A716" s="193"/>
      <c r="B716" s="193"/>
      <c r="C716" s="193"/>
      <c r="D716" s="193"/>
      <c r="E716" s="169"/>
      <c r="F716" s="169"/>
      <c r="G716" s="169"/>
      <c r="H716" s="92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</row>
    <row r="717" spans="1:27" ht="15.6">
      <c r="A717" s="193"/>
      <c r="B717" s="193"/>
      <c r="C717" s="193"/>
      <c r="D717" s="193"/>
      <c r="E717" s="169"/>
      <c r="F717" s="169"/>
      <c r="G717" s="169"/>
      <c r="H717" s="92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</row>
    <row r="718" spans="1:27" ht="15.6">
      <c r="A718" s="193"/>
      <c r="B718" s="193"/>
      <c r="C718" s="193"/>
      <c r="D718" s="193"/>
      <c r="E718" s="169"/>
      <c r="F718" s="169"/>
      <c r="G718" s="169"/>
      <c r="H718" s="92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</row>
    <row r="719" spans="1:27" ht="15.6">
      <c r="A719" s="193"/>
      <c r="B719" s="193"/>
      <c r="C719" s="193"/>
      <c r="D719" s="193"/>
      <c r="E719" s="169"/>
      <c r="F719" s="169"/>
      <c r="G719" s="169"/>
      <c r="H719" s="92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</row>
    <row r="720" spans="1:27" ht="15.6">
      <c r="A720" s="193"/>
      <c r="B720" s="193"/>
      <c r="C720" s="193"/>
      <c r="D720" s="193"/>
      <c r="E720" s="169"/>
      <c r="F720" s="169"/>
      <c r="G720" s="169"/>
      <c r="H720" s="92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</row>
    <row r="721" spans="1:27" ht="15.6">
      <c r="A721" s="193"/>
      <c r="B721" s="193"/>
      <c r="C721" s="193"/>
      <c r="D721" s="193"/>
      <c r="E721" s="169"/>
      <c r="F721" s="169"/>
      <c r="G721" s="169"/>
      <c r="H721" s="92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</row>
    <row r="722" spans="1:27" ht="15.6">
      <c r="A722" s="193"/>
      <c r="B722" s="193"/>
      <c r="C722" s="193"/>
      <c r="D722" s="193"/>
      <c r="E722" s="169"/>
      <c r="F722" s="169"/>
      <c r="G722" s="169"/>
      <c r="H722" s="92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</row>
    <row r="723" spans="1:27" ht="15.6">
      <c r="A723" s="193"/>
      <c r="B723" s="193"/>
      <c r="C723" s="193"/>
      <c r="D723" s="193"/>
      <c r="E723" s="169"/>
      <c r="F723" s="169"/>
      <c r="G723" s="169"/>
      <c r="H723" s="92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</row>
    <row r="724" spans="1:27" ht="15.6">
      <c r="A724" s="193"/>
      <c r="B724" s="193"/>
      <c r="C724" s="193"/>
      <c r="D724" s="193"/>
      <c r="E724" s="169"/>
      <c r="F724" s="169"/>
      <c r="G724" s="169"/>
      <c r="H724" s="92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</row>
    <row r="725" spans="1:27" ht="15.6">
      <c r="A725" s="193"/>
      <c r="B725" s="193"/>
      <c r="C725" s="193"/>
      <c r="D725" s="193"/>
      <c r="E725" s="169"/>
      <c r="F725" s="169"/>
      <c r="G725" s="169"/>
      <c r="H725" s="92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</row>
    <row r="726" spans="1:27" ht="15.6">
      <c r="A726" s="193"/>
      <c r="B726" s="193"/>
      <c r="C726" s="193"/>
      <c r="D726" s="193"/>
      <c r="E726" s="169"/>
      <c r="F726" s="169"/>
      <c r="G726" s="169"/>
      <c r="H726" s="92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</row>
    <row r="727" spans="1:27" ht="15.6">
      <c r="A727" s="193"/>
      <c r="B727" s="193"/>
      <c r="C727" s="193"/>
      <c r="D727" s="193"/>
      <c r="E727" s="169"/>
      <c r="F727" s="169"/>
      <c r="G727" s="169"/>
      <c r="H727" s="92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</row>
    <row r="728" spans="1:27" ht="15.6">
      <c r="A728" s="193"/>
      <c r="B728" s="193"/>
      <c r="C728" s="193"/>
      <c r="D728" s="193"/>
      <c r="E728" s="169"/>
      <c r="F728" s="169"/>
      <c r="G728" s="169"/>
      <c r="H728" s="92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</row>
    <row r="729" spans="1:27" ht="15.6">
      <c r="A729" s="193"/>
      <c r="B729" s="193"/>
      <c r="C729" s="193"/>
      <c r="D729" s="193"/>
      <c r="E729" s="169"/>
      <c r="F729" s="169"/>
      <c r="G729" s="169"/>
      <c r="H729" s="92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</row>
    <row r="730" spans="1:27" ht="15.6">
      <c r="A730" s="193"/>
      <c r="B730" s="193"/>
      <c r="C730" s="193"/>
      <c r="D730" s="193"/>
      <c r="E730" s="169"/>
      <c r="F730" s="169"/>
      <c r="G730" s="169"/>
      <c r="H730" s="92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</row>
    <row r="731" spans="1:27" ht="15.6">
      <c r="A731" s="193"/>
      <c r="B731" s="193"/>
      <c r="C731" s="193"/>
      <c r="D731" s="193"/>
      <c r="E731" s="169"/>
      <c r="F731" s="169"/>
      <c r="G731" s="169"/>
      <c r="H731" s="92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</row>
    <row r="732" spans="1:27" ht="15.6">
      <c r="A732" s="193"/>
      <c r="B732" s="193"/>
      <c r="C732" s="193"/>
      <c r="D732" s="193"/>
      <c r="E732" s="169"/>
      <c r="F732" s="169"/>
      <c r="G732" s="169"/>
      <c r="H732" s="92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</row>
    <row r="733" spans="1:27" ht="15.6">
      <c r="A733" s="193"/>
      <c r="B733" s="193"/>
      <c r="C733" s="193"/>
      <c r="D733" s="193"/>
      <c r="E733" s="169"/>
      <c r="F733" s="169"/>
      <c r="G733" s="169"/>
      <c r="H733" s="92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</row>
    <row r="734" spans="1:27" ht="15.6">
      <c r="A734" s="193"/>
      <c r="B734" s="193"/>
      <c r="C734" s="193"/>
      <c r="D734" s="193"/>
      <c r="E734" s="169"/>
      <c r="F734" s="169"/>
      <c r="G734" s="169"/>
      <c r="H734" s="92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</row>
    <row r="735" spans="1:27" ht="15.6">
      <c r="A735" s="193"/>
      <c r="B735" s="193"/>
      <c r="C735" s="193"/>
      <c r="D735" s="193"/>
      <c r="E735" s="169"/>
      <c r="F735" s="169"/>
      <c r="G735" s="169"/>
      <c r="H735" s="92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</row>
    <row r="736" spans="1:27" ht="15.6">
      <c r="A736" s="193"/>
      <c r="B736" s="193"/>
      <c r="C736" s="193"/>
      <c r="D736" s="193"/>
      <c r="E736" s="169"/>
      <c r="F736" s="169"/>
      <c r="G736" s="169"/>
      <c r="H736" s="92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</row>
    <row r="737" spans="1:27" ht="15.6">
      <c r="A737" s="193"/>
      <c r="B737" s="193"/>
      <c r="C737" s="193"/>
      <c r="D737" s="193"/>
      <c r="E737" s="169"/>
      <c r="F737" s="169"/>
      <c r="G737" s="169"/>
      <c r="H737" s="92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</row>
    <row r="738" spans="1:27" ht="15.6">
      <c r="A738" s="193"/>
      <c r="B738" s="193"/>
      <c r="C738" s="193"/>
      <c r="D738" s="193"/>
      <c r="E738" s="169"/>
      <c r="F738" s="169"/>
      <c r="G738" s="169"/>
      <c r="H738" s="92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</row>
    <row r="739" spans="1:27" ht="15.6">
      <c r="A739" s="193"/>
      <c r="B739" s="193"/>
      <c r="C739" s="193"/>
      <c r="D739" s="193"/>
      <c r="E739" s="169"/>
      <c r="F739" s="169"/>
      <c r="G739" s="169"/>
      <c r="H739" s="92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</row>
    <row r="740" spans="1:27" ht="15.6">
      <c r="A740" s="193"/>
      <c r="B740" s="193"/>
      <c r="C740" s="193"/>
      <c r="D740" s="193"/>
      <c r="E740" s="169"/>
      <c r="F740" s="169"/>
      <c r="G740" s="169"/>
      <c r="H740" s="92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</row>
    <row r="741" spans="1:27" ht="15.6">
      <c r="A741" s="193"/>
      <c r="B741" s="193"/>
      <c r="C741" s="193"/>
      <c r="D741" s="193"/>
      <c r="E741" s="169"/>
      <c r="F741" s="169"/>
      <c r="G741" s="169"/>
      <c r="H741" s="92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</row>
    <row r="742" spans="1:27" ht="15.6">
      <c r="A742" s="193"/>
      <c r="B742" s="193"/>
      <c r="C742" s="193"/>
      <c r="D742" s="193"/>
      <c r="E742" s="169"/>
      <c r="F742" s="169"/>
      <c r="G742" s="169"/>
      <c r="H742" s="92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</row>
    <row r="743" spans="1:27" ht="15.6">
      <c r="A743" s="193"/>
      <c r="B743" s="193"/>
      <c r="C743" s="193"/>
      <c r="D743" s="193"/>
      <c r="E743" s="169"/>
      <c r="F743" s="169"/>
      <c r="G743" s="169"/>
      <c r="H743" s="92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</row>
    <row r="744" spans="1:27" ht="15.6">
      <c r="A744" s="193"/>
      <c r="B744" s="193"/>
      <c r="C744" s="193"/>
      <c r="D744" s="193"/>
      <c r="E744" s="169"/>
      <c r="F744" s="169"/>
      <c r="G744" s="169"/>
      <c r="H744" s="92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</row>
    <row r="745" spans="1:27" ht="15.6">
      <c r="A745" s="193"/>
      <c r="B745" s="193"/>
      <c r="C745" s="193"/>
      <c r="D745" s="193"/>
      <c r="E745" s="169"/>
      <c r="F745" s="169"/>
      <c r="G745" s="169"/>
      <c r="H745" s="92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</row>
    <row r="746" spans="1:27" ht="15.6">
      <c r="A746" s="193"/>
      <c r="B746" s="193"/>
      <c r="C746" s="193"/>
      <c r="D746" s="193"/>
      <c r="E746" s="169"/>
      <c r="F746" s="169"/>
      <c r="G746" s="169"/>
      <c r="H746" s="92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</row>
    <row r="747" spans="1:27" ht="15.6">
      <c r="A747" s="193"/>
      <c r="B747" s="193"/>
      <c r="C747" s="193"/>
      <c r="D747" s="193"/>
      <c r="E747" s="169"/>
      <c r="F747" s="169"/>
      <c r="G747" s="169"/>
      <c r="H747" s="92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</row>
    <row r="748" spans="1:27" ht="15.6">
      <c r="A748" s="193"/>
      <c r="B748" s="193"/>
      <c r="C748" s="193"/>
      <c r="D748" s="193"/>
      <c r="E748" s="169"/>
      <c r="F748" s="169"/>
      <c r="G748" s="169"/>
      <c r="H748" s="92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</row>
    <row r="749" spans="1:27" ht="15.6">
      <c r="A749" s="193"/>
      <c r="B749" s="193"/>
      <c r="C749" s="193"/>
      <c r="D749" s="193"/>
      <c r="E749" s="169"/>
      <c r="F749" s="169"/>
      <c r="G749" s="169"/>
      <c r="H749" s="92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</row>
    <row r="750" spans="1:27" ht="15.6">
      <c r="A750" s="193"/>
      <c r="B750" s="193"/>
      <c r="C750" s="193"/>
      <c r="D750" s="193"/>
      <c r="E750" s="169"/>
      <c r="F750" s="169"/>
      <c r="G750" s="169"/>
      <c r="H750" s="92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</row>
    <row r="751" spans="1:27" ht="15.6">
      <c r="A751" s="193"/>
      <c r="B751" s="193"/>
      <c r="C751" s="193"/>
      <c r="D751" s="193"/>
      <c r="E751" s="169"/>
      <c r="F751" s="169"/>
      <c r="G751" s="169"/>
      <c r="H751" s="92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</row>
    <row r="752" spans="1:27" ht="15.6">
      <c r="A752" s="193"/>
      <c r="B752" s="193"/>
      <c r="C752" s="193"/>
      <c r="D752" s="193"/>
      <c r="E752" s="169"/>
      <c r="F752" s="169"/>
      <c r="G752" s="169"/>
      <c r="H752" s="92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</row>
    <row r="753" spans="1:27" ht="15.6">
      <c r="A753" s="193"/>
      <c r="B753" s="193"/>
      <c r="C753" s="193"/>
      <c r="D753" s="193"/>
      <c r="E753" s="169"/>
      <c r="F753" s="169"/>
      <c r="G753" s="169"/>
      <c r="H753" s="92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</row>
    <row r="754" spans="1:27" ht="15.6">
      <c r="A754" s="193"/>
      <c r="B754" s="193"/>
      <c r="C754" s="193"/>
      <c r="D754" s="193"/>
      <c r="E754" s="169"/>
      <c r="F754" s="169"/>
      <c r="G754" s="169"/>
      <c r="H754" s="92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</row>
    <row r="755" spans="1:27" ht="15.6">
      <c r="A755" s="193"/>
      <c r="B755" s="193"/>
      <c r="C755" s="193"/>
      <c r="D755" s="193"/>
      <c r="E755" s="169"/>
      <c r="F755" s="169"/>
      <c r="G755" s="169"/>
      <c r="H755" s="92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</row>
    <row r="756" spans="1:27" ht="15.6">
      <c r="A756" s="193"/>
      <c r="B756" s="193"/>
      <c r="C756" s="193"/>
      <c r="D756" s="193"/>
      <c r="E756" s="169"/>
      <c r="F756" s="169"/>
      <c r="G756" s="169"/>
      <c r="H756" s="92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</row>
    <row r="757" spans="1:27" ht="15.6">
      <c r="A757" s="193"/>
      <c r="B757" s="193"/>
      <c r="C757" s="193"/>
      <c r="D757" s="193"/>
      <c r="E757" s="169"/>
      <c r="F757" s="169"/>
      <c r="G757" s="169"/>
      <c r="H757" s="92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</row>
    <row r="758" spans="1:27" ht="15.6">
      <c r="A758" s="193"/>
      <c r="B758" s="193"/>
      <c r="C758" s="193"/>
      <c r="D758" s="193"/>
      <c r="E758" s="169"/>
      <c r="F758" s="169"/>
      <c r="G758" s="169"/>
      <c r="H758" s="92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</row>
    <row r="759" spans="1:27" ht="15.6">
      <c r="A759" s="193"/>
      <c r="B759" s="193"/>
      <c r="C759" s="193"/>
      <c r="D759" s="193"/>
      <c r="E759" s="169"/>
      <c r="F759" s="169"/>
      <c r="G759" s="169"/>
      <c r="H759" s="92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</row>
    <row r="760" spans="1:27" ht="15.6">
      <c r="A760" s="193"/>
      <c r="B760" s="193"/>
      <c r="C760" s="193"/>
      <c r="D760" s="193"/>
      <c r="E760" s="169"/>
      <c r="F760" s="169"/>
      <c r="G760" s="169"/>
      <c r="H760" s="92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</row>
    <row r="761" spans="1:27" ht="15.6">
      <c r="A761" s="193"/>
      <c r="B761" s="193"/>
      <c r="C761" s="193"/>
      <c r="D761" s="193"/>
      <c r="E761" s="169"/>
      <c r="F761" s="169"/>
      <c r="G761" s="169"/>
      <c r="H761" s="92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</row>
    <row r="762" spans="1:27" ht="15.6">
      <c r="A762" s="193"/>
      <c r="B762" s="193"/>
      <c r="C762" s="193"/>
      <c r="D762" s="193"/>
      <c r="E762" s="169"/>
      <c r="F762" s="169"/>
      <c r="G762" s="169"/>
      <c r="H762" s="92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</row>
    <row r="763" spans="1:27" ht="15.6">
      <c r="A763" s="193"/>
      <c r="B763" s="193"/>
      <c r="C763" s="193"/>
      <c r="D763" s="193"/>
      <c r="E763" s="169"/>
      <c r="F763" s="169"/>
      <c r="G763" s="169"/>
      <c r="H763" s="92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</row>
    <row r="764" spans="1:27" ht="15.6">
      <c r="A764" s="193"/>
      <c r="B764" s="193"/>
      <c r="C764" s="193"/>
      <c r="D764" s="193"/>
      <c r="E764" s="169"/>
      <c r="F764" s="169"/>
      <c r="G764" s="169"/>
      <c r="H764" s="92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</row>
    <row r="765" spans="1:27" ht="15.6">
      <c r="A765" s="193"/>
      <c r="B765" s="193"/>
      <c r="C765" s="193"/>
      <c r="D765" s="193"/>
      <c r="E765" s="169"/>
      <c r="F765" s="169"/>
      <c r="G765" s="169"/>
      <c r="H765" s="92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</row>
    <row r="766" spans="1:27" ht="15.6">
      <c r="A766" s="193"/>
      <c r="B766" s="193"/>
      <c r="C766" s="193"/>
      <c r="D766" s="193"/>
      <c r="E766" s="169"/>
      <c r="F766" s="169"/>
      <c r="G766" s="169"/>
      <c r="H766" s="92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</row>
    <row r="767" spans="1:27" ht="15.6">
      <c r="A767" s="193"/>
      <c r="B767" s="193"/>
      <c r="C767" s="193"/>
      <c r="D767" s="193"/>
      <c r="E767" s="169"/>
      <c r="F767" s="169"/>
      <c r="G767" s="169"/>
      <c r="H767" s="92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</row>
    <row r="768" spans="1:27" ht="15.6">
      <c r="A768" s="193"/>
      <c r="B768" s="193"/>
      <c r="C768" s="193"/>
      <c r="D768" s="193"/>
      <c r="E768" s="169"/>
      <c r="F768" s="169"/>
      <c r="G768" s="169"/>
      <c r="H768" s="92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</row>
    <row r="769" spans="1:27" ht="15.6">
      <c r="A769" s="193"/>
      <c r="B769" s="193"/>
      <c r="C769" s="193"/>
      <c r="D769" s="193"/>
      <c r="E769" s="169"/>
      <c r="F769" s="169"/>
      <c r="G769" s="169"/>
      <c r="H769" s="92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</row>
    <row r="770" spans="1:27" ht="15.6">
      <c r="A770" s="193"/>
      <c r="B770" s="193"/>
      <c r="C770" s="193"/>
      <c r="D770" s="193"/>
      <c r="E770" s="169"/>
      <c r="F770" s="169"/>
      <c r="G770" s="169"/>
      <c r="H770" s="92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</row>
    <row r="771" spans="1:27" ht="15.6">
      <c r="A771" s="193"/>
      <c r="B771" s="193"/>
      <c r="C771" s="193"/>
      <c r="D771" s="193"/>
      <c r="E771" s="169"/>
      <c r="F771" s="169"/>
      <c r="G771" s="169"/>
      <c r="H771" s="92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</row>
    <row r="772" spans="1:27" ht="15.6">
      <c r="A772" s="193"/>
      <c r="B772" s="193"/>
      <c r="C772" s="193"/>
      <c r="D772" s="193"/>
      <c r="E772" s="169"/>
      <c r="F772" s="169"/>
      <c r="G772" s="169"/>
      <c r="H772" s="92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</row>
    <row r="773" spans="1:27" ht="15.6">
      <c r="A773" s="193"/>
      <c r="B773" s="193"/>
      <c r="C773" s="193"/>
      <c r="D773" s="193"/>
      <c r="E773" s="169"/>
      <c r="F773" s="169"/>
      <c r="G773" s="169"/>
      <c r="H773" s="92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</row>
    <row r="774" spans="1:27" ht="15.6">
      <c r="A774" s="193"/>
      <c r="B774" s="193"/>
      <c r="C774" s="193"/>
      <c r="D774" s="193"/>
      <c r="E774" s="169"/>
      <c r="F774" s="169"/>
      <c r="G774" s="169"/>
      <c r="H774" s="92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</row>
    <row r="775" spans="1:27" ht="15.6">
      <c r="A775" s="193"/>
      <c r="B775" s="193"/>
      <c r="C775" s="193"/>
      <c r="D775" s="193"/>
      <c r="E775" s="169"/>
      <c r="F775" s="169"/>
      <c r="G775" s="169"/>
      <c r="H775" s="92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</row>
    <row r="776" spans="1:27" ht="15.6">
      <c r="A776" s="193"/>
      <c r="B776" s="193"/>
      <c r="C776" s="193"/>
      <c r="D776" s="193"/>
      <c r="E776" s="169"/>
      <c r="F776" s="169"/>
      <c r="G776" s="169"/>
      <c r="H776" s="92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</row>
    <row r="777" spans="1:27" ht="15.6">
      <c r="A777" s="193"/>
      <c r="B777" s="193"/>
      <c r="C777" s="193"/>
      <c r="D777" s="193"/>
      <c r="E777" s="169"/>
      <c r="F777" s="169"/>
      <c r="G777" s="169"/>
      <c r="H777" s="92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</row>
    <row r="778" spans="1:27" ht="15.6">
      <c r="A778" s="193"/>
      <c r="B778" s="193"/>
      <c r="C778" s="193"/>
      <c r="D778" s="193"/>
      <c r="E778" s="169"/>
      <c r="F778" s="169"/>
      <c r="G778" s="169"/>
      <c r="H778" s="92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</row>
    <row r="779" spans="1:27" ht="15.6">
      <c r="A779" s="193"/>
      <c r="B779" s="193"/>
      <c r="C779" s="193"/>
      <c r="D779" s="193"/>
      <c r="E779" s="169"/>
      <c r="F779" s="169"/>
      <c r="G779" s="169"/>
      <c r="H779" s="92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</row>
    <row r="780" spans="1:27" ht="15.6">
      <c r="A780" s="193"/>
      <c r="B780" s="193"/>
      <c r="C780" s="193"/>
      <c r="D780" s="193"/>
      <c r="E780" s="169"/>
      <c r="F780" s="169"/>
      <c r="G780" s="169"/>
      <c r="H780" s="92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</row>
    <row r="781" spans="1:27" ht="15.6">
      <c r="A781" s="193"/>
      <c r="B781" s="193"/>
      <c r="C781" s="193"/>
      <c r="D781" s="193"/>
      <c r="E781" s="169"/>
      <c r="F781" s="169"/>
      <c r="G781" s="169"/>
      <c r="H781" s="92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</row>
    <row r="782" spans="1:27" ht="15.6">
      <c r="A782" s="193"/>
      <c r="B782" s="193"/>
      <c r="C782" s="193"/>
      <c r="D782" s="193"/>
      <c r="E782" s="169"/>
      <c r="F782" s="169"/>
      <c r="G782" s="169"/>
      <c r="H782" s="92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</row>
    <row r="783" spans="1:27" ht="15.6">
      <c r="A783" s="193"/>
      <c r="B783" s="193"/>
      <c r="C783" s="193"/>
      <c r="D783" s="193"/>
      <c r="E783" s="169"/>
      <c r="F783" s="169"/>
      <c r="G783" s="169"/>
      <c r="H783" s="92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</row>
    <row r="784" spans="1:27" ht="15.6">
      <c r="A784" s="193"/>
      <c r="B784" s="193"/>
      <c r="C784" s="193"/>
      <c r="D784" s="193"/>
      <c r="E784" s="169"/>
      <c r="F784" s="169"/>
      <c r="G784" s="169"/>
      <c r="H784" s="92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</row>
    <row r="785" spans="1:27" ht="15.6">
      <c r="A785" s="193"/>
      <c r="B785" s="193"/>
      <c r="C785" s="193"/>
      <c r="D785" s="193"/>
      <c r="E785" s="169"/>
      <c r="F785" s="169"/>
      <c r="G785" s="169"/>
      <c r="H785" s="92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</row>
    <row r="786" spans="1:27" ht="15.6">
      <c r="A786" s="193"/>
      <c r="B786" s="193"/>
      <c r="C786" s="193"/>
      <c r="D786" s="193"/>
      <c r="E786" s="169"/>
      <c r="F786" s="169"/>
      <c r="G786" s="169"/>
      <c r="H786" s="92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</row>
    <row r="787" spans="1:27" ht="15.6">
      <c r="A787" s="193"/>
      <c r="B787" s="193"/>
      <c r="C787" s="193"/>
      <c r="D787" s="193"/>
      <c r="E787" s="169"/>
      <c r="F787" s="169"/>
      <c r="G787" s="169"/>
      <c r="H787" s="92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</row>
    <row r="788" spans="1:27" ht="15.6">
      <c r="A788" s="193"/>
      <c r="B788" s="193"/>
      <c r="C788" s="193"/>
      <c r="D788" s="193"/>
      <c r="E788" s="169"/>
      <c r="F788" s="169"/>
      <c r="G788" s="169"/>
      <c r="H788" s="92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</row>
    <row r="789" spans="1:27" ht="15.6">
      <c r="A789" s="193"/>
      <c r="B789" s="193"/>
      <c r="C789" s="193"/>
      <c r="D789" s="193"/>
      <c r="E789" s="169"/>
      <c r="F789" s="169"/>
      <c r="G789" s="169"/>
      <c r="H789" s="92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</row>
    <row r="790" spans="1:27" ht="15.6">
      <c r="A790" s="193"/>
      <c r="B790" s="193"/>
      <c r="C790" s="193"/>
      <c r="D790" s="193"/>
      <c r="E790" s="169"/>
      <c r="F790" s="169"/>
      <c r="G790" s="169"/>
      <c r="H790" s="92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</row>
    <row r="791" spans="1:27" ht="15.6">
      <c r="A791" s="193"/>
      <c r="B791" s="193"/>
      <c r="C791" s="193"/>
      <c r="D791" s="193"/>
      <c r="E791" s="169"/>
      <c r="F791" s="169"/>
      <c r="G791" s="169"/>
      <c r="H791" s="92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</row>
    <row r="792" spans="1:27" ht="15.6">
      <c r="A792" s="193"/>
      <c r="B792" s="193"/>
      <c r="C792" s="193"/>
      <c r="D792" s="193"/>
      <c r="E792" s="169"/>
      <c r="F792" s="169"/>
      <c r="G792" s="169"/>
      <c r="H792" s="92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</row>
    <row r="793" spans="1:27" ht="15.6">
      <c r="A793" s="193"/>
      <c r="B793" s="193"/>
      <c r="C793" s="193"/>
      <c r="D793" s="193"/>
      <c r="E793" s="169"/>
      <c r="F793" s="169"/>
      <c r="G793" s="169"/>
      <c r="H793" s="92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</row>
    <row r="794" spans="1:27" ht="15.6">
      <c r="A794" s="193"/>
      <c r="B794" s="193"/>
      <c r="C794" s="193"/>
      <c r="D794" s="193"/>
      <c r="E794" s="169"/>
      <c r="F794" s="169"/>
      <c r="G794" s="169"/>
      <c r="H794" s="92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</row>
    <row r="795" spans="1:27" ht="15.6">
      <c r="A795" s="193"/>
      <c r="B795" s="193"/>
      <c r="C795" s="193"/>
      <c r="D795" s="193"/>
      <c r="E795" s="169"/>
      <c r="F795" s="169"/>
      <c r="G795" s="169"/>
      <c r="H795" s="92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</row>
    <row r="796" spans="1:27" ht="15.6">
      <c r="A796" s="193"/>
      <c r="B796" s="193"/>
      <c r="C796" s="193"/>
      <c r="D796" s="193"/>
      <c r="E796" s="169"/>
      <c r="F796" s="169"/>
      <c r="G796" s="169"/>
      <c r="H796" s="92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</row>
    <row r="797" spans="1:27" ht="15.6">
      <c r="A797" s="193"/>
      <c r="B797" s="193"/>
      <c r="C797" s="193"/>
      <c r="D797" s="193"/>
      <c r="E797" s="169"/>
      <c r="F797" s="169"/>
      <c r="G797" s="169"/>
      <c r="H797" s="92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</row>
    <row r="798" spans="1:27" ht="15.6">
      <c r="A798" s="193"/>
      <c r="B798" s="193"/>
      <c r="C798" s="193"/>
      <c r="D798" s="193"/>
      <c r="E798" s="169"/>
      <c r="F798" s="169"/>
      <c r="G798" s="169"/>
      <c r="H798" s="92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</row>
    <row r="799" spans="1:27" ht="15.6">
      <c r="A799" s="193"/>
      <c r="B799" s="193"/>
      <c r="C799" s="193"/>
      <c r="D799" s="193"/>
      <c r="E799" s="169"/>
      <c r="F799" s="169"/>
      <c r="G799" s="169"/>
      <c r="H799" s="92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</row>
    <row r="800" spans="1:27" ht="15.6">
      <c r="A800" s="193"/>
      <c r="B800" s="193"/>
      <c r="C800" s="193"/>
      <c r="D800" s="193"/>
      <c r="E800" s="169"/>
      <c r="F800" s="169"/>
      <c r="G800" s="169"/>
      <c r="H800" s="92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</row>
    <row r="801" spans="1:27" ht="15.6">
      <c r="A801" s="193"/>
      <c r="B801" s="193"/>
      <c r="C801" s="193"/>
      <c r="D801" s="193"/>
      <c r="E801" s="169"/>
      <c r="F801" s="169"/>
      <c r="G801" s="169"/>
      <c r="H801" s="92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</row>
    <row r="802" spans="1:27" ht="15.6">
      <c r="A802" s="193"/>
      <c r="B802" s="193"/>
      <c r="C802" s="193"/>
      <c r="D802" s="193"/>
      <c r="E802" s="169"/>
      <c r="F802" s="169"/>
      <c r="G802" s="169"/>
      <c r="H802" s="92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</row>
    <row r="803" spans="1:27" ht="15.6">
      <c r="A803" s="193"/>
      <c r="B803" s="193"/>
      <c r="C803" s="193"/>
      <c r="D803" s="193"/>
      <c r="E803" s="169"/>
      <c r="F803" s="169"/>
      <c r="G803" s="169"/>
      <c r="H803" s="92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</row>
    <row r="804" spans="1:27" ht="15.6">
      <c r="A804" s="193"/>
      <c r="B804" s="193"/>
      <c r="C804" s="193"/>
      <c r="D804" s="193"/>
      <c r="E804" s="169"/>
      <c r="F804" s="169"/>
      <c r="G804" s="169"/>
      <c r="H804" s="92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</row>
    <row r="805" spans="1:27" ht="15.6">
      <c r="A805" s="193"/>
      <c r="B805" s="193"/>
      <c r="C805" s="193"/>
      <c r="D805" s="193"/>
      <c r="E805" s="169"/>
      <c r="F805" s="169"/>
      <c r="G805" s="169"/>
      <c r="H805" s="92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</row>
    <row r="806" spans="1:27" ht="15.6">
      <c r="A806" s="193"/>
      <c r="B806" s="193"/>
      <c r="C806" s="193"/>
      <c r="D806" s="193"/>
      <c r="E806" s="169"/>
      <c r="F806" s="169"/>
      <c r="G806" s="169"/>
      <c r="H806" s="92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</row>
    <row r="807" spans="1:27" ht="15.6">
      <c r="A807" s="193"/>
      <c r="B807" s="193"/>
      <c r="C807" s="193"/>
      <c r="D807" s="193"/>
      <c r="E807" s="169"/>
      <c r="F807" s="169"/>
      <c r="G807" s="169"/>
      <c r="H807" s="92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</row>
    <row r="808" spans="1:27" ht="15.6">
      <c r="A808" s="193"/>
      <c r="B808" s="193"/>
      <c r="C808" s="193"/>
      <c r="D808" s="193"/>
      <c r="E808" s="169"/>
      <c r="F808" s="169"/>
      <c r="G808" s="169"/>
      <c r="H808" s="92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</row>
    <row r="809" spans="1:27" ht="15.6">
      <c r="A809" s="193"/>
      <c r="B809" s="193"/>
      <c r="C809" s="193"/>
      <c r="D809" s="193"/>
      <c r="E809" s="169"/>
      <c r="F809" s="169"/>
      <c r="G809" s="169"/>
      <c r="H809" s="92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</row>
    <row r="810" spans="1:27" ht="15.6">
      <c r="A810" s="193"/>
      <c r="B810" s="193"/>
      <c r="C810" s="193"/>
      <c r="D810" s="193"/>
      <c r="E810" s="169"/>
      <c r="F810" s="169"/>
      <c r="G810" s="169"/>
      <c r="H810" s="92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</row>
    <row r="811" spans="1:27" ht="15.6">
      <c r="A811" s="193"/>
      <c r="B811" s="193"/>
      <c r="C811" s="193"/>
      <c r="D811" s="193"/>
      <c r="E811" s="169"/>
      <c r="F811" s="169"/>
      <c r="G811" s="169"/>
      <c r="H811" s="92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</row>
    <row r="812" spans="1:27" ht="15.6">
      <c r="A812" s="193"/>
      <c r="B812" s="193"/>
      <c r="C812" s="193"/>
      <c r="D812" s="193"/>
      <c r="E812" s="169"/>
      <c r="F812" s="169"/>
      <c r="G812" s="169"/>
      <c r="H812" s="92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</row>
    <row r="813" spans="1:27" ht="15.6">
      <c r="A813" s="193"/>
      <c r="B813" s="193"/>
      <c r="C813" s="193"/>
      <c r="D813" s="193"/>
      <c r="E813" s="169"/>
      <c r="F813" s="169"/>
      <c r="G813" s="169"/>
      <c r="H813" s="92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</row>
    <row r="814" spans="1:27" ht="15.6">
      <c r="A814" s="193"/>
      <c r="B814" s="193"/>
      <c r="C814" s="193"/>
      <c r="D814" s="193"/>
      <c r="E814" s="169"/>
      <c r="F814" s="169"/>
      <c r="G814" s="169"/>
      <c r="H814" s="92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</row>
    <row r="815" spans="1:27" ht="15.6">
      <c r="A815" s="193"/>
      <c r="B815" s="193"/>
      <c r="C815" s="193"/>
      <c r="D815" s="193"/>
      <c r="E815" s="169"/>
      <c r="F815" s="169"/>
      <c r="G815" s="169"/>
      <c r="H815" s="92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</row>
    <row r="816" spans="1:27" ht="15.6">
      <c r="A816" s="193"/>
      <c r="B816" s="193"/>
      <c r="C816" s="193"/>
      <c r="D816" s="193"/>
      <c r="E816" s="169"/>
      <c r="F816" s="169"/>
      <c r="G816" s="169"/>
      <c r="H816" s="92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</row>
    <row r="817" spans="1:27" ht="15.6">
      <c r="A817" s="193"/>
      <c r="B817" s="193"/>
      <c r="C817" s="193"/>
      <c r="D817" s="193"/>
      <c r="E817" s="169"/>
      <c r="F817" s="169"/>
      <c r="G817" s="169"/>
      <c r="H817" s="92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</row>
    <row r="818" spans="1:27" ht="15.6">
      <c r="A818" s="193"/>
      <c r="B818" s="193"/>
      <c r="C818" s="193"/>
      <c r="D818" s="193"/>
      <c r="E818" s="169"/>
      <c r="F818" s="169"/>
      <c r="G818" s="169"/>
      <c r="H818" s="92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</row>
    <row r="819" spans="1:27" ht="15.6">
      <c r="A819" s="193"/>
      <c r="B819" s="193"/>
      <c r="C819" s="193"/>
      <c r="D819" s="193"/>
      <c r="E819" s="169"/>
      <c r="F819" s="169"/>
      <c r="G819" s="169"/>
      <c r="H819" s="92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</row>
    <row r="820" spans="1:27" ht="15.6">
      <c r="A820" s="193"/>
      <c r="B820" s="193"/>
      <c r="C820" s="193"/>
      <c r="D820" s="193"/>
      <c r="E820" s="169"/>
      <c r="F820" s="169"/>
      <c r="G820" s="169"/>
      <c r="H820" s="92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</row>
    <row r="821" spans="1:27" ht="15.6">
      <c r="A821" s="193"/>
      <c r="B821" s="193"/>
      <c r="C821" s="193"/>
      <c r="D821" s="193"/>
      <c r="E821" s="169"/>
      <c r="F821" s="169"/>
      <c r="G821" s="169"/>
      <c r="H821" s="92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</row>
    <row r="822" spans="1:27" ht="15.6">
      <c r="A822" s="193"/>
      <c r="B822" s="193"/>
      <c r="C822" s="193"/>
      <c r="D822" s="193"/>
      <c r="E822" s="169"/>
      <c r="F822" s="169"/>
      <c r="G822" s="169"/>
      <c r="H822" s="92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</row>
    <row r="823" spans="1:27" ht="15.6">
      <c r="A823" s="193"/>
      <c r="B823" s="193"/>
      <c r="C823" s="193"/>
      <c r="D823" s="193"/>
      <c r="E823" s="169"/>
      <c r="F823" s="169"/>
      <c r="G823" s="169"/>
      <c r="H823" s="92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</row>
    <row r="824" spans="1:27" ht="15.6">
      <c r="A824" s="193"/>
      <c r="B824" s="193"/>
      <c r="C824" s="193"/>
      <c r="D824" s="193"/>
      <c r="E824" s="169"/>
      <c r="F824" s="169"/>
      <c r="G824" s="169"/>
      <c r="H824" s="92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</row>
    <row r="825" spans="1:27" ht="15.6">
      <c r="A825" s="193"/>
      <c r="B825" s="193"/>
      <c r="C825" s="193"/>
      <c r="D825" s="193"/>
      <c r="E825" s="169"/>
      <c r="F825" s="169"/>
      <c r="G825" s="169"/>
      <c r="H825" s="92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</row>
    <row r="826" spans="1:27" ht="15.6">
      <c r="A826" s="193"/>
      <c r="B826" s="193"/>
      <c r="C826" s="193"/>
      <c r="D826" s="193"/>
      <c r="E826" s="169"/>
      <c r="F826" s="169"/>
      <c r="G826" s="169"/>
      <c r="H826" s="92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</row>
    <row r="827" spans="1:27" ht="15.6">
      <c r="A827" s="193"/>
      <c r="B827" s="193"/>
      <c r="C827" s="193"/>
      <c r="D827" s="193"/>
      <c r="E827" s="169"/>
      <c r="F827" s="169"/>
      <c r="G827" s="169"/>
      <c r="H827" s="92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</row>
    <row r="828" spans="1:27" ht="15.6">
      <c r="A828" s="193"/>
      <c r="B828" s="193"/>
      <c r="C828" s="193"/>
      <c r="D828" s="193"/>
      <c r="E828" s="169"/>
      <c r="F828" s="169"/>
      <c r="G828" s="169"/>
      <c r="H828" s="92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</row>
    <row r="829" spans="1:27" ht="15.6">
      <c r="A829" s="193"/>
      <c r="B829" s="193"/>
      <c r="C829" s="193"/>
      <c r="D829" s="193"/>
      <c r="E829" s="169"/>
      <c r="F829" s="169"/>
      <c r="G829" s="169"/>
      <c r="H829" s="92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</row>
    <row r="830" spans="1:27" ht="15.6">
      <c r="A830" s="193"/>
      <c r="B830" s="193"/>
      <c r="C830" s="193"/>
      <c r="D830" s="193"/>
      <c r="E830" s="169"/>
      <c r="F830" s="169"/>
      <c r="G830" s="169"/>
      <c r="H830" s="92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</row>
    <row r="831" spans="1:27" ht="15.6">
      <c r="A831" s="193"/>
      <c r="B831" s="193"/>
      <c r="C831" s="193"/>
      <c r="D831" s="193"/>
      <c r="E831" s="169"/>
      <c r="F831" s="169"/>
      <c r="G831" s="169"/>
      <c r="H831" s="92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</row>
    <row r="832" spans="1:27" ht="15.6">
      <c r="A832" s="193"/>
      <c r="B832" s="193"/>
      <c r="C832" s="193"/>
      <c r="D832" s="193"/>
      <c r="E832" s="169"/>
      <c r="F832" s="169"/>
      <c r="G832" s="169"/>
      <c r="H832" s="92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</row>
    <row r="833" spans="1:27" ht="15.6">
      <c r="A833" s="193"/>
      <c r="B833" s="193"/>
      <c r="C833" s="193"/>
      <c r="D833" s="193"/>
      <c r="E833" s="169"/>
      <c r="F833" s="169"/>
      <c r="G833" s="169"/>
      <c r="H833" s="92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</row>
    <row r="834" spans="1:27" ht="15.6">
      <c r="A834" s="193"/>
      <c r="B834" s="193"/>
      <c r="C834" s="193"/>
      <c r="D834" s="193"/>
      <c r="E834" s="169"/>
      <c r="F834" s="169"/>
      <c r="G834" s="169"/>
      <c r="H834" s="92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</row>
    <row r="835" spans="1:27" ht="15.6">
      <c r="A835" s="193"/>
      <c r="B835" s="193"/>
      <c r="C835" s="193"/>
      <c r="D835" s="193"/>
      <c r="E835" s="169"/>
      <c r="F835" s="169"/>
      <c r="G835" s="169"/>
      <c r="H835" s="92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</row>
    <row r="836" spans="1:27" ht="15.6">
      <c r="A836" s="193"/>
      <c r="B836" s="193"/>
      <c r="C836" s="193"/>
      <c r="D836" s="193"/>
      <c r="E836" s="169"/>
      <c r="F836" s="169"/>
      <c r="G836" s="169"/>
      <c r="H836" s="92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</row>
    <row r="837" spans="1:27" ht="15.6">
      <c r="A837" s="193"/>
      <c r="B837" s="193"/>
      <c r="C837" s="193"/>
      <c r="D837" s="193"/>
      <c r="E837" s="169"/>
      <c r="F837" s="169"/>
      <c r="G837" s="169"/>
      <c r="H837" s="92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</row>
    <row r="838" spans="1:27" ht="15.6">
      <c r="A838" s="193"/>
      <c r="B838" s="193"/>
      <c r="C838" s="193"/>
      <c r="D838" s="193"/>
      <c r="E838" s="169"/>
      <c r="F838" s="169"/>
      <c r="G838" s="169"/>
      <c r="H838" s="92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</row>
    <row r="839" spans="1:27" ht="15.6">
      <c r="A839" s="193"/>
      <c r="B839" s="193"/>
      <c r="C839" s="193"/>
      <c r="D839" s="193"/>
      <c r="E839" s="169"/>
      <c r="F839" s="169"/>
      <c r="G839" s="169"/>
      <c r="H839" s="92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</row>
    <row r="840" spans="1:27" ht="15.6">
      <c r="A840" s="193"/>
      <c r="B840" s="193"/>
      <c r="C840" s="193"/>
      <c r="D840" s="193"/>
      <c r="E840" s="169"/>
      <c r="F840" s="169"/>
      <c r="G840" s="169"/>
      <c r="H840" s="92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</row>
    <row r="841" spans="1:27" ht="15.6">
      <c r="A841" s="193"/>
      <c r="B841" s="193"/>
      <c r="C841" s="193"/>
      <c r="D841" s="193"/>
      <c r="E841" s="169"/>
      <c r="F841" s="169"/>
      <c r="G841" s="169"/>
      <c r="H841" s="92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</row>
    <row r="842" spans="1:27" ht="15.6">
      <c r="A842" s="193"/>
      <c r="B842" s="193"/>
      <c r="C842" s="193"/>
      <c r="D842" s="193"/>
      <c r="E842" s="169"/>
      <c r="F842" s="169"/>
      <c r="G842" s="169"/>
      <c r="H842" s="92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</row>
  </sheetData>
  <mergeCells count="5">
    <mergeCell ref="B1:G1"/>
    <mergeCell ref="B2:G2"/>
    <mergeCell ref="B4:G4"/>
    <mergeCell ref="B54:G54"/>
    <mergeCell ref="B153:G1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64"/>
  <sheetViews>
    <sheetView workbookViewId="0"/>
  </sheetViews>
  <sheetFormatPr defaultColWidth="12.7109375" defaultRowHeight="15.75" customHeight="1"/>
  <cols>
    <col min="2" max="2" width="6.7109375" customWidth="1"/>
    <col min="3" max="3" width="2.28515625" customWidth="1"/>
    <col min="4" max="4" width="39.28515625" customWidth="1"/>
    <col min="5" max="5" width="4.42578125" customWidth="1"/>
    <col min="6" max="6" width="4.28515625" customWidth="1"/>
  </cols>
  <sheetData>
    <row r="1" spans="1:27" ht="15.75" customHeight="1">
      <c r="A1" s="198"/>
      <c r="B1" s="286" t="s">
        <v>788</v>
      </c>
      <c r="C1" s="230"/>
      <c r="D1" s="230"/>
      <c r="E1" s="230"/>
      <c r="F1" s="230"/>
      <c r="G1" s="230"/>
      <c r="H1" s="9" t="e">
        <f>AVERAGE(H2,H20,#REF!,#REF!,#REF!)</f>
        <v>#REF!</v>
      </c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</row>
    <row r="2" spans="1:27" ht="15.75" customHeight="1">
      <c r="A2" s="9">
        <v>1</v>
      </c>
      <c r="B2" s="286" t="s">
        <v>789</v>
      </c>
      <c r="C2" s="230"/>
      <c r="D2" s="230"/>
      <c r="E2" s="230"/>
      <c r="F2" s="230"/>
      <c r="G2" s="230"/>
      <c r="H2" s="9">
        <f>AVERAGE(H3:H48)</f>
        <v>3</v>
      </c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</row>
    <row r="3" spans="1:27" ht="15.75" customHeight="1">
      <c r="A3" s="198"/>
      <c r="B3" s="10">
        <v>46023</v>
      </c>
      <c r="C3" s="198"/>
      <c r="D3" s="198" t="s">
        <v>484</v>
      </c>
      <c r="E3" s="195"/>
      <c r="F3" s="195"/>
      <c r="G3" s="195"/>
      <c r="H3" s="11">
        <f>AVERAGE(G5:G7)</f>
        <v>3</v>
      </c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</row>
    <row r="4" spans="1:27" ht="15.75" customHeight="1">
      <c r="A4" s="198"/>
      <c r="B4" s="198"/>
      <c r="C4" s="198"/>
      <c r="D4" s="198"/>
      <c r="E4" s="198" t="s">
        <v>31</v>
      </c>
      <c r="F4" s="198" t="s">
        <v>10</v>
      </c>
      <c r="G4" s="198" t="s">
        <v>306</v>
      </c>
      <c r="H4" s="195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</row>
    <row r="5" spans="1:27" ht="15.75" customHeight="1">
      <c r="A5" s="198"/>
      <c r="B5" s="198"/>
      <c r="C5" s="198" t="s">
        <v>307</v>
      </c>
      <c r="D5" s="198" t="s">
        <v>485</v>
      </c>
      <c r="E5" s="9">
        <v>3</v>
      </c>
      <c r="F5" s="9">
        <v>3</v>
      </c>
      <c r="G5" s="9">
        <f t="shared" ref="G5:G7" si="0">AVERAGE(E5:F5)</f>
        <v>3</v>
      </c>
      <c r="H5" s="195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</row>
    <row r="6" spans="1:27" ht="15.75" customHeight="1">
      <c r="A6" s="198"/>
      <c r="B6" s="198"/>
      <c r="C6" s="198" t="s">
        <v>309</v>
      </c>
      <c r="D6" s="198" t="s">
        <v>486</v>
      </c>
      <c r="E6" s="9">
        <v>3</v>
      </c>
      <c r="F6" s="9">
        <v>3</v>
      </c>
      <c r="G6" s="9">
        <f t="shared" si="0"/>
        <v>3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</row>
    <row r="7" spans="1:27" ht="15.75" customHeight="1">
      <c r="A7" s="198"/>
      <c r="B7" s="15"/>
      <c r="C7" s="198" t="s">
        <v>316</v>
      </c>
      <c r="D7" s="198" t="s">
        <v>487</v>
      </c>
      <c r="E7" s="9">
        <v>3</v>
      </c>
      <c r="F7" s="9">
        <v>3</v>
      </c>
      <c r="G7" s="9">
        <f t="shared" si="0"/>
        <v>3</v>
      </c>
      <c r="H7" s="195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</row>
    <row r="8" spans="1:27" ht="15.75" customHeight="1">
      <c r="A8" s="198"/>
      <c r="B8" s="15"/>
      <c r="C8" s="198" t="s">
        <v>318</v>
      </c>
      <c r="D8" s="198" t="s">
        <v>488</v>
      </c>
      <c r="E8" s="198"/>
      <c r="F8" s="198"/>
      <c r="G8" s="198"/>
      <c r="H8" s="195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 spans="1:27" ht="15.75" customHeight="1">
      <c r="A9" s="198"/>
      <c r="B9" s="15"/>
      <c r="C9" s="198" t="s">
        <v>320</v>
      </c>
      <c r="D9" s="198" t="s">
        <v>489</v>
      </c>
      <c r="E9" s="198"/>
      <c r="F9" s="198"/>
      <c r="G9" s="198"/>
      <c r="H9" s="195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</row>
    <row r="10" spans="1:27" ht="15.75" customHeight="1">
      <c r="A10" s="198"/>
      <c r="B10" s="15"/>
      <c r="C10" s="198" t="s">
        <v>353</v>
      </c>
      <c r="D10" s="198" t="s">
        <v>490</v>
      </c>
      <c r="E10" s="198"/>
      <c r="F10" s="198"/>
      <c r="G10" s="198"/>
      <c r="H10" s="195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</row>
    <row r="11" spans="1:27" ht="15.75" customHeight="1">
      <c r="A11" s="198"/>
      <c r="B11" s="15"/>
      <c r="C11" s="198" t="s">
        <v>355</v>
      </c>
      <c r="D11" s="198" t="s">
        <v>491</v>
      </c>
      <c r="E11" s="198"/>
      <c r="F11" s="198"/>
      <c r="G11" s="198"/>
      <c r="H11" s="195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</row>
    <row r="12" spans="1:27" ht="15.75" customHeight="1">
      <c r="A12" s="198"/>
      <c r="B12" s="15"/>
      <c r="C12" s="198" t="s">
        <v>398</v>
      </c>
      <c r="D12" s="198" t="s">
        <v>492</v>
      </c>
      <c r="E12" s="198"/>
      <c r="F12" s="198"/>
      <c r="G12" s="198"/>
      <c r="H12" s="195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</row>
    <row r="13" spans="1:27" ht="15.75" customHeight="1">
      <c r="A13" s="198"/>
      <c r="B13" s="15"/>
      <c r="C13" s="198" t="s">
        <v>407</v>
      </c>
      <c r="D13" s="198" t="s">
        <v>493</v>
      </c>
      <c r="E13" s="198"/>
      <c r="F13" s="198"/>
      <c r="G13" s="198"/>
      <c r="H13" s="195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</row>
    <row r="14" spans="1:27" ht="15.75" customHeight="1">
      <c r="A14" s="198"/>
      <c r="B14" s="15"/>
      <c r="C14" s="198" t="s">
        <v>494</v>
      </c>
      <c r="D14" s="198" t="s">
        <v>781</v>
      </c>
      <c r="E14" s="198"/>
      <c r="F14" s="198"/>
      <c r="G14" s="198"/>
      <c r="H14" s="195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</row>
    <row r="15" spans="1:27" ht="15.75" customHeight="1">
      <c r="A15" s="198"/>
      <c r="B15" s="15"/>
      <c r="C15" s="198" t="s">
        <v>496</v>
      </c>
      <c r="D15" s="198" t="s">
        <v>497</v>
      </c>
      <c r="E15" s="198"/>
      <c r="F15" s="198"/>
      <c r="G15" s="198"/>
      <c r="H15" s="195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</row>
    <row r="16" spans="1:27" ht="15.75" customHeight="1">
      <c r="A16" s="198"/>
      <c r="B16" s="15"/>
      <c r="C16" s="198" t="s">
        <v>498</v>
      </c>
      <c r="D16" s="198" t="s">
        <v>499</v>
      </c>
      <c r="E16" s="198"/>
      <c r="F16" s="198"/>
      <c r="G16" s="198"/>
      <c r="H16" s="195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</row>
    <row r="17" spans="1:27" ht="15.75" customHeight="1">
      <c r="A17" s="198"/>
      <c r="B17" s="15"/>
      <c r="C17" s="198" t="s">
        <v>500</v>
      </c>
      <c r="D17" s="198" t="s">
        <v>501</v>
      </c>
      <c r="E17" s="198"/>
      <c r="F17" s="198"/>
      <c r="G17" s="198"/>
      <c r="H17" s="195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</row>
    <row r="18" spans="1:27" ht="15.75" customHeight="1">
      <c r="A18" s="198"/>
      <c r="B18" s="15"/>
      <c r="C18" s="198" t="s">
        <v>502</v>
      </c>
      <c r="D18" s="198" t="s">
        <v>437</v>
      </c>
      <c r="E18" s="198"/>
      <c r="F18" s="198"/>
      <c r="G18" s="198"/>
      <c r="H18" s="195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</row>
    <row r="19" spans="1:27" ht="15.75" customHeight="1">
      <c r="A19" s="198"/>
      <c r="B19" s="15"/>
      <c r="C19" s="198"/>
      <c r="D19" s="198"/>
      <c r="E19" s="198"/>
      <c r="F19" s="198"/>
      <c r="G19" s="198"/>
      <c r="H19" s="195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</row>
    <row r="20" spans="1:27" ht="15.75" customHeight="1">
      <c r="A20" s="198"/>
      <c r="B20" s="9">
        <v>1.2</v>
      </c>
      <c r="C20" s="198"/>
      <c r="D20" s="198" t="s">
        <v>504</v>
      </c>
      <c r="E20" s="195"/>
      <c r="F20" s="195"/>
      <c r="G20" s="195"/>
      <c r="H20" s="11">
        <f>AVERAGE(G22:G24)</f>
        <v>3</v>
      </c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</row>
    <row r="21" spans="1:27" ht="15.75" customHeight="1">
      <c r="A21" s="198"/>
      <c r="B21" s="198"/>
      <c r="C21" s="198"/>
      <c r="D21" s="198"/>
      <c r="E21" s="198" t="s">
        <v>31</v>
      </c>
      <c r="F21" s="198" t="s">
        <v>10</v>
      </c>
      <c r="G21" s="198" t="s">
        <v>306</v>
      </c>
      <c r="H21" s="195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</row>
    <row r="22" spans="1:27" ht="15.75" customHeight="1">
      <c r="A22" s="198"/>
      <c r="B22" s="198"/>
      <c r="C22" s="198" t="s">
        <v>307</v>
      </c>
      <c r="D22" s="198" t="s">
        <v>505</v>
      </c>
      <c r="E22" s="9">
        <v>3</v>
      </c>
      <c r="F22" s="9">
        <v>3</v>
      </c>
      <c r="G22" s="9">
        <f t="shared" ref="G22:G24" si="1">AVERAGE(E22:F22)</f>
        <v>3</v>
      </c>
      <c r="H22" s="195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</row>
    <row r="23" spans="1:27" ht="15.75" customHeight="1">
      <c r="A23" s="198"/>
      <c r="B23" s="198"/>
      <c r="C23" s="198" t="s">
        <v>309</v>
      </c>
      <c r="D23" s="198" t="s">
        <v>506</v>
      </c>
      <c r="E23" s="9">
        <v>3</v>
      </c>
      <c r="F23" s="9">
        <v>3</v>
      </c>
      <c r="G23" s="9">
        <f t="shared" si="1"/>
        <v>3</v>
      </c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</row>
    <row r="24" spans="1:27" ht="15.75" customHeight="1">
      <c r="A24" s="198"/>
      <c r="B24" s="15"/>
      <c r="C24" s="198" t="s">
        <v>316</v>
      </c>
      <c r="D24" s="198" t="s">
        <v>507</v>
      </c>
      <c r="E24" s="9">
        <v>3</v>
      </c>
      <c r="F24" s="9">
        <v>3</v>
      </c>
      <c r="G24" s="9">
        <f t="shared" si="1"/>
        <v>3</v>
      </c>
      <c r="H24" s="195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</row>
    <row r="25" spans="1:27" ht="15.75" customHeight="1">
      <c r="A25" s="198"/>
      <c r="B25" s="15"/>
      <c r="C25" s="198" t="s">
        <v>318</v>
      </c>
      <c r="D25" s="198" t="s">
        <v>393</v>
      </c>
      <c r="E25" s="198"/>
      <c r="F25" s="198"/>
      <c r="G25" s="198"/>
      <c r="H25" s="195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</row>
    <row r="26" spans="1:27" ht="14.45">
      <c r="A26" s="198"/>
      <c r="B26" s="10"/>
      <c r="C26" s="198"/>
      <c r="D26" s="198"/>
      <c r="E26" s="195"/>
      <c r="F26" s="195"/>
      <c r="G26" s="195"/>
      <c r="H26" s="11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</row>
    <row r="27" spans="1:27" ht="14.45">
      <c r="A27" s="198"/>
      <c r="B27" s="9">
        <v>1.2</v>
      </c>
      <c r="C27" s="198"/>
      <c r="D27" s="198" t="s">
        <v>508</v>
      </c>
      <c r="E27" s="195"/>
      <c r="F27" s="195"/>
      <c r="G27" s="195"/>
      <c r="H27" s="11">
        <f>AVERAGE(G29:G47)</f>
        <v>3</v>
      </c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</row>
    <row r="28" spans="1:27" ht="14.45">
      <c r="A28" s="198"/>
      <c r="B28" s="198"/>
      <c r="C28" s="198"/>
      <c r="D28" s="198"/>
      <c r="E28" s="198" t="s">
        <v>31</v>
      </c>
      <c r="F28" s="198" t="s">
        <v>10</v>
      </c>
      <c r="G28" s="198" t="s">
        <v>306</v>
      </c>
      <c r="H28" s="195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</row>
    <row r="29" spans="1:27" ht="14.45">
      <c r="A29" s="198"/>
      <c r="B29" s="198"/>
      <c r="C29" s="198" t="s">
        <v>307</v>
      </c>
      <c r="D29" s="198" t="s">
        <v>485</v>
      </c>
      <c r="E29" s="9">
        <v>3</v>
      </c>
      <c r="F29" s="9">
        <v>3</v>
      </c>
      <c r="G29" s="9">
        <f t="shared" ref="G29:G31" si="2">AVERAGE(E29:F29)</f>
        <v>3</v>
      </c>
      <c r="H29" s="195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</row>
    <row r="30" spans="1:27" ht="14.45">
      <c r="A30" s="198"/>
      <c r="B30" s="10"/>
      <c r="C30" s="198" t="s">
        <v>309</v>
      </c>
      <c r="D30" s="198" t="s">
        <v>509</v>
      </c>
      <c r="E30" s="9">
        <v>3</v>
      </c>
      <c r="F30" s="9">
        <v>3</v>
      </c>
      <c r="G30" s="9">
        <f t="shared" si="2"/>
        <v>3</v>
      </c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</row>
    <row r="31" spans="1:27" ht="14.45">
      <c r="A31" s="198"/>
      <c r="B31" s="10"/>
      <c r="C31" s="198" t="s">
        <v>316</v>
      </c>
      <c r="D31" s="198" t="s">
        <v>487</v>
      </c>
      <c r="E31" s="9">
        <v>3</v>
      </c>
      <c r="F31" s="9">
        <v>3</v>
      </c>
      <c r="G31" s="9">
        <f t="shared" si="2"/>
        <v>3</v>
      </c>
      <c r="H31" s="195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</row>
    <row r="32" spans="1:27" ht="14.45">
      <c r="A32" s="198"/>
      <c r="B32" s="10"/>
      <c r="C32" s="198" t="s">
        <v>318</v>
      </c>
      <c r="D32" s="198" t="s">
        <v>488</v>
      </c>
      <c r="E32" s="198"/>
      <c r="F32" s="198"/>
      <c r="G32" s="198"/>
      <c r="H32" s="195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</row>
    <row r="33" spans="1:27" ht="14.45">
      <c r="A33" s="198"/>
      <c r="B33" s="10"/>
      <c r="C33" s="198" t="s">
        <v>320</v>
      </c>
      <c r="D33" s="198" t="s">
        <v>491</v>
      </c>
      <c r="E33" s="198"/>
      <c r="F33" s="198"/>
      <c r="G33" s="198"/>
      <c r="H33" s="195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</row>
    <row r="34" spans="1:27" ht="14.45">
      <c r="A34" s="198"/>
      <c r="B34" s="10"/>
      <c r="C34" s="198" t="s">
        <v>353</v>
      </c>
      <c r="D34" s="198" t="s">
        <v>492</v>
      </c>
      <c r="E34" s="198"/>
      <c r="F34" s="198"/>
      <c r="G34" s="198"/>
      <c r="H34" s="195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</row>
    <row r="35" spans="1:27" ht="14.45">
      <c r="A35" s="198"/>
      <c r="B35" s="10"/>
      <c r="C35" s="198" t="s">
        <v>355</v>
      </c>
      <c r="D35" s="198" t="s">
        <v>493</v>
      </c>
      <c r="E35" s="198"/>
      <c r="F35" s="198"/>
      <c r="G35" s="198"/>
      <c r="H35" s="195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</row>
    <row r="36" spans="1:27" ht="14.45">
      <c r="A36" s="198"/>
      <c r="B36" s="10"/>
      <c r="C36" s="198" t="s">
        <v>398</v>
      </c>
      <c r="D36" s="198" t="s">
        <v>497</v>
      </c>
      <c r="E36" s="198"/>
      <c r="F36" s="198"/>
      <c r="G36" s="198"/>
      <c r="H36" s="195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</row>
    <row r="37" spans="1:27" ht="14.45">
      <c r="A37" s="198"/>
      <c r="B37" s="10"/>
      <c r="C37" s="198" t="s">
        <v>407</v>
      </c>
      <c r="D37" s="198" t="s">
        <v>437</v>
      </c>
      <c r="E37" s="198"/>
      <c r="F37" s="198"/>
      <c r="G37" s="198"/>
      <c r="H37" s="195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</row>
    <row r="38" spans="1:27" ht="14.45">
      <c r="A38" s="198"/>
      <c r="B38" s="10"/>
      <c r="C38" s="198"/>
      <c r="D38" s="198"/>
      <c r="E38" s="195"/>
      <c r="F38" s="195"/>
      <c r="G38" s="195"/>
      <c r="H38" s="11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</row>
    <row r="39" spans="1:27" ht="14.45">
      <c r="A39" s="198"/>
      <c r="B39" s="9">
        <v>1.2</v>
      </c>
      <c r="C39" s="198"/>
      <c r="D39" s="198" t="s">
        <v>790</v>
      </c>
      <c r="E39" s="195"/>
      <c r="F39" s="195"/>
      <c r="G39" s="195"/>
      <c r="H39" s="11">
        <f>AVERAGE(G41:G71)</f>
        <v>3</v>
      </c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</row>
    <row r="40" spans="1:27" ht="14.45">
      <c r="A40" s="198"/>
      <c r="B40" s="198"/>
      <c r="C40" s="198"/>
      <c r="D40" s="198"/>
      <c r="E40" s="198" t="s">
        <v>31</v>
      </c>
      <c r="F40" s="198" t="s">
        <v>10</v>
      </c>
      <c r="G40" s="198" t="s">
        <v>306</v>
      </c>
      <c r="H40" s="195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</row>
    <row r="41" spans="1:27" ht="14.45">
      <c r="A41" s="198"/>
      <c r="B41" s="198"/>
      <c r="C41" s="198" t="s">
        <v>307</v>
      </c>
      <c r="D41" s="198" t="s">
        <v>485</v>
      </c>
      <c r="E41" s="9">
        <v>3</v>
      </c>
      <c r="F41" s="9">
        <v>3</v>
      </c>
      <c r="G41" s="9">
        <f t="shared" ref="G41:G43" si="3">AVERAGE(E41:F41)</f>
        <v>3</v>
      </c>
      <c r="H41" s="195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</row>
    <row r="42" spans="1:27" ht="14.45">
      <c r="A42" s="198"/>
      <c r="B42" s="10"/>
      <c r="C42" s="198" t="s">
        <v>309</v>
      </c>
      <c r="D42" s="198" t="s">
        <v>509</v>
      </c>
      <c r="E42" s="9">
        <v>3</v>
      </c>
      <c r="F42" s="9">
        <v>3</v>
      </c>
      <c r="G42" s="9">
        <f t="shared" si="3"/>
        <v>3</v>
      </c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</row>
    <row r="43" spans="1:27" ht="14.45">
      <c r="A43" s="198"/>
      <c r="B43" s="10"/>
      <c r="C43" s="198" t="s">
        <v>316</v>
      </c>
      <c r="D43" s="198" t="s">
        <v>487</v>
      </c>
      <c r="E43" s="9">
        <v>3</v>
      </c>
      <c r="F43" s="9">
        <v>3</v>
      </c>
      <c r="G43" s="9">
        <f t="shared" si="3"/>
        <v>3</v>
      </c>
      <c r="H43" s="195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</row>
    <row r="44" spans="1:27" ht="14.45">
      <c r="A44" s="198"/>
      <c r="B44" s="10"/>
      <c r="C44" s="198" t="s">
        <v>318</v>
      </c>
      <c r="D44" s="198" t="s">
        <v>488</v>
      </c>
      <c r="E44" s="198"/>
      <c r="F44" s="198"/>
      <c r="G44" s="198"/>
      <c r="H44" s="195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</row>
    <row r="45" spans="1:27" ht="14.45">
      <c r="A45" s="198"/>
      <c r="B45" s="10"/>
      <c r="C45" s="198" t="s">
        <v>320</v>
      </c>
      <c r="D45" s="198" t="s">
        <v>491</v>
      </c>
      <c r="E45" s="198"/>
      <c r="F45" s="198"/>
      <c r="G45" s="198"/>
      <c r="H45" s="195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</row>
    <row r="46" spans="1:27" ht="14.45">
      <c r="A46" s="198"/>
      <c r="B46" s="10"/>
      <c r="C46" s="198" t="s">
        <v>353</v>
      </c>
      <c r="D46" s="198" t="s">
        <v>492</v>
      </c>
      <c r="E46" s="198"/>
      <c r="F46" s="198"/>
      <c r="G46" s="198"/>
      <c r="H46" s="195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</row>
    <row r="47" spans="1:27" ht="14.45">
      <c r="A47" s="198"/>
      <c r="B47" s="10"/>
      <c r="C47" s="198" t="s">
        <v>355</v>
      </c>
      <c r="D47" s="198" t="s">
        <v>493</v>
      </c>
      <c r="E47" s="198"/>
      <c r="F47" s="198"/>
      <c r="G47" s="198"/>
      <c r="H47" s="195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</row>
    <row r="48" spans="1:27" ht="14.45">
      <c r="A48" s="198"/>
      <c r="B48" s="10"/>
      <c r="C48" s="198" t="s">
        <v>398</v>
      </c>
      <c r="D48" s="198" t="s">
        <v>497</v>
      </c>
      <c r="E48" s="198"/>
      <c r="F48" s="198"/>
      <c r="G48" s="198"/>
      <c r="H48" s="195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</row>
    <row r="49" spans="1:27" ht="14.45">
      <c r="A49" s="9"/>
      <c r="B49" s="10"/>
      <c r="C49" s="198" t="s">
        <v>407</v>
      </c>
      <c r="D49" s="198" t="s">
        <v>437</v>
      </c>
      <c r="E49" s="198"/>
      <c r="F49" s="198"/>
      <c r="G49" s="198"/>
      <c r="H49" s="195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</row>
    <row r="50" spans="1:27" ht="14.45">
      <c r="A50" s="9"/>
      <c r="B50" s="198" t="s">
        <v>633</v>
      </c>
      <c r="C50" s="198" t="s">
        <v>282</v>
      </c>
      <c r="D50" s="198" t="s">
        <v>634</v>
      </c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</row>
    <row r="51" spans="1:27" ht="14.45">
      <c r="A51" s="9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</row>
    <row r="52" spans="1:27" ht="14.45">
      <c r="A52" s="9">
        <v>2</v>
      </c>
      <c r="B52" s="286" t="s">
        <v>791</v>
      </c>
      <c r="C52" s="230"/>
      <c r="D52" s="230"/>
      <c r="E52" s="230"/>
      <c r="F52" s="230"/>
      <c r="G52" s="230"/>
      <c r="H52" s="198">
        <f>AVERAGE(H53:H74)</f>
        <v>2.8333333333333335</v>
      </c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</row>
    <row r="53" spans="1:27" ht="14.45">
      <c r="A53" s="198"/>
      <c r="B53" s="10">
        <v>46024</v>
      </c>
      <c r="C53" s="198"/>
      <c r="D53" s="198" t="s">
        <v>792</v>
      </c>
      <c r="E53" s="195"/>
      <c r="F53" s="195"/>
      <c r="G53" s="195"/>
      <c r="H53" s="11">
        <f>AVERAGE(G55:G57)</f>
        <v>3</v>
      </c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</row>
    <row r="54" spans="1:27" ht="14.45">
      <c r="A54" s="198"/>
      <c r="B54" s="198"/>
      <c r="C54" s="198"/>
      <c r="D54" s="198"/>
      <c r="E54" s="198" t="s">
        <v>31</v>
      </c>
      <c r="F54" s="198" t="s">
        <v>10</v>
      </c>
      <c r="G54" s="198" t="s">
        <v>306</v>
      </c>
      <c r="H54" s="195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</row>
    <row r="55" spans="1:27" ht="14.45">
      <c r="A55" s="198"/>
      <c r="B55" s="198"/>
      <c r="C55" s="198" t="s">
        <v>307</v>
      </c>
      <c r="D55" s="198" t="s">
        <v>793</v>
      </c>
      <c r="E55" s="9"/>
      <c r="F55" s="9">
        <v>3</v>
      </c>
      <c r="G55" s="9">
        <f t="shared" ref="G55:G57" si="4">AVERAGE(E55:F55)</f>
        <v>3</v>
      </c>
      <c r="H55" s="195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</row>
    <row r="56" spans="1:27" ht="14.45">
      <c r="A56" s="198"/>
      <c r="B56" s="198"/>
      <c r="C56" s="198" t="s">
        <v>309</v>
      </c>
      <c r="D56" s="198" t="s">
        <v>794</v>
      </c>
      <c r="E56" s="9"/>
      <c r="F56" s="198">
        <v>3</v>
      </c>
      <c r="G56" s="9">
        <f t="shared" si="4"/>
        <v>3</v>
      </c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</row>
    <row r="57" spans="1:27" ht="14.45">
      <c r="A57" s="198"/>
      <c r="B57" s="198"/>
      <c r="C57" s="198" t="s">
        <v>316</v>
      </c>
      <c r="D57" s="4" t="s">
        <v>795</v>
      </c>
      <c r="E57" s="9"/>
      <c r="F57" s="198">
        <v>3</v>
      </c>
      <c r="G57" s="9">
        <f t="shared" si="4"/>
        <v>3</v>
      </c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</row>
    <row r="58" spans="1:27" ht="14.45">
      <c r="A58" s="198"/>
      <c r="B58" s="15"/>
      <c r="C58" s="198" t="s">
        <v>318</v>
      </c>
      <c r="D58" s="198" t="s">
        <v>796</v>
      </c>
      <c r="E58" s="198"/>
      <c r="F58" s="198"/>
      <c r="G58" s="198"/>
      <c r="H58" s="195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</row>
    <row r="59" spans="1:27" ht="14.45">
      <c r="A59" s="198"/>
      <c r="B59" s="15"/>
      <c r="C59" s="198" t="s">
        <v>320</v>
      </c>
      <c r="D59" s="198" t="s">
        <v>797</v>
      </c>
      <c r="E59" s="198"/>
      <c r="F59" s="198"/>
      <c r="G59" s="198"/>
      <c r="H59" s="195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</row>
    <row r="60" spans="1:27" ht="14.45">
      <c r="A60" s="198"/>
      <c r="B60" s="15"/>
      <c r="C60" s="198"/>
      <c r="D60" s="198"/>
      <c r="E60" s="198"/>
      <c r="F60" s="198"/>
      <c r="G60" s="198"/>
      <c r="H60" s="195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</row>
    <row r="61" spans="1:27" ht="14.45">
      <c r="A61" s="9">
        <v>3</v>
      </c>
      <c r="B61" s="286" t="s">
        <v>798</v>
      </c>
      <c r="C61" s="230"/>
      <c r="D61" s="230"/>
      <c r="E61" s="230"/>
      <c r="F61" s="230"/>
      <c r="G61" s="230"/>
      <c r="H61" s="195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</row>
    <row r="62" spans="1:27" ht="14.45">
      <c r="A62" s="16"/>
      <c r="B62" s="9">
        <v>3.1</v>
      </c>
      <c r="C62" s="16"/>
      <c r="D62" s="198" t="s">
        <v>792</v>
      </c>
      <c r="E62" s="16"/>
      <c r="F62" s="16"/>
      <c r="G62" s="16"/>
      <c r="H62" s="11">
        <f>AVERAGE(G63:G65)</f>
        <v>3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4.45">
      <c r="A63" s="198"/>
      <c r="B63" s="15"/>
      <c r="C63" s="198" t="s">
        <v>307</v>
      </c>
      <c r="D63" s="198" t="s">
        <v>799</v>
      </c>
      <c r="E63" s="198">
        <v>3</v>
      </c>
      <c r="F63" s="198"/>
      <c r="G63" s="9">
        <f t="shared" ref="G63:G65" si="5">AVERAGE(E63:F63)</f>
        <v>3</v>
      </c>
      <c r="H63" s="195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</row>
    <row r="64" spans="1:27" ht="14.45">
      <c r="A64" s="198"/>
      <c r="B64" s="15"/>
      <c r="C64" s="198" t="s">
        <v>309</v>
      </c>
      <c r="D64" s="198" t="s">
        <v>800</v>
      </c>
      <c r="E64" s="198">
        <v>3</v>
      </c>
      <c r="F64" s="198"/>
      <c r="G64" s="9">
        <f t="shared" si="5"/>
        <v>3</v>
      </c>
      <c r="H64" s="195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</row>
    <row r="65" spans="1:27" ht="14.45">
      <c r="A65" s="198"/>
      <c r="B65" s="15"/>
      <c r="C65" s="198" t="s">
        <v>316</v>
      </c>
      <c r="D65" s="198" t="s">
        <v>801</v>
      </c>
      <c r="E65" s="198">
        <v>3</v>
      </c>
      <c r="F65" s="198"/>
      <c r="G65" s="9">
        <f t="shared" si="5"/>
        <v>3</v>
      </c>
      <c r="H65" s="195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</row>
    <row r="66" spans="1:27" ht="14.45">
      <c r="A66" s="198"/>
      <c r="B66" s="15"/>
      <c r="C66" s="198" t="s">
        <v>318</v>
      </c>
      <c r="D66" s="198" t="s">
        <v>802</v>
      </c>
      <c r="E66" s="198"/>
      <c r="F66" s="198"/>
      <c r="G66" s="198"/>
      <c r="H66" s="195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</row>
    <row r="67" spans="1:27" ht="14.45">
      <c r="A67" s="198"/>
      <c r="B67" s="15"/>
      <c r="C67" s="198" t="s">
        <v>320</v>
      </c>
      <c r="D67" s="198" t="s">
        <v>803</v>
      </c>
      <c r="E67" s="198"/>
      <c r="F67" s="198"/>
      <c r="G67" s="198"/>
      <c r="H67" s="195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</row>
    <row r="68" spans="1:27" ht="14.45">
      <c r="A68" s="198"/>
      <c r="B68" s="15"/>
      <c r="C68" s="198" t="s">
        <v>353</v>
      </c>
      <c r="D68" s="198" t="s">
        <v>804</v>
      </c>
      <c r="E68" s="198"/>
      <c r="F68" s="198"/>
      <c r="G68" s="198"/>
      <c r="H68" s="195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</row>
    <row r="69" spans="1:27" ht="14.45">
      <c r="A69" s="198"/>
      <c r="B69" s="15"/>
      <c r="C69" s="198"/>
      <c r="D69" s="198"/>
      <c r="E69" s="198"/>
      <c r="F69" s="198"/>
      <c r="G69" s="198"/>
      <c r="H69" s="195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</row>
    <row r="70" spans="1:27" ht="14.45">
      <c r="A70" s="198"/>
      <c r="B70" s="9">
        <v>2.2000000000000002</v>
      </c>
      <c r="C70" s="198"/>
      <c r="D70" s="198" t="s">
        <v>805</v>
      </c>
      <c r="E70" s="195"/>
      <c r="F70" s="195"/>
      <c r="G70" s="195"/>
      <c r="H70" s="11">
        <f>AVERAGE(G72:G74)</f>
        <v>2.5</v>
      </c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</row>
    <row r="71" spans="1:27" ht="14.45">
      <c r="A71" s="198"/>
      <c r="B71" s="198"/>
      <c r="C71" s="198"/>
      <c r="D71" s="198"/>
      <c r="E71" s="198" t="s">
        <v>31</v>
      </c>
      <c r="F71" s="198" t="s">
        <v>10</v>
      </c>
      <c r="G71" s="198" t="s">
        <v>306</v>
      </c>
      <c r="H71" s="195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</row>
    <row r="72" spans="1:27" ht="14.45">
      <c r="A72" s="198"/>
      <c r="B72" s="198"/>
      <c r="C72" s="198" t="s">
        <v>307</v>
      </c>
      <c r="D72" s="198"/>
      <c r="E72" s="9">
        <v>2</v>
      </c>
      <c r="F72" s="9">
        <v>3</v>
      </c>
      <c r="G72" s="9">
        <f t="shared" ref="G72:G74" si="6">AVERAGE(E72:F72)</f>
        <v>2.5</v>
      </c>
      <c r="H72" s="195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</row>
    <row r="73" spans="1:27" ht="14.45">
      <c r="A73" s="198"/>
      <c r="B73" s="198"/>
      <c r="C73" s="198" t="s">
        <v>309</v>
      </c>
      <c r="D73" s="198"/>
      <c r="E73" s="9">
        <v>2</v>
      </c>
      <c r="F73" s="9">
        <v>3</v>
      </c>
      <c r="G73" s="9">
        <f t="shared" si="6"/>
        <v>2.5</v>
      </c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</row>
    <row r="74" spans="1:27" ht="14.45">
      <c r="A74" s="198"/>
      <c r="B74" s="198"/>
      <c r="C74" s="198" t="s">
        <v>316</v>
      </c>
      <c r="D74" s="198"/>
      <c r="E74" s="9">
        <v>2</v>
      </c>
      <c r="F74" s="9">
        <v>3</v>
      </c>
      <c r="G74" s="9">
        <f t="shared" si="6"/>
        <v>2.5</v>
      </c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</row>
    <row r="75" spans="1:27" ht="14.45">
      <c r="A75" s="198"/>
      <c r="B75" s="198" t="s">
        <v>633</v>
      </c>
      <c r="C75" s="198" t="s">
        <v>282</v>
      </c>
      <c r="D75" s="198" t="s">
        <v>634</v>
      </c>
      <c r="E75" s="9"/>
      <c r="F75" s="9"/>
      <c r="G75" s="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</row>
    <row r="76" spans="1:27" ht="14.45">
      <c r="A76" s="9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</row>
    <row r="77" spans="1:27" ht="14.45">
      <c r="A77" s="9">
        <v>3</v>
      </c>
      <c r="B77" s="286" t="s">
        <v>806</v>
      </c>
      <c r="C77" s="230"/>
      <c r="D77" s="230"/>
      <c r="E77" s="230"/>
      <c r="F77" s="230"/>
      <c r="G77" s="230"/>
      <c r="H77" s="198">
        <f>AVERAGE(H78:H112)</f>
        <v>2.5</v>
      </c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</row>
    <row r="78" spans="1:27" ht="14.45">
      <c r="A78" s="198"/>
      <c r="B78" s="17" t="s">
        <v>524</v>
      </c>
      <c r="C78" s="198"/>
      <c r="D78" s="198" t="s">
        <v>525</v>
      </c>
      <c r="E78" s="195"/>
      <c r="F78" s="195"/>
      <c r="G78" s="195"/>
      <c r="H78" s="11">
        <f>AVERAGE(G80:G82)</f>
        <v>2.5</v>
      </c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</row>
    <row r="79" spans="1:27" ht="14.45">
      <c r="A79" s="198"/>
      <c r="B79" s="198"/>
      <c r="C79" s="198"/>
      <c r="D79" s="198"/>
      <c r="E79" s="198" t="s">
        <v>31</v>
      </c>
      <c r="F79" s="198" t="s">
        <v>10</v>
      </c>
      <c r="G79" s="198" t="s">
        <v>306</v>
      </c>
      <c r="H79" s="195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</row>
    <row r="80" spans="1:27" ht="14.45">
      <c r="A80" s="198"/>
      <c r="B80" s="198"/>
      <c r="C80" s="198" t="s">
        <v>307</v>
      </c>
      <c r="D80" s="198"/>
      <c r="E80" s="9">
        <v>2</v>
      </c>
      <c r="F80" s="9">
        <v>3</v>
      </c>
      <c r="G80" s="9">
        <f t="shared" ref="G80:G82" si="7">AVERAGE(E80:F80)</f>
        <v>2.5</v>
      </c>
      <c r="H80" s="195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</row>
    <row r="81" spans="1:27" ht="14.45">
      <c r="A81" s="198"/>
      <c r="B81" s="198"/>
      <c r="C81" s="198" t="s">
        <v>309</v>
      </c>
      <c r="D81" s="198"/>
      <c r="E81" s="9">
        <v>2</v>
      </c>
      <c r="F81" s="9">
        <v>3</v>
      </c>
      <c r="G81" s="9">
        <f t="shared" si="7"/>
        <v>2.5</v>
      </c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</row>
    <row r="82" spans="1:27" ht="14.45">
      <c r="A82" s="198"/>
      <c r="B82" s="198"/>
      <c r="C82" s="198" t="s">
        <v>316</v>
      </c>
      <c r="D82" s="198"/>
      <c r="E82" s="9">
        <v>2</v>
      </c>
      <c r="F82" s="9">
        <v>3</v>
      </c>
      <c r="G82" s="9">
        <f t="shared" si="7"/>
        <v>2.5</v>
      </c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</row>
    <row r="83" spans="1:27" ht="14.4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</row>
    <row r="84" spans="1:27" ht="14.45">
      <c r="A84" s="9"/>
      <c r="B84" s="17" t="s">
        <v>526</v>
      </c>
      <c r="C84" s="198"/>
      <c r="D84" s="198" t="s">
        <v>807</v>
      </c>
      <c r="E84" s="195"/>
      <c r="F84" s="195"/>
      <c r="G84" s="195"/>
      <c r="H84" s="11">
        <f>AVERAGE(G86:G88)</f>
        <v>2.5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4.45">
      <c r="A85" s="198"/>
      <c r="B85" s="198"/>
      <c r="C85" s="198"/>
      <c r="D85" s="198"/>
      <c r="E85" s="198" t="s">
        <v>31</v>
      </c>
      <c r="F85" s="198" t="s">
        <v>10</v>
      </c>
      <c r="G85" s="198" t="s">
        <v>306</v>
      </c>
      <c r="H85" s="195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</row>
    <row r="86" spans="1:27" ht="14.45">
      <c r="A86" s="198"/>
      <c r="B86" s="198"/>
      <c r="C86" s="198" t="s">
        <v>307</v>
      </c>
      <c r="D86" s="198"/>
      <c r="E86" s="9">
        <v>2</v>
      </c>
      <c r="F86" s="9">
        <v>3</v>
      </c>
      <c r="G86" s="9">
        <f t="shared" ref="G86:G88" si="8">AVERAGE(E86:F86)</f>
        <v>2.5</v>
      </c>
      <c r="H86" s="195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</row>
    <row r="87" spans="1:27" ht="14.45">
      <c r="A87" s="198"/>
      <c r="B87" s="198"/>
      <c r="C87" s="198" t="s">
        <v>309</v>
      </c>
      <c r="D87" s="198"/>
      <c r="E87" s="9">
        <v>2</v>
      </c>
      <c r="F87" s="9">
        <v>3</v>
      </c>
      <c r="G87" s="9">
        <f t="shared" si="8"/>
        <v>2.5</v>
      </c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</row>
    <row r="88" spans="1:27" ht="14.45">
      <c r="A88" s="198"/>
      <c r="B88" s="198"/>
      <c r="C88" s="198" t="s">
        <v>316</v>
      </c>
      <c r="D88" s="198"/>
      <c r="E88" s="9">
        <v>2</v>
      </c>
      <c r="F88" s="9">
        <v>3</v>
      </c>
      <c r="G88" s="9">
        <f t="shared" si="8"/>
        <v>2.5</v>
      </c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</row>
    <row r="89" spans="1:27" ht="14.4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</row>
    <row r="90" spans="1:27" ht="14.45">
      <c r="A90" s="198"/>
      <c r="B90" s="9">
        <v>3.3</v>
      </c>
      <c r="C90" s="198"/>
      <c r="D90" s="198" t="s">
        <v>527</v>
      </c>
      <c r="E90" s="195"/>
      <c r="F90" s="195"/>
      <c r="G90" s="195"/>
      <c r="H90" s="11">
        <f>AVERAGE(G92:G94)</f>
        <v>2.5</v>
      </c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</row>
    <row r="91" spans="1:27" ht="14.45">
      <c r="A91" s="198"/>
      <c r="B91" s="198"/>
      <c r="C91" s="198"/>
      <c r="D91" s="198"/>
      <c r="E91" s="198" t="s">
        <v>31</v>
      </c>
      <c r="F91" s="198" t="s">
        <v>10</v>
      </c>
      <c r="G91" s="198" t="s">
        <v>306</v>
      </c>
      <c r="H91" s="195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</row>
    <row r="92" spans="1:27" ht="14.45">
      <c r="A92" s="198"/>
      <c r="B92" s="198"/>
      <c r="C92" s="198" t="s">
        <v>307</v>
      </c>
      <c r="D92" s="198"/>
      <c r="E92" s="9">
        <v>2</v>
      </c>
      <c r="F92" s="9">
        <v>3</v>
      </c>
      <c r="G92" s="9">
        <f t="shared" ref="G92:G94" si="9">AVERAGE(E92:F92)</f>
        <v>2.5</v>
      </c>
      <c r="H92" s="195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</row>
    <row r="93" spans="1:27" ht="14.45">
      <c r="A93" s="198"/>
      <c r="B93" s="198"/>
      <c r="C93" s="198" t="s">
        <v>309</v>
      </c>
      <c r="D93" s="198"/>
      <c r="E93" s="9">
        <v>2</v>
      </c>
      <c r="F93" s="9">
        <v>3</v>
      </c>
      <c r="G93" s="9">
        <f t="shared" si="9"/>
        <v>2.5</v>
      </c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</row>
    <row r="94" spans="1:27" ht="14.45">
      <c r="A94" s="198"/>
      <c r="B94" s="198"/>
      <c r="C94" s="198" t="s">
        <v>316</v>
      </c>
      <c r="D94" s="198"/>
      <c r="E94" s="9">
        <v>2</v>
      </c>
      <c r="F94" s="9">
        <v>3</v>
      </c>
      <c r="G94" s="9">
        <f t="shared" si="9"/>
        <v>2.5</v>
      </c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</row>
    <row r="95" spans="1:27" ht="14.45">
      <c r="A95" s="198"/>
      <c r="B95" s="15"/>
      <c r="C95" s="198"/>
      <c r="D95" s="198"/>
      <c r="E95" s="198"/>
      <c r="F95" s="198"/>
      <c r="G95" s="198"/>
      <c r="H95" s="195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</row>
    <row r="96" spans="1:27" ht="14.45">
      <c r="A96" s="198"/>
      <c r="B96" s="17" t="s">
        <v>531</v>
      </c>
      <c r="C96" s="198"/>
      <c r="D96" s="198" t="s">
        <v>808</v>
      </c>
      <c r="E96" s="195"/>
      <c r="F96" s="195"/>
      <c r="G96" s="195"/>
      <c r="H96" s="11">
        <f>AVERAGE(G98:G100)</f>
        <v>2.5</v>
      </c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</row>
    <row r="97" spans="1:27" ht="14.45">
      <c r="A97" s="198"/>
      <c r="B97" s="198"/>
      <c r="C97" s="198"/>
      <c r="D97" s="198"/>
      <c r="E97" s="198" t="s">
        <v>31</v>
      </c>
      <c r="F97" s="198" t="s">
        <v>10</v>
      </c>
      <c r="G97" s="198" t="s">
        <v>306</v>
      </c>
      <c r="H97" s="195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</row>
    <row r="98" spans="1:27" ht="14.45">
      <c r="A98" s="198"/>
      <c r="B98" s="198"/>
      <c r="C98" s="198" t="s">
        <v>307</v>
      </c>
      <c r="D98" s="198"/>
      <c r="E98" s="9">
        <v>2</v>
      </c>
      <c r="F98" s="9">
        <v>3</v>
      </c>
      <c r="G98" s="9">
        <f t="shared" ref="G98:G100" si="10">AVERAGE(E98:F98)</f>
        <v>2.5</v>
      </c>
      <c r="H98" s="195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</row>
    <row r="99" spans="1:27" ht="14.45">
      <c r="A99" s="198"/>
      <c r="B99" s="198"/>
      <c r="C99" s="198" t="s">
        <v>309</v>
      </c>
      <c r="D99" s="198"/>
      <c r="E99" s="9">
        <v>2</v>
      </c>
      <c r="F99" s="9">
        <v>3</v>
      </c>
      <c r="G99" s="9">
        <f t="shared" si="10"/>
        <v>2.5</v>
      </c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</row>
    <row r="100" spans="1:27" ht="14.45">
      <c r="A100" s="198"/>
      <c r="B100" s="198"/>
      <c r="C100" s="198" t="s">
        <v>316</v>
      </c>
      <c r="D100" s="198"/>
      <c r="E100" s="9">
        <v>2</v>
      </c>
      <c r="F100" s="9">
        <v>3</v>
      </c>
      <c r="G100" s="9">
        <f t="shared" si="10"/>
        <v>2.5</v>
      </c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</row>
    <row r="101" spans="1:27" ht="14.45">
      <c r="A101" s="198"/>
      <c r="B101" s="15"/>
      <c r="C101" s="198"/>
      <c r="D101" s="198"/>
      <c r="E101" s="9"/>
      <c r="F101" s="9"/>
      <c r="G101" s="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</row>
    <row r="102" spans="1:27" ht="14.45">
      <c r="A102" s="198"/>
      <c r="B102" s="17" t="s">
        <v>809</v>
      </c>
      <c r="C102" s="198"/>
      <c r="D102" s="198" t="s">
        <v>810</v>
      </c>
      <c r="E102" s="195"/>
      <c r="F102" s="195"/>
      <c r="G102" s="195"/>
      <c r="H102" s="11">
        <f>AVERAGE(G104:G106)</f>
        <v>2.5</v>
      </c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</row>
    <row r="103" spans="1:27" ht="14.45">
      <c r="A103" s="198"/>
      <c r="B103" s="198"/>
      <c r="C103" s="198"/>
      <c r="D103" s="198"/>
      <c r="E103" s="198" t="s">
        <v>31</v>
      </c>
      <c r="F103" s="198" t="s">
        <v>10</v>
      </c>
      <c r="G103" s="198" t="s">
        <v>306</v>
      </c>
      <c r="H103" s="195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</row>
    <row r="104" spans="1:27" ht="14.45">
      <c r="A104" s="198"/>
      <c r="B104" s="198"/>
      <c r="C104" s="198" t="s">
        <v>307</v>
      </c>
      <c r="D104" s="198"/>
      <c r="E104" s="9">
        <v>2</v>
      </c>
      <c r="F104" s="9">
        <v>3</v>
      </c>
      <c r="G104" s="9">
        <f t="shared" ref="G104:G106" si="11">AVERAGE(E104:F104)</f>
        <v>2.5</v>
      </c>
      <c r="H104" s="195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</row>
    <row r="105" spans="1:27" ht="14.45">
      <c r="A105" s="198"/>
      <c r="B105" s="198"/>
      <c r="C105" s="198" t="s">
        <v>309</v>
      </c>
      <c r="D105" s="198"/>
      <c r="E105" s="9">
        <v>2</v>
      </c>
      <c r="F105" s="9">
        <v>3</v>
      </c>
      <c r="G105" s="9">
        <f t="shared" si="11"/>
        <v>2.5</v>
      </c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</row>
    <row r="106" spans="1:27" ht="14.45">
      <c r="A106" s="198"/>
      <c r="B106" s="198"/>
      <c r="C106" s="198" t="s">
        <v>316</v>
      </c>
      <c r="D106" s="198"/>
      <c r="E106" s="9">
        <v>2</v>
      </c>
      <c r="F106" s="9">
        <v>3</v>
      </c>
      <c r="G106" s="9">
        <f t="shared" si="11"/>
        <v>2.5</v>
      </c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</row>
    <row r="107" spans="1:27" ht="14.4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</row>
    <row r="108" spans="1:27" ht="14.45">
      <c r="A108" s="198"/>
      <c r="B108" s="17" t="s">
        <v>811</v>
      </c>
      <c r="C108" s="198"/>
      <c r="D108" s="198" t="s">
        <v>812</v>
      </c>
      <c r="E108" s="195"/>
      <c r="F108" s="195"/>
      <c r="G108" s="195"/>
      <c r="H108" s="11">
        <f>AVERAGE(G110:G112)</f>
        <v>2.5</v>
      </c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</row>
    <row r="109" spans="1:27" ht="14.45">
      <c r="A109" s="198"/>
      <c r="B109" s="198"/>
      <c r="C109" s="198"/>
      <c r="D109" s="198"/>
      <c r="E109" s="198" t="s">
        <v>31</v>
      </c>
      <c r="F109" s="198" t="s">
        <v>10</v>
      </c>
      <c r="G109" s="198" t="s">
        <v>306</v>
      </c>
      <c r="H109" s="195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</row>
    <row r="110" spans="1:27" ht="14.45">
      <c r="A110" s="198"/>
      <c r="B110" s="198"/>
      <c r="C110" s="198" t="s">
        <v>307</v>
      </c>
      <c r="D110" s="198"/>
      <c r="E110" s="9">
        <v>2</v>
      </c>
      <c r="F110" s="9">
        <v>3</v>
      </c>
      <c r="G110" s="9">
        <f t="shared" ref="G110:G112" si="12">AVERAGE(E110:F110)</f>
        <v>2.5</v>
      </c>
      <c r="H110" s="195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</row>
    <row r="111" spans="1:27" ht="14.45">
      <c r="A111" s="198"/>
      <c r="B111" s="198"/>
      <c r="C111" s="198" t="s">
        <v>309</v>
      </c>
      <c r="D111" s="198"/>
      <c r="E111" s="9">
        <v>2</v>
      </c>
      <c r="F111" s="9">
        <v>3</v>
      </c>
      <c r="G111" s="9">
        <f t="shared" si="12"/>
        <v>2.5</v>
      </c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</row>
    <row r="112" spans="1:27" ht="14.45">
      <c r="A112" s="198"/>
      <c r="B112" s="198"/>
      <c r="C112" s="198" t="s">
        <v>316</v>
      </c>
      <c r="D112" s="198"/>
      <c r="E112" s="9">
        <v>2</v>
      </c>
      <c r="F112" s="9">
        <v>3</v>
      </c>
      <c r="G112" s="9">
        <f t="shared" si="12"/>
        <v>2.5</v>
      </c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</row>
    <row r="113" spans="1:27" ht="14.45">
      <c r="A113" s="198"/>
      <c r="B113" s="198" t="s">
        <v>633</v>
      </c>
      <c r="C113" s="198" t="s">
        <v>282</v>
      </c>
      <c r="D113" s="198" t="s">
        <v>634</v>
      </c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</row>
    <row r="114" spans="1:27" ht="14.45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</row>
    <row r="115" spans="1:27" ht="14.45">
      <c r="A115" s="9">
        <v>4</v>
      </c>
      <c r="B115" s="286" t="s">
        <v>813</v>
      </c>
      <c r="C115" s="230"/>
      <c r="D115" s="230"/>
      <c r="E115" s="230"/>
      <c r="F115" s="230"/>
      <c r="G115" s="230"/>
      <c r="H115" s="198">
        <f>AVERAGE(H116:H126)</f>
        <v>2.5</v>
      </c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</row>
    <row r="116" spans="1:27" ht="14.45">
      <c r="A116" s="198"/>
      <c r="B116" s="17" t="s">
        <v>534</v>
      </c>
      <c r="C116" s="198"/>
      <c r="D116" s="198" t="s">
        <v>535</v>
      </c>
      <c r="E116" s="195"/>
      <c r="F116" s="195"/>
      <c r="G116" s="195"/>
      <c r="H116" s="11">
        <f>AVERAGE(G118:G120)</f>
        <v>2.5</v>
      </c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</row>
    <row r="117" spans="1:27" ht="14.45">
      <c r="A117" s="198"/>
      <c r="B117" s="198"/>
      <c r="C117" s="198"/>
      <c r="D117" s="198"/>
      <c r="E117" s="198" t="s">
        <v>31</v>
      </c>
      <c r="F117" s="198" t="s">
        <v>10</v>
      </c>
      <c r="G117" s="198" t="s">
        <v>306</v>
      </c>
      <c r="H117" s="195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</row>
    <row r="118" spans="1:27" ht="14.45">
      <c r="A118" s="198"/>
      <c r="B118" s="198"/>
      <c r="C118" s="198" t="s">
        <v>307</v>
      </c>
      <c r="D118" s="198"/>
      <c r="E118" s="9">
        <v>2</v>
      </c>
      <c r="F118" s="9">
        <v>3</v>
      </c>
      <c r="G118" s="9">
        <f t="shared" ref="G118:G120" si="13">AVERAGE(E118:F118)</f>
        <v>2.5</v>
      </c>
      <c r="H118" s="195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</row>
    <row r="119" spans="1:27" ht="14.45">
      <c r="A119" s="198"/>
      <c r="B119" s="198"/>
      <c r="C119" s="198" t="s">
        <v>309</v>
      </c>
      <c r="D119" s="198"/>
      <c r="E119" s="9">
        <v>2</v>
      </c>
      <c r="F119" s="9">
        <v>3</v>
      </c>
      <c r="G119" s="9">
        <f t="shared" si="13"/>
        <v>2.5</v>
      </c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</row>
    <row r="120" spans="1:27" ht="14.45">
      <c r="A120" s="198"/>
      <c r="B120" s="198"/>
      <c r="C120" s="198" t="s">
        <v>316</v>
      </c>
      <c r="D120" s="198"/>
      <c r="E120" s="9">
        <v>2</v>
      </c>
      <c r="F120" s="9">
        <v>3</v>
      </c>
      <c r="G120" s="9">
        <f t="shared" si="13"/>
        <v>2.5</v>
      </c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</row>
    <row r="121" spans="1:27" ht="14.4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</row>
    <row r="122" spans="1:27" ht="14.45">
      <c r="A122" s="198"/>
      <c r="B122" s="17" t="s">
        <v>537</v>
      </c>
      <c r="C122" s="198"/>
      <c r="D122" s="198" t="s">
        <v>538</v>
      </c>
      <c r="E122" s="195"/>
      <c r="F122" s="195"/>
      <c r="G122" s="195"/>
      <c r="H122" s="11">
        <f>AVERAGE(G124:G126)</f>
        <v>2.5</v>
      </c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</row>
    <row r="123" spans="1:27" ht="14.45">
      <c r="A123" s="198"/>
      <c r="B123" s="198"/>
      <c r="C123" s="198"/>
      <c r="D123" s="198"/>
      <c r="E123" s="198" t="s">
        <v>31</v>
      </c>
      <c r="F123" s="198" t="s">
        <v>10</v>
      </c>
      <c r="G123" s="198" t="s">
        <v>306</v>
      </c>
      <c r="H123" s="195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</row>
    <row r="124" spans="1:27" ht="14.45">
      <c r="A124" s="198"/>
      <c r="B124" s="198"/>
      <c r="C124" s="198" t="s">
        <v>307</v>
      </c>
      <c r="D124" s="198"/>
      <c r="E124" s="9">
        <v>2</v>
      </c>
      <c r="F124" s="9">
        <v>3</v>
      </c>
      <c r="G124" s="9">
        <f t="shared" ref="G124:G126" si="14">AVERAGE(E124:F124)</f>
        <v>2.5</v>
      </c>
      <c r="H124" s="195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</row>
    <row r="125" spans="1:27" ht="14.45">
      <c r="A125" s="198"/>
      <c r="B125" s="198"/>
      <c r="C125" s="198" t="s">
        <v>309</v>
      </c>
      <c r="D125" s="198"/>
      <c r="E125" s="9">
        <v>2</v>
      </c>
      <c r="F125" s="9">
        <v>3</v>
      </c>
      <c r="G125" s="9">
        <f t="shared" si="14"/>
        <v>2.5</v>
      </c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</row>
    <row r="126" spans="1:27" ht="14.45">
      <c r="A126" s="198"/>
      <c r="B126" s="198"/>
      <c r="C126" s="198" t="s">
        <v>316</v>
      </c>
      <c r="D126" s="198"/>
      <c r="E126" s="9">
        <v>2</v>
      </c>
      <c r="F126" s="9">
        <v>3</v>
      </c>
      <c r="G126" s="9">
        <f t="shared" si="14"/>
        <v>2.5</v>
      </c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</row>
    <row r="127" spans="1:27" ht="14.45">
      <c r="A127" s="198"/>
      <c r="B127" s="198" t="s">
        <v>633</v>
      </c>
      <c r="C127" s="198" t="s">
        <v>282</v>
      </c>
      <c r="D127" s="198" t="s">
        <v>634</v>
      </c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</row>
    <row r="128" spans="1:27" ht="14.45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</row>
    <row r="129" spans="1:27" ht="14.45">
      <c r="A129" s="9">
        <v>5</v>
      </c>
      <c r="B129" s="286" t="s">
        <v>597</v>
      </c>
      <c r="C129" s="230"/>
      <c r="D129" s="230"/>
      <c r="E129" s="230"/>
      <c r="F129" s="230"/>
      <c r="G129" s="230"/>
      <c r="H129" s="198">
        <f>AVERAGE(H130,H136,H142,H148,H154,H160,H166,H172,H178,H184,H190,H196,H202,H208,H214,H220,H226,H232,H238,H244,H250)</f>
        <v>2.5</v>
      </c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</row>
    <row r="130" spans="1:27" ht="14.45">
      <c r="A130" s="198"/>
      <c r="B130" s="17" t="s">
        <v>605</v>
      </c>
      <c r="C130" s="198"/>
      <c r="D130" s="198" t="s">
        <v>541</v>
      </c>
      <c r="E130" s="195"/>
      <c r="F130" s="195"/>
      <c r="G130" s="195"/>
      <c r="H130" s="11">
        <f>AVERAGE(G132:G134)</f>
        <v>2.5</v>
      </c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</row>
    <row r="131" spans="1:27" ht="14.45">
      <c r="A131" s="198"/>
      <c r="B131" s="198"/>
      <c r="C131" s="198"/>
      <c r="D131" s="198"/>
      <c r="E131" s="198" t="s">
        <v>31</v>
      </c>
      <c r="F131" s="198" t="s">
        <v>10</v>
      </c>
      <c r="G131" s="198" t="s">
        <v>306</v>
      </c>
      <c r="H131" s="195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</row>
    <row r="132" spans="1:27" ht="14.45">
      <c r="A132" s="198"/>
      <c r="B132" s="198"/>
      <c r="C132" s="198" t="s">
        <v>307</v>
      </c>
      <c r="D132" s="198"/>
      <c r="E132" s="9">
        <v>2</v>
      </c>
      <c r="F132" s="9">
        <v>3</v>
      </c>
      <c r="G132" s="9">
        <f t="shared" ref="G132:G134" si="15">AVERAGE(E132:F132)</f>
        <v>2.5</v>
      </c>
      <c r="H132" s="195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</row>
    <row r="133" spans="1:27" ht="14.45">
      <c r="A133" s="198"/>
      <c r="B133" s="198"/>
      <c r="C133" s="198" t="s">
        <v>309</v>
      </c>
      <c r="D133" s="198"/>
      <c r="E133" s="9">
        <v>2</v>
      </c>
      <c r="F133" s="9">
        <v>3</v>
      </c>
      <c r="G133" s="9">
        <f t="shared" si="15"/>
        <v>2.5</v>
      </c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</row>
    <row r="134" spans="1:27" ht="14.45">
      <c r="A134" s="198"/>
      <c r="B134" s="198"/>
      <c r="C134" s="198" t="s">
        <v>316</v>
      </c>
      <c r="D134" s="198"/>
      <c r="E134" s="9">
        <v>2</v>
      </c>
      <c r="F134" s="9">
        <v>3</v>
      </c>
      <c r="G134" s="9">
        <f t="shared" si="15"/>
        <v>2.5</v>
      </c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</row>
    <row r="135" spans="1:27" ht="14.4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</row>
    <row r="136" spans="1:27" ht="14.45">
      <c r="A136" s="198"/>
      <c r="B136" s="17" t="s">
        <v>608</v>
      </c>
      <c r="C136" s="198"/>
      <c r="D136" s="198" t="s">
        <v>542</v>
      </c>
      <c r="E136" s="195"/>
      <c r="F136" s="195"/>
      <c r="G136" s="195"/>
      <c r="H136" s="11">
        <f>AVERAGE(G138:G140)</f>
        <v>2.5</v>
      </c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</row>
    <row r="137" spans="1:27" ht="14.45">
      <c r="A137" s="198"/>
      <c r="B137" s="198"/>
      <c r="C137" s="198"/>
      <c r="D137" s="198"/>
      <c r="E137" s="198" t="s">
        <v>31</v>
      </c>
      <c r="F137" s="198" t="s">
        <v>10</v>
      </c>
      <c r="G137" s="198" t="s">
        <v>306</v>
      </c>
      <c r="H137" s="195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</row>
    <row r="138" spans="1:27" ht="14.45">
      <c r="A138" s="198"/>
      <c r="B138" s="198"/>
      <c r="C138" s="198" t="s">
        <v>307</v>
      </c>
      <c r="D138" s="198"/>
      <c r="E138" s="9">
        <v>2</v>
      </c>
      <c r="F138" s="9">
        <v>3</v>
      </c>
      <c r="G138" s="9">
        <f t="shared" ref="G138:G140" si="16">AVERAGE(E138:F138)</f>
        <v>2.5</v>
      </c>
      <c r="H138" s="195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</row>
    <row r="139" spans="1:27" ht="14.45">
      <c r="A139" s="198"/>
      <c r="B139" s="198"/>
      <c r="C139" s="198" t="s">
        <v>309</v>
      </c>
      <c r="D139" s="198"/>
      <c r="E139" s="9">
        <v>2</v>
      </c>
      <c r="F139" s="9">
        <v>3</v>
      </c>
      <c r="G139" s="9">
        <f t="shared" si="16"/>
        <v>2.5</v>
      </c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</row>
    <row r="140" spans="1:27" ht="14.45">
      <c r="A140" s="198"/>
      <c r="B140" s="198"/>
      <c r="C140" s="198" t="s">
        <v>316</v>
      </c>
      <c r="D140" s="198"/>
      <c r="E140" s="9">
        <v>2</v>
      </c>
      <c r="F140" s="9">
        <v>3</v>
      </c>
      <c r="G140" s="9">
        <f t="shared" si="16"/>
        <v>2.5</v>
      </c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</row>
    <row r="141" spans="1:27" ht="14.45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</row>
    <row r="142" spans="1:27" ht="14.45">
      <c r="A142" s="198"/>
      <c r="B142" s="17" t="s">
        <v>610</v>
      </c>
      <c r="C142" s="198"/>
      <c r="D142" s="198" t="s">
        <v>543</v>
      </c>
      <c r="E142" s="195"/>
      <c r="F142" s="195"/>
      <c r="G142" s="195"/>
      <c r="H142" s="11">
        <f>AVERAGE(G144:G146)</f>
        <v>2.5</v>
      </c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</row>
    <row r="143" spans="1:27" ht="14.45">
      <c r="A143" s="198"/>
      <c r="B143" s="198"/>
      <c r="C143" s="198"/>
      <c r="D143" s="198"/>
      <c r="E143" s="198" t="s">
        <v>31</v>
      </c>
      <c r="F143" s="198" t="s">
        <v>10</v>
      </c>
      <c r="G143" s="198" t="s">
        <v>306</v>
      </c>
      <c r="H143" s="195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</row>
    <row r="144" spans="1:27" ht="14.45">
      <c r="A144" s="198"/>
      <c r="B144" s="198"/>
      <c r="C144" s="198" t="s">
        <v>307</v>
      </c>
      <c r="D144" s="198"/>
      <c r="E144" s="9">
        <v>2</v>
      </c>
      <c r="F144" s="9">
        <v>3</v>
      </c>
      <c r="G144" s="9">
        <f t="shared" ref="G144:G146" si="17">AVERAGE(E144:F144)</f>
        <v>2.5</v>
      </c>
      <c r="H144" s="195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</row>
    <row r="145" spans="1:27" ht="14.45">
      <c r="A145" s="198"/>
      <c r="B145" s="198"/>
      <c r="C145" s="198" t="s">
        <v>309</v>
      </c>
      <c r="D145" s="198"/>
      <c r="E145" s="9">
        <v>2</v>
      </c>
      <c r="F145" s="9">
        <v>3</v>
      </c>
      <c r="G145" s="9">
        <f t="shared" si="17"/>
        <v>2.5</v>
      </c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</row>
    <row r="146" spans="1:27" ht="14.45">
      <c r="A146" s="198"/>
      <c r="B146" s="198"/>
      <c r="C146" s="198" t="s">
        <v>316</v>
      </c>
      <c r="D146" s="198"/>
      <c r="E146" s="9">
        <v>2</v>
      </c>
      <c r="F146" s="9">
        <v>3</v>
      </c>
      <c r="G146" s="9">
        <f t="shared" si="17"/>
        <v>2.5</v>
      </c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</row>
    <row r="147" spans="1:27" ht="14.45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</row>
    <row r="148" spans="1:27" ht="14.45">
      <c r="A148" s="198"/>
      <c r="B148" s="17" t="s">
        <v>612</v>
      </c>
      <c r="C148" s="198"/>
      <c r="D148" s="198" t="s">
        <v>545</v>
      </c>
      <c r="E148" s="195"/>
      <c r="F148" s="195"/>
      <c r="G148" s="195"/>
      <c r="H148" s="11">
        <f>AVERAGE(G150:G152)</f>
        <v>2.5</v>
      </c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</row>
    <row r="149" spans="1:27" ht="14.45">
      <c r="A149" s="198"/>
      <c r="B149" s="198"/>
      <c r="C149" s="198"/>
      <c r="D149" s="198"/>
      <c r="E149" s="198" t="s">
        <v>31</v>
      </c>
      <c r="F149" s="198" t="s">
        <v>10</v>
      </c>
      <c r="G149" s="198" t="s">
        <v>306</v>
      </c>
      <c r="H149" s="195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</row>
    <row r="150" spans="1:27" ht="14.45">
      <c r="A150" s="198"/>
      <c r="B150" s="198"/>
      <c r="C150" s="198" t="s">
        <v>307</v>
      </c>
      <c r="D150" s="198"/>
      <c r="E150" s="9">
        <v>2</v>
      </c>
      <c r="F150" s="9">
        <v>3</v>
      </c>
      <c r="G150" s="9">
        <f t="shared" ref="G150:G152" si="18">AVERAGE(E150:F150)</f>
        <v>2.5</v>
      </c>
      <c r="H150" s="195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</row>
    <row r="151" spans="1:27" ht="14.45">
      <c r="A151" s="198"/>
      <c r="B151" s="198"/>
      <c r="C151" s="198" t="s">
        <v>309</v>
      </c>
      <c r="D151" s="198"/>
      <c r="E151" s="9">
        <v>2</v>
      </c>
      <c r="F151" s="9">
        <v>3</v>
      </c>
      <c r="G151" s="9">
        <f t="shared" si="18"/>
        <v>2.5</v>
      </c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</row>
    <row r="152" spans="1:27" ht="14.45">
      <c r="A152" s="198"/>
      <c r="B152" s="198"/>
      <c r="C152" s="198" t="s">
        <v>316</v>
      </c>
      <c r="D152" s="198"/>
      <c r="E152" s="9">
        <v>2</v>
      </c>
      <c r="F152" s="9">
        <v>3</v>
      </c>
      <c r="G152" s="9">
        <f t="shared" si="18"/>
        <v>2.5</v>
      </c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</row>
    <row r="153" spans="1:27" ht="14.4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</row>
    <row r="154" spans="1:27" ht="14.45">
      <c r="A154" s="198"/>
      <c r="B154" s="17" t="s">
        <v>614</v>
      </c>
      <c r="C154" s="198"/>
      <c r="D154" s="198" t="s">
        <v>547</v>
      </c>
      <c r="E154" s="195"/>
      <c r="F154" s="195"/>
      <c r="G154" s="195"/>
      <c r="H154" s="11">
        <f>AVERAGE(G156:G158)</f>
        <v>2.5</v>
      </c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</row>
    <row r="155" spans="1:27" ht="14.45">
      <c r="A155" s="198"/>
      <c r="B155" s="198"/>
      <c r="C155" s="198"/>
      <c r="D155" s="198"/>
      <c r="E155" s="198" t="s">
        <v>31</v>
      </c>
      <c r="F155" s="198" t="s">
        <v>10</v>
      </c>
      <c r="G155" s="198" t="s">
        <v>306</v>
      </c>
      <c r="H155" s="195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</row>
    <row r="156" spans="1:27" ht="14.45">
      <c r="A156" s="198"/>
      <c r="B156" s="198"/>
      <c r="C156" s="198" t="s">
        <v>307</v>
      </c>
      <c r="D156" s="198"/>
      <c r="E156" s="9">
        <v>2</v>
      </c>
      <c r="F156" s="9">
        <v>3</v>
      </c>
      <c r="G156" s="9">
        <f t="shared" ref="G156:G158" si="19">AVERAGE(E156:F156)</f>
        <v>2.5</v>
      </c>
      <c r="H156" s="195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</row>
    <row r="157" spans="1:27" ht="14.45">
      <c r="A157" s="198"/>
      <c r="B157" s="198"/>
      <c r="C157" s="198" t="s">
        <v>309</v>
      </c>
      <c r="D157" s="198"/>
      <c r="E157" s="9">
        <v>2</v>
      </c>
      <c r="F157" s="9">
        <v>3</v>
      </c>
      <c r="G157" s="9">
        <f t="shared" si="19"/>
        <v>2.5</v>
      </c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</row>
    <row r="158" spans="1:27" ht="14.45">
      <c r="A158" s="198"/>
      <c r="B158" s="198"/>
      <c r="C158" s="198" t="s">
        <v>316</v>
      </c>
      <c r="D158" s="198"/>
      <c r="E158" s="9">
        <v>2</v>
      </c>
      <c r="F158" s="9">
        <v>3</v>
      </c>
      <c r="G158" s="9">
        <f t="shared" si="19"/>
        <v>2.5</v>
      </c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</row>
    <row r="159" spans="1:27" ht="14.45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</row>
    <row r="160" spans="1:27" ht="14.45">
      <c r="A160" s="198"/>
      <c r="B160" s="17" t="s">
        <v>616</v>
      </c>
      <c r="C160" s="198"/>
      <c r="D160" s="198" t="s">
        <v>549</v>
      </c>
      <c r="E160" s="195"/>
      <c r="F160" s="195"/>
      <c r="G160" s="195"/>
      <c r="H160" s="11">
        <f>AVERAGE(G162:G164)</f>
        <v>2.5</v>
      </c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</row>
    <row r="161" spans="1:27" ht="14.45">
      <c r="A161" s="198"/>
      <c r="B161" s="198"/>
      <c r="C161" s="198"/>
      <c r="D161" s="198"/>
      <c r="E161" s="198" t="s">
        <v>31</v>
      </c>
      <c r="F161" s="198" t="s">
        <v>10</v>
      </c>
      <c r="G161" s="198" t="s">
        <v>306</v>
      </c>
      <c r="H161" s="195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</row>
    <row r="162" spans="1:27" ht="14.45">
      <c r="A162" s="198"/>
      <c r="B162" s="198"/>
      <c r="C162" s="198" t="s">
        <v>307</v>
      </c>
      <c r="D162" s="198"/>
      <c r="E162" s="9">
        <v>2</v>
      </c>
      <c r="F162" s="9">
        <v>3</v>
      </c>
      <c r="G162" s="9">
        <f t="shared" ref="G162:G164" si="20">AVERAGE(E162:F162)</f>
        <v>2.5</v>
      </c>
      <c r="H162" s="195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</row>
    <row r="163" spans="1:27" ht="14.45">
      <c r="A163" s="198"/>
      <c r="B163" s="198"/>
      <c r="C163" s="198" t="s">
        <v>309</v>
      </c>
      <c r="D163" s="198"/>
      <c r="E163" s="9">
        <v>2</v>
      </c>
      <c r="F163" s="9">
        <v>3</v>
      </c>
      <c r="G163" s="9">
        <f t="shared" si="20"/>
        <v>2.5</v>
      </c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</row>
    <row r="164" spans="1:27" ht="14.45">
      <c r="A164" s="198"/>
      <c r="B164" s="198"/>
      <c r="C164" s="198" t="s">
        <v>316</v>
      </c>
      <c r="D164" s="198"/>
      <c r="E164" s="9">
        <v>2</v>
      </c>
      <c r="F164" s="9">
        <v>3</v>
      </c>
      <c r="G164" s="9">
        <f t="shared" si="20"/>
        <v>2.5</v>
      </c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</row>
    <row r="165" spans="1:27" ht="14.4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</row>
    <row r="166" spans="1:27" ht="14.45">
      <c r="A166" s="198"/>
      <c r="B166" s="17" t="s">
        <v>618</v>
      </c>
      <c r="C166" s="198"/>
      <c r="D166" s="198" t="s">
        <v>551</v>
      </c>
      <c r="E166" s="195"/>
      <c r="F166" s="195"/>
      <c r="G166" s="195"/>
      <c r="H166" s="11">
        <f>AVERAGE(G168:G170)</f>
        <v>2.5</v>
      </c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</row>
    <row r="167" spans="1:27" ht="14.45">
      <c r="A167" s="198"/>
      <c r="B167" s="198"/>
      <c r="C167" s="198"/>
      <c r="D167" s="198"/>
      <c r="E167" s="198" t="s">
        <v>31</v>
      </c>
      <c r="F167" s="198" t="s">
        <v>10</v>
      </c>
      <c r="G167" s="198" t="s">
        <v>306</v>
      </c>
      <c r="H167" s="195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</row>
    <row r="168" spans="1:27" ht="14.45">
      <c r="A168" s="198"/>
      <c r="B168" s="198"/>
      <c r="C168" s="198" t="s">
        <v>307</v>
      </c>
      <c r="D168" s="198"/>
      <c r="E168" s="9">
        <v>2</v>
      </c>
      <c r="F168" s="9">
        <v>3</v>
      </c>
      <c r="G168" s="9">
        <f t="shared" ref="G168:G170" si="21">AVERAGE(E168:F168)</f>
        <v>2.5</v>
      </c>
      <c r="H168" s="195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</row>
    <row r="169" spans="1:27" ht="14.45">
      <c r="A169" s="198"/>
      <c r="B169" s="198"/>
      <c r="C169" s="198" t="s">
        <v>309</v>
      </c>
      <c r="D169" s="198"/>
      <c r="E169" s="9">
        <v>2</v>
      </c>
      <c r="F169" s="9">
        <v>3</v>
      </c>
      <c r="G169" s="9">
        <f t="shared" si="21"/>
        <v>2.5</v>
      </c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</row>
    <row r="170" spans="1:27" ht="14.45">
      <c r="A170" s="198"/>
      <c r="B170" s="198"/>
      <c r="C170" s="198" t="s">
        <v>316</v>
      </c>
      <c r="D170" s="198"/>
      <c r="E170" s="9">
        <v>2</v>
      </c>
      <c r="F170" s="9">
        <v>3</v>
      </c>
      <c r="G170" s="9">
        <f t="shared" si="21"/>
        <v>2.5</v>
      </c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</row>
    <row r="171" spans="1:27" ht="14.45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</row>
    <row r="172" spans="1:27" ht="14.45">
      <c r="A172" s="198"/>
      <c r="B172" s="17" t="s">
        <v>619</v>
      </c>
      <c r="C172" s="198"/>
      <c r="D172" s="198" t="s">
        <v>553</v>
      </c>
      <c r="E172" s="195"/>
      <c r="F172" s="195"/>
      <c r="G172" s="195"/>
      <c r="H172" s="11">
        <f>AVERAGE(G174:G176)</f>
        <v>2.5</v>
      </c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</row>
    <row r="173" spans="1:27" ht="14.45">
      <c r="A173" s="198"/>
      <c r="B173" s="198"/>
      <c r="C173" s="198"/>
      <c r="D173" s="198"/>
      <c r="E173" s="198" t="s">
        <v>31</v>
      </c>
      <c r="F173" s="198" t="s">
        <v>10</v>
      </c>
      <c r="G173" s="198" t="s">
        <v>306</v>
      </c>
      <c r="H173" s="195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</row>
    <row r="174" spans="1:27" ht="14.45">
      <c r="A174" s="198"/>
      <c r="B174" s="198"/>
      <c r="C174" s="198" t="s">
        <v>307</v>
      </c>
      <c r="D174" s="198"/>
      <c r="E174" s="9">
        <v>2</v>
      </c>
      <c r="F174" s="9">
        <v>3</v>
      </c>
      <c r="G174" s="9">
        <f t="shared" ref="G174:G176" si="22">AVERAGE(E174:F174)</f>
        <v>2.5</v>
      </c>
      <c r="H174" s="195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</row>
    <row r="175" spans="1:27" ht="14.45">
      <c r="A175" s="198"/>
      <c r="B175" s="198"/>
      <c r="C175" s="198" t="s">
        <v>309</v>
      </c>
      <c r="D175" s="198"/>
      <c r="E175" s="9">
        <v>2</v>
      </c>
      <c r="F175" s="9">
        <v>3</v>
      </c>
      <c r="G175" s="9">
        <f t="shared" si="22"/>
        <v>2.5</v>
      </c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</row>
    <row r="176" spans="1:27" ht="14.45">
      <c r="A176" s="198"/>
      <c r="B176" s="198"/>
      <c r="C176" s="198" t="s">
        <v>316</v>
      </c>
      <c r="D176" s="198"/>
      <c r="E176" s="9">
        <v>2</v>
      </c>
      <c r="F176" s="9">
        <v>3</v>
      </c>
      <c r="G176" s="9">
        <f t="shared" si="22"/>
        <v>2.5</v>
      </c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</row>
    <row r="177" spans="1:27" ht="14.45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</row>
    <row r="178" spans="1:27" ht="14.45">
      <c r="A178" s="198"/>
      <c r="B178" s="17" t="s">
        <v>620</v>
      </c>
      <c r="C178" s="198"/>
      <c r="D178" s="198" t="s">
        <v>555</v>
      </c>
      <c r="E178" s="195"/>
      <c r="F178" s="195"/>
      <c r="G178" s="195"/>
      <c r="H178" s="11">
        <f>AVERAGE(G180:G182)</f>
        <v>2.5</v>
      </c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</row>
    <row r="179" spans="1:27" ht="14.45">
      <c r="A179" s="198"/>
      <c r="B179" s="198"/>
      <c r="C179" s="198"/>
      <c r="D179" s="198"/>
      <c r="E179" s="198" t="s">
        <v>31</v>
      </c>
      <c r="F179" s="198" t="s">
        <v>10</v>
      </c>
      <c r="G179" s="198" t="s">
        <v>306</v>
      </c>
      <c r="H179" s="195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</row>
    <row r="180" spans="1:27" ht="14.45">
      <c r="A180" s="198"/>
      <c r="B180" s="198"/>
      <c r="C180" s="198" t="s">
        <v>307</v>
      </c>
      <c r="D180" s="198"/>
      <c r="E180" s="9">
        <v>2</v>
      </c>
      <c r="F180" s="9">
        <v>3</v>
      </c>
      <c r="G180" s="9">
        <f t="shared" ref="G180:G182" si="23">AVERAGE(E180:F180)</f>
        <v>2.5</v>
      </c>
      <c r="H180" s="195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</row>
    <row r="181" spans="1:27" ht="14.45">
      <c r="A181" s="198"/>
      <c r="B181" s="198"/>
      <c r="C181" s="198" t="s">
        <v>309</v>
      </c>
      <c r="D181" s="198"/>
      <c r="E181" s="9">
        <v>2</v>
      </c>
      <c r="F181" s="9">
        <v>3</v>
      </c>
      <c r="G181" s="9">
        <f t="shared" si="23"/>
        <v>2.5</v>
      </c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</row>
    <row r="182" spans="1:27" ht="14.45">
      <c r="A182" s="198"/>
      <c r="B182" s="198"/>
      <c r="C182" s="198" t="s">
        <v>316</v>
      </c>
      <c r="D182" s="198"/>
      <c r="E182" s="9">
        <v>2</v>
      </c>
      <c r="F182" s="9">
        <v>3</v>
      </c>
      <c r="G182" s="9">
        <f t="shared" si="23"/>
        <v>2.5</v>
      </c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</row>
    <row r="183" spans="1:27" ht="14.45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</row>
    <row r="184" spans="1:27" ht="14.45">
      <c r="A184" s="198"/>
      <c r="B184" s="17" t="s">
        <v>621</v>
      </c>
      <c r="C184" s="198"/>
      <c r="D184" s="198" t="s">
        <v>557</v>
      </c>
      <c r="E184" s="195"/>
      <c r="F184" s="195"/>
      <c r="G184" s="195"/>
      <c r="H184" s="11">
        <f>AVERAGE(G186:G188)</f>
        <v>2.5</v>
      </c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</row>
    <row r="185" spans="1:27" ht="14.45">
      <c r="A185" s="198"/>
      <c r="B185" s="198"/>
      <c r="C185" s="198"/>
      <c r="D185" s="198"/>
      <c r="E185" s="198" t="s">
        <v>31</v>
      </c>
      <c r="F185" s="198" t="s">
        <v>10</v>
      </c>
      <c r="G185" s="198" t="s">
        <v>306</v>
      </c>
      <c r="H185" s="195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</row>
    <row r="186" spans="1:27" ht="14.45">
      <c r="A186" s="198"/>
      <c r="B186" s="198"/>
      <c r="C186" s="198" t="s">
        <v>307</v>
      </c>
      <c r="D186" s="198"/>
      <c r="E186" s="9">
        <v>2</v>
      </c>
      <c r="F186" s="9">
        <v>3</v>
      </c>
      <c r="G186" s="9">
        <f t="shared" ref="G186:G188" si="24">AVERAGE(E186:F186)</f>
        <v>2.5</v>
      </c>
      <c r="H186" s="195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</row>
    <row r="187" spans="1:27" ht="14.45">
      <c r="A187" s="198"/>
      <c r="B187" s="198"/>
      <c r="C187" s="198" t="s">
        <v>309</v>
      </c>
      <c r="D187" s="198"/>
      <c r="E187" s="9">
        <v>2</v>
      </c>
      <c r="F187" s="9">
        <v>3</v>
      </c>
      <c r="G187" s="9">
        <f t="shared" si="24"/>
        <v>2.5</v>
      </c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</row>
    <row r="188" spans="1:27" ht="14.45">
      <c r="A188" s="198"/>
      <c r="B188" s="198"/>
      <c r="C188" s="198" t="s">
        <v>316</v>
      </c>
      <c r="D188" s="198"/>
      <c r="E188" s="9">
        <v>2</v>
      </c>
      <c r="F188" s="9">
        <v>3</v>
      </c>
      <c r="G188" s="9">
        <f t="shared" si="24"/>
        <v>2.5</v>
      </c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</row>
    <row r="189" spans="1:27" ht="14.45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</row>
    <row r="190" spans="1:27" ht="14.45">
      <c r="A190" s="198"/>
      <c r="B190" s="17" t="s">
        <v>622</v>
      </c>
      <c r="C190" s="198"/>
      <c r="D190" s="198" t="s">
        <v>559</v>
      </c>
      <c r="E190" s="195"/>
      <c r="F190" s="195"/>
      <c r="G190" s="195"/>
      <c r="H190" s="11">
        <f>AVERAGE(G192:G194)</f>
        <v>2.5</v>
      </c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</row>
    <row r="191" spans="1:27" ht="14.45">
      <c r="A191" s="198"/>
      <c r="B191" s="198"/>
      <c r="C191" s="198"/>
      <c r="D191" s="198"/>
      <c r="E191" s="198" t="s">
        <v>31</v>
      </c>
      <c r="F191" s="198" t="s">
        <v>10</v>
      </c>
      <c r="G191" s="198" t="s">
        <v>306</v>
      </c>
      <c r="H191" s="195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</row>
    <row r="192" spans="1:27" ht="14.45">
      <c r="A192" s="198"/>
      <c r="B192" s="198"/>
      <c r="C192" s="198" t="s">
        <v>307</v>
      </c>
      <c r="D192" s="198"/>
      <c r="E192" s="9">
        <v>2</v>
      </c>
      <c r="F192" s="9">
        <v>3</v>
      </c>
      <c r="G192" s="9">
        <f t="shared" ref="G192:G194" si="25">AVERAGE(E192:F192)</f>
        <v>2.5</v>
      </c>
      <c r="H192" s="195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</row>
    <row r="193" spans="1:27" ht="14.45">
      <c r="A193" s="198"/>
      <c r="B193" s="198"/>
      <c r="C193" s="198" t="s">
        <v>309</v>
      </c>
      <c r="D193" s="198"/>
      <c r="E193" s="9">
        <v>2</v>
      </c>
      <c r="F193" s="9">
        <v>3</v>
      </c>
      <c r="G193" s="9">
        <f t="shared" si="25"/>
        <v>2.5</v>
      </c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</row>
    <row r="194" spans="1:27" ht="14.45">
      <c r="A194" s="198"/>
      <c r="B194" s="198"/>
      <c r="C194" s="198" t="s">
        <v>316</v>
      </c>
      <c r="D194" s="198"/>
      <c r="E194" s="9">
        <v>2</v>
      </c>
      <c r="F194" s="9">
        <v>3</v>
      </c>
      <c r="G194" s="9">
        <f t="shared" si="25"/>
        <v>2.5</v>
      </c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</row>
    <row r="195" spans="1:27" ht="14.4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</row>
    <row r="196" spans="1:27" ht="14.45">
      <c r="A196" s="198"/>
      <c r="B196" s="17" t="s">
        <v>623</v>
      </c>
      <c r="C196" s="198"/>
      <c r="D196" s="198" t="s">
        <v>561</v>
      </c>
      <c r="E196" s="195"/>
      <c r="F196" s="195"/>
      <c r="G196" s="195"/>
      <c r="H196" s="11">
        <f>AVERAGE(G198:G200)</f>
        <v>2.5</v>
      </c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</row>
    <row r="197" spans="1:27" ht="14.45">
      <c r="A197" s="198"/>
      <c r="B197" s="198"/>
      <c r="C197" s="198"/>
      <c r="D197" s="198"/>
      <c r="E197" s="198" t="s">
        <v>31</v>
      </c>
      <c r="F197" s="198" t="s">
        <v>10</v>
      </c>
      <c r="G197" s="198" t="s">
        <v>306</v>
      </c>
      <c r="H197" s="195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</row>
    <row r="198" spans="1:27" ht="14.45">
      <c r="A198" s="198"/>
      <c r="B198" s="198"/>
      <c r="C198" s="198" t="s">
        <v>307</v>
      </c>
      <c r="D198" s="198"/>
      <c r="E198" s="9">
        <v>2</v>
      </c>
      <c r="F198" s="9">
        <v>3</v>
      </c>
      <c r="G198" s="9">
        <f t="shared" ref="G198:G200" si="26">AVERAGE(E198:F198)</f>
        <v>2.5</v>
      </c>
      <c r="H198" s="195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</row>
    <row r="199" spans="1:27" ht="14.45">
      <c r="A199" s="198"/>
      <c r="B199" s="198"/>
      <c r="C199" s="198" t="s">
        <v>309</v>
      </c>
      <c r="D199" s="198"/>
      <c r="E199" s="9">
        <v>2</v>
      </c>
      <c r="F199" s="9">
        <v>3</v>
      </c>
      <c r="G199" s="9">
        <f t="shared" si="26"/>
        <v>2.5</v>
      </c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</row>
    <row r="200" spans="1:27" ht="14.45">
      <c r="A200" s="198"/>
      <c r="B200" s="198"/>
      <c r="C200" s="198" t="s">
        <v>316</v>
      </c>
      <c r="D200" s="198"/>
      <c r="E200" s="9">
        <v>2</v>
      </c>
      <c r="F200" s="9">
        <v>3</v>
      </c>
      <c r="G200" s="9">
        <f t="shared" si="26"/>
        <v>2.5</v>
      </c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</row>
    <row r="201" spans="1:27" ht="14.45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</row>
    <row r="202" spans="1:27" ht="14.45">
      <c r="A202" s="198"/>
      <c r="B202" s="17" t="s">
        <v>624</v>
      </c>
      <c r="C202" s="198"/>
      <c r="D202" s="198" t="s">
        <v>563</v>
      </c>
      <c r="E202" s="195"/>
      <c r="F202" s="195"/>
      <c r="G202" s="195"/>
      <c r="H202" s="11">
        <f>AVERAGE(G204:G206)</f>
        <v>2.5</v>
      </c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</row>
    <row r="203" spans="1:27" ht="14.45">
      <c r="A203" s="198"/>
      <c r="B203" s="198"/>
      <c r="C203" s="198"/>
      <c r="D203" s="198"/>
      <c r="E203" s="198" t="s">
        <v>31</v>
      </c>
      <c r="F203" s="198" t="s">
        <v>10</v>
      </c>
      <c r="G203" s="198" t="s">
        <v>306</v>
      </c>
      <c r="H203" s="195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</row>
    <row r="204" spans="1:27" ht="14.45">
      <c r="A204" s="198"/>
      <c r="B204" s="198"/>
      <c r="C204" s="198" t="s">
        <v>307</v>
      </c>
      <c r="D204" s="198"/>
      <c r="E204" s="9">
        <v>2</v>
      </c>
      <c r="F204" s="9">
        <v>3</v>
      </c>
      <c r="G204" s="9">
        <f t="shared" ref="G204:G206" si="27">AVERAGE(E204:F204)</f>
        <v>2.5</v>
      </c>
      <c r="H204" s="195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</row>
    <row r="205" spans="1:27" ht="14.45">
      <c r="A205" s="198"/>
      <c r="B205" s="198"/>
      <c r="C205" s="198" t="s">
        <v>309</v>
      </c>
      <c r="D205" s="198"/>
      <c r="E205" s="9">
        <v>2</v>
      </c>
      <c r="F205" s="9">
        <v>3</v>
      </c>
      <c r="G205" s="9">
        <f t="shared" si="27"/>
        <v>2.5</v>
      </c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</row>
    <row r="206" spans="1:27" ht="14.45">
      <c r="A206" s="198"/>
      <c r="B206" s="198"/>
      <c r="C206" s="198" t="s">
        <v>316</v>
      </c>
      <c r="D206" s="198"/>
      <c r="E206" s="9">
        <v>2</v>
      </c>
      <c r="F206" s="9">
        <v>3</v>
      </c>
      <c r="G206" s="9">
        <f t="shared" si="27"/>
        <v>2.5</v>
      </c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</row>
    <row r="207" spans="1:27" ht="14.45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</row>
    <row r="208" spans="1:27" ht="14.45">
      <c r="A208" s="198"/>
      <c r="B208" s="17" t="s">
        <v>625</v>
      </c>
      <c r="C208" s="198"/>
      <c r="D208" s="198" t="s">
        <v>565</v>
      </c>
      <c r="E208" s="195"/>
      <c r="F208" s="195"/>
      <c r="G208" s="195"/>
      <c r="H208" s="11">
        <f>AVERAGE(G210:G212)</f>
        <v>2.5</v>
      </c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</row>
    <row r="209" spans="1:27" ht="14.45">
      <c r="A209" s="198"/>
      <c r="B209" s="198"/>
      <c r="C209" s="198"/>
      <c r="D209" s="198"/>
      <c r="E209" s="198" t="s">
        <v>31</v>
      </c>
      <c r="F209" s="198" t="s">
        <v>10</v>
      </c>
      <c r="G209" s="198" t="s">
        <v>306</v>
      </c>
      <c r="H209" s="195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</row>
    <row r="210" spans="1:27" ht="14.45">
      <c r="A210" s="198"/>
      <c r="B210" s="198"/>
      <c r="C210" s="198" t="s">
        <v>307</v>
      </c>
      <c r="D210" s="198"/>
      <c r="E210" s="9">
        <v>2</v>
      </c>
      <c r="F210" s="9">
        <v>3</v>
      </c>
      <c r="G210" s="9">
        <f t="shared" ref="G210:G212" si="28">AVERAGE(E210:F210)</f>
        <v>2.5</v>
      </c>
      <c r="H210" s="195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</row>
    <row r="211" spans="1:27" ht="14.45">
      <c r="A211" s="198"/>
      <c r="B211" s="198"/>
      <c r="C211" s="198" t="s">
        <v>309</v>
      </c>
      <c r="D211" s="198"/>
      <c r="E211" s="9">
        <v>2</v>
      </c>
      <c r="F211" s="9">
        <v>3</v>
      </c>
      <c r="G211" s="9">
        <f t="shared" si="28"/>
        <v>2.5</v>
      </c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</row>
    <row r="212" spans="1:27" ht="14.45">
      <c r="A212" s="198"/>
      <c r="B212" s="198"/>
      <c r="C212" s="198" t="s">
        <v>316</v>
      </c>
      <c r="D212" s="198"/>
      <c r="E212" s="9">
        <v>2</v>
      </c>
      <c r="F212" s="9">
        <v>3</v>
      </c>
      <c r="G212" s="9">
        <f t="shared" si="28"/>
        <v>2.5</v>
      </c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</row>
    <row r="213" spans="1:27" ht="14.45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</row>
    <row r="214" spans="1:27" ht="14.45">
      <c r="A214" s="198"/>
      <c r="B214" s="17" t="s">
        <v>626</v>
      </c>
      <c r="C214" s="198"/>
      <c r="D214" s="198" t="s">
        <v>567</v>
      </c>
      <c r="E214" s="195"/>
      <c r="F214" s="195"/>
      <c r="G214" s="195"/>
      <c r="H214" s="11">
        <f>AVERAGE(G216:G218)</f>
        <v>2.5</v>
      </c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</row>
    <row r="215" spans="1:27" ht="14.45">
      <c r="A215" s="198"/>
      <c r="B215" s="198"/>
      <c r="C215" s="198"/>
      <c r="D215" s="198"/>
      <c r="E215" s="198" t="s">
        <v>31</v>
      </c>
      <c r="F215" s="198" t="s">
        <v>10</v>
      </c>
      <c r="G215" s="198" t="s">
        <v>306</v>
      </c>
      <c r="H215" s="195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</row>
    <row r="216" spans="1:27" ht="14.45">
      <c r="A216" s="198"/>
      <c r="B216" s="198"/>
      <c r="C216" s="198" t="s">
        <v>307</v>
      </c>
      <c r="D216" s="198"/>
      <c r="E216" s="9">
        <v>2</v>
      </c>
      <c r="F216" s="9">
        <v>3</v>
      </c>
      <c r="G216" s="9">
        <f t="shared" ref="G216:G218" si="29">AVERAGE(E216:F216)</f>
        <v>2.5</v>
      </c>
      <c r="H216" s="195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</row>
    <row r="217" spans="1:27" ht="14.45">
      <c r="A217" s="198"/>
      <c r="B217" s="198"/>
      <c r="C217" s="198" t="s">
        <v>309</v>
      </c>
      <c r="D217" s="198"/>
      <c r="E217" s="9">
        <v>2</v>
      </c>
      <c r="F217" s="9">
        <v>3</v>
      </c>
      <c r="G217" s="9">
        <f t="shared" si="29"/>
        <v>2.5</v>
      </c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</row>
    <row r="218" spans="1:27" ht="14.45">
      <c r="A218" s="198"/>
      <c r="B218" s="198"/>
      <c r="C218" s="198" t="s">
        <v>316</v>
      </c>
      <c r="D218" s="198"/>
      <c r="E218" s="9">
        <v>2</v>
      </c>
      <c r="F218" s="9">
        <v>3</v>
      </c>
      <c r="G218" s="9">
        <f t="shared" si="29"/>
        <v>2.5</v>
      </c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</row>
    <row r="219" spans="1:27" ht="14.45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</row>
    <row r="220" spans="1:27" ht="14.45">
      <c r="A220" s="198"/>
      <c r="B220" s="17" t="s">
        <v>627</v>
      </c>
      <c r="C220" s="198"/>
      <c r="D220" s="198" t="s">
        <v>569</v>
      </c>
      <c r="E220" s="195"/>
      <c r="F220" s="195"/>
      <c r="G220" s="195"/>
      <c r="H220" s="11">
        <f>AVERAGE(G222:G224)</f>
        <v>2.5</v>
      </c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</row>
    <row r="221" spans="1:27" ht="14.45">
      <c r="A221" s="198"/>
      <c r="B221" s="198"/>
      <c r="C221" s="198"/>
      <c r="D221" s="198"/>
      <c r="E221" s="198" t="s">
        <v>31</v>
      </c>
      <c r="F221" s="198" t="s">
        <v>10</v>
      </c>
      <c r="G221" s="198" t="s">
        <v>306</v>
      </c>
      <c r="H221" s="195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</row>
    <row r="222" spans="1:27" ht="14.45">
      <c r="A222" s="198"/>
      <c r="B222" s="198"/>
      <c r="C222" s="198" t="s">
        <v>307</v>
      </c>
      <c r="D222" s="198"/>
      <c r="E222" s="9">
        <v>2</v>
      </c>
      <c r="F222" s="9">
        <v>3</v>
      </c>
      <c r="G222" s="9">
        <f t="shared" ref="G222:G224" si="30">AVERAGE(E222:F222)</f>
        <v>2.5</v>
      </c>
      <c r="H222" s="195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</row>
    <row r="223" spans="1:27" ht="14.45">
      <c r="A223" s="198"/>
      <c r="B223" s="198"/>
      <c r="C223" s="198" t="s">
        <v>309</v>
      </c>
      <c r="D223" s="198"/>
      <c r="E223" s="9">
        <v>2</v>
      </c>
      <c r="F223" s="9">
        <v>3</v>
      </c>
      <c r="G223" s="9">
        <f t="shared" si="30"/>
        <v>2.5</v>
      </c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</row>
    <row r="224" spans="1:27" ht="14.45">
      <c r="A224" s="198"/>
      <c r="B224" s="198"/>
      <c r="C224" s="198" t="s">
        <v>316</v>
      </c>
      <c r="D224" s="198"/>
      <c r="E224" s="9">
        <v>2</v>
      </c>
      <c r="F224" s="9">
        <v>3</v>
      </c>
      <c r="G224" s="9">
        <f t="shared" si="30"/>
        <v>2.5</v>
      </c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</row>
    <row r="225" spans="1:27" ht="14.4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</row>
    <row r="226" spans="1:27" ht="14.45">
      <c r="A226" s="198"/>
      <c r="B226" s="17" t="s">
        <v>628</v>
      </c>
      <c r="C226" s="198"/>
      <c r="D226" s="198" t="s">
        <v>571</v>
      </c>
      <c r="E226" s="195"/>
      <c r="F226" s="195"/>
      <c r="G226" s="195"/>
      <c r="H226" s="11">
        <f>AVERAGE(G228:G230)</f>
        <v>2.5</v>
      </c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</row>
    <row r="227" spans="1:27" ht="14.45">
      <c r="A227" s="198"/>
      <c r="B227" s="198"/>
      <c r="C227" s="198"/>
      <c r="D227" s="198"/>
      <c r="E227" s="198" t="s">
        <v>31</v>
      </c>
      <c r="F227" s="198" t="s">
        <v>10</v>
      </c>
      <c r="G227" s="198" t="s">
        <v>306</v>
      </c>
      <c r="H227" s="195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</row>
    <row r="228" spans="1:27" ht="14.45">
      <c r="A228" s="198"/>
      <c r="B228" s="198"/>
      <c r="C228" s="198" t="s">
        <v>307</v>
      </c>
      <c r="D228" s="198"/>
      <c r="E228" s="9">
        <v>2</v>
      </c>
      <c r="F228" s="9">
        <v>3</v>
      </c>
      <c r="G228" s="9">
        <f t="shared" ref="G228:G230" si="31">AVERAGE(E228:F228)</f>
        <v>2.5</v>
      </c>
      <c r="H228" s="195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</row>
    <row r="229" spans="1:27" ht="14.45">
      <c r="A229" s="198"/>
      <c r="B229" s="198"/>
      <c r="C229" s="198" t="s">
        <v>309</v>
      </c>
      <c r="D229" s="198"/>
      <c r="E229" s="9">
        <v>2</v>
      </c>
      <c r="F229" s="9">
        <v>3</v>
      </c>
      <c r="G229" s="9">
        <f t="shared" si="31"/>
        <v>2.5</v>
      </c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</row>
    <row r="230" spans="1:27" ht="14.45">
      <c r="A230" s="198"/>
      <c r="B230" s="198"/>
      <c r="C230" s="198" t="s">
        <v>316</v>
      </c>
      <c r="D230" s="198"/>
      <c r="E230" s="9">
        <v>2</v>
      </c>
      <c r="F230" s="9">
        <v>3</v>
      </c>
      <c r="G230" s="9">
        <f t="shared" si="31"/>
        <v>2.5</v>
      </c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</row>
    <row r="231" spans="1:27" ht="14.4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</row>
    <row r="232" spans="1:27" ht="14.45">
      <c r="A232" s="198"/>
      <c r="B232" s="17" t="s">
        <v>629</v>
      </c>
      <c r="C232" s="198"/>
      <c r="D232" s="198" t="s">
        <v>573</v>
      </c>
      <c r="E232" s="195"/>
      <c r="F232" s="195"/>
      <c r="G232" s="195"/>
      <c r="H232" s="11">
        <f>AVERAGE(G234:G236)</f>
        <v>2.5</v>
      </c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</row>
    <row r="233" spans="1:27" ht="14.45">
      <c r="A233" s="198"/>
      <c r="B233" s="198"/>
      <c r="C233" s="198"/>
      <c r="D233" s="198"/>
      <c r="E233" s="198" t="s">
        <v>31</v>
      </c>
      <c r="F233" s="198" t="s">
        <v>10</v>
      </c>
      <c r="G233" s="198" t="s">
        <v>306</v>
      </c>
      <c r="H233" s="195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</row>
    <row r="234" spans="1:27" ht="14.45">
      <c r="A234" s="198"/>
      <c r="B234" s="198"/>
      <c r="C234" s="198" t="s">
        <v>307</v>
      </c>
      <c r="D234" s="198"/>
      <c r="E234" s="9">
        <v>2</v>
      </c>
      <c r="F234" s="9">
        <v>3</v>
      </c>
      <c r="G234" s="9">
        <f t="shared" ref="G234:G236" si="32">AVERAGE(E234:F234)</f>
        <v>2.5</v>
      </c>
      <c r="H234" s="195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</row>
    <row r="235" spans="1:27" ht="14.45">
      <c r="A235" s="198"/>
      <c r="B235" s="198"/>
      <c r="C235" s="198" t="s">
        <v>309</v>
      </c>
      <c r="D235" s="198"/>
      <c r="E235" s="9">
        <v>2</v>
      </c>
      <c r="F235" s="9">
        <v>3</v>
      </c>
      <c r="G235" s="9">
        <f t="shared" si="32"/>
        <v>2.5</v>
      </c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</row>
    <row r="236" spans="1:27" ht="14.45">
      <c r="A236" s="198"/>
      <c r="B236" s="198"/>
      <c r="C236" s="198" t="s">
        <v>316</v>
      </c>
      <c r="D236" s="198"/>
      <c r="E236" s="9">
        <v>2</v>
      </c>
      <c r="F236" s="9">
        <v>3</v>
      </c>
      <c r="G236" s="9">
        <f t="shared" si="32"/>
        <v>2.5</v>
      </c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</row>
    <row r="237" spans="1:27" ht="14.4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</row>
    <row r="238" spans="1:27" ht="14.45">
      <c r="A238" s="198"/>
      <c r="B238" s="17" t="s">
        <v>630</v>
      </c>
      <c r="C238" s="198"/>
      <c r="D238" s="198" t="s">
        <v>575</v>
      </c>
      <c r="E238" s="195"/>
      <c r="F238" s="195"/>
      <c r="G238" s="195"/>
      <c r="H238" s="11">
        <f>AVERAGE(G240:G242)</f>
        <v>2.5</v>
      </c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</row>
    <row r="239" spans="1:27" ht="14.45">
      <c r="A239" s="198"/>
      <c r="B239" s="198"/>
      <c r="C239" s="198"/>
      <c r="D239" s="198"/>
      <c r="E239" s="198" t="s">
        <v>31</v>
      </c>
      <c r="F239" s="198" t="s">
        <v>10</v>
      </c>
      <c r="G239" s="198" t="s">
        <v>306</v>
      </c>
      <c r="H239" s="195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</row>
    <row r="240" spans="1:27" ht="14.45">
      <c r="A240" s="198"/>
      <c r="B240" s="198"/>
      <c r="C240" s="198" t="s">
        <v>307</v>
      </c>
      <c r="D240" s="198"/>
      <c r="E240" s="9">
        <v>2</v>
      </c>
      <c r="F240" s="9">
        <v>3</v>
      </c>
      <c r="G240" s="9">
        <f t="shared" ref="G240:G242" si="33">AVERAGE(E240:F240)</f>
        <v>2.5</v>
      </c>
      <c r="H240" s="195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</row>
    <row r="241" spans="1:27" ht="14.45">
      <c r="A241" s="198"/>
      <c r="B241" s="198"/>
      <c r="C241" s="198" t="s">
        <v>309</v>
      </c>
      <c r="D241" s="198"/>
      <c r="E241" s="9">
        <v>2</v>
      </c>
      <c r="F241" s="9">
        <v>3</v>
      </c>
      <c r="G241" s="9">
        <f t="shared" si="33"/>
        <v>2.5</v>
      </c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</row>
    <row r="242" spans="1:27" ht="14.45">
      <c r="A242" s="198"/>
      <c r="B242" s="198"/>
      <c r="C242" s="198" t="s">
        <v>316</v>
      </c>
      <c r="D242" s="198"/>
      <c r="E242" s="9">
        <v>2</v>
      </c>
      <c r="F242" s="9">
        <v>3</v>
      </c>
      <c r="G242" s="9">
        <f t="shared" si="33"/>
        <v>2.5</v>
      </c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</row>
    <row r="243" spans="1:27" ht="14.45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</row>
    <row r="244" spans="1:27" ht="14.45">
      <c r="A244" s="198"/>
      <c r="B244" s="17" t="s">
        <v>631</v>
      </c>
      <c r="C244" s="198"/>
      <c r="D244" s="198" t="s">
        <v>581</v>
      </c>
      <c r="E244" s="195"/>
      <c r="F244" s="195"/>
      <c r="G244" s="195"/>
      <c r="H244" s="11">
        <f>AVERAGE(G246:G248)</f>
        <v>2.5</v>
      </c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</row>
    <row r="245" spans="1:27" ht="14.45">
      <c r="A245" s="198"/>
      <c r="B245" s="198"/>
      <c r="C245" s="198"/>
      <c r="D245" s="198"/>
      <c r="E245" s="198" t="s">
        <v>31</v>
      </c>
      <c r="F245" s="198" t="s">
        <v>10</v>
      </c>
      <c r="G245" s="198" t="s">
        <v>306</v>
      </c>
      <c r="H245" s="195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</row>
    <row r="246" spans="1:27" ht="14.45">
      <c r="A246" s="198"/>
      <c r="B246" s="198"/>
      <c r="C246" s="198" t="s">
        <v>307</v>
      </c>
      <c r="D246" s="198"/>
      <c r="E246" s="9">
        <v>2</v>
      </c>
      <c r="F246" s="9">
        <v>3</v>
      </c>
      <c r="G246" s="9">
        <f t="shared" ref="G246:G248" si="34">AVERAGE(E246:F246)</f>
        <v>2.5</v>
      </c>
      <c r="H246" s="195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</row>
    <row r="247" spans="1:27" ht="14.45">
      <c r="A247" s="198"/>
      <c r="B247" s="198"/>
      <c r="C247" s="198" t="s">
        <v>309</v>
      </c>
      <c r="D247" s="198"/>
      <c r="E247" s="9">
        <v>2</v>
      </c>
      <c r="F247" s="9">
        <v>3</v>
      </c>
      <c r="G247" s="9">
        <f t="shared" si="34"/>
        <v>2.5</v>
      </c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</row>
    <row r="248" spans="1:27" ht="14.45">
      <c r="A248" s="198"/>
      <c r="B248" s="198"/>
      <c r="C248" s="198" t="s">
        <v>316</v>
      </c>
      <c r="D248" s="198"/>
      <c r="E248" s="9">
        <v>2</v>
      </c>
      <c r="F248" s="9">
        <v>3</v>
      </c>
      <c r="G248" s="9">
        <f t="shared" si="34"/>
        <v>2.5</v>
      </c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</row>
    <row r="249" spans="1:27" ht="14.45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</row>
    <row r="250" spans="1:27" ht="14.45">
      <c r="A250" s="198"/>
      <c r="B250" s="17" t="s">
        <v>632</v>
      </c>
      <c r="C250" s="198"/>
      <c r="D250" s="198" t="s">
        <v>585</v>
      </c>
      <c r="E250" s="195"/>
      <c r="F250" s="195"/>
      <c r="G250" s="195"/>
      <c r="H250" s="11">
        <f>AVERAGE(G252:G254)</f>
        <v>2.5</v>
      </c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</row>
    <row r="251" spans="1:27" ht="14.45">
      <c r="A251" s="198"/>
      <c r="B251" s="198"/>
      <c r="C251" s="198"/>
      <c r="D251" s="198"/>
      <c r="E251" s="198" t="s">
        <v>31</v>
      </c>
      <c r="F251" s="198" t="s">
        <v>10</v>
      </c>
      <c r="G251" s="198" t="s">
        <v>306</v>
      </c>
      <c r="H251" s="195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</row>
    <row r="252" spans="1:27" ht="14.45">
      <c r="A252" s="198"/>
      <c r="B252" s="198"/>
      <c r="C252" s="198" t="s">
        <v>307</v>
      </c>
      <c r="D252" s="198"/>
      <c r="E252" s="9">
        <v>2</v>
      </c>
      <c r="F252" s="9">
        <v>3</v>
      </c>
      <c r="G252" s="9">
        <f t="shared" ref="G252:G254" si="35">AVERAGE(E252:F252)</f>
        <v>2.5</v>
      </c>
      <c r="H252" s="195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</row>
    <row r="253" spans="1:27" ht="14.45">
      <c r="A253" s="198"/>
      <c r="B253" s="198"/>
      <c r="C253" s="198" t="s">
        <v>309</v>
      </c>
      <c r="D253" s="198"/>
      <c r="E253" s="9">
        <v>2</v>
      </c>
      <c r="F253" s="9">
        <v>3</v>
      </c>
      <c r="G253" s="9">
        <f t="shared" si="35"/>
        <v>2.5</v>
      </c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</row>
    <row r="254" spans="1:27" ht="14.45">
      <c r="A254" s="198"/>
      <c r="B254" s="198"/>
      <c r="C254" s="198" t="s">
        <v>316</v>
      </c>
      <c r="D254" s="198"/>
      <c r="E254" s="9">
        <v>2</v>
      </c>
      <c r="F254" s="9">
        <v>3</v>
      </c>
      <c r="G254" s="9">
        <f t="shared" si="35"/>
        <v>2.5</v>
      </c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</row>
    <row r="255" spans="1:27" ht="14.45">
      <c r="A255" s="198"/>
      <c r="B255" s="198" t="s">
        <v>633</v>
      </c>
      <c r="C255" s="198" t="s">
        <v>282</v>
      </c>
      <c r="D255" s="198" t="s">
        <v>634</v>
      </c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</row>
    <row r="256" spans="1:27" ht="14.45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</row>
    <row r="257" spans="1:27" ht="14.45">
      <c r="A257" s="9">
        <v>6</v>
      </c>
      <c r="B257" s="286" t="s">
        <v>814</v>
      </c>
      <c r="C257" s="230"/>
      <c r="D257" s="230"/>
      <c r="E257" s="230"/>
      <c r="F257" s="230"/>
      <c r="G257" s="230"/>
      <c r="H257" s="198">
        <f>AVERAGE(H258,H264,H270,H276,H282)</f>
        <v>2.5</v>
      </c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</row>
    <row r="258" spans="1:27" ht="14.45">
      <c r="A258" s="198"/>
      <c r="B258" s="17" t="s">
        <v>815</v>
      </c>
      <c r="C258" s="198"/>
      <c r="D258" s="198" t="s">
        <v>816</v>
      </c>
      <c r="E258" s="195"/>
      <c r="F258" s="195"/>
      <c r="G258" s="195"/>
      <c r="H258" s="11">
        <f>AVERAGE(G260:G262)</f>
        <v>2.5</v>
      </c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</row>
    <row r="259" spans="1:27" ht="14.45">
      <c r="A259" s="198"/>
      <c r="B259" s="198"/>
      <c r="C259" s="198"/>
      <c r="D259" s="198"/>
      <c r="E259" s="198" t="s">
        <v>31</v>
      </c>
      <c r="F259" s="198" t="s">
        <v>10</v>
      </c>
      <c r="G259" s="198" t="s">
        <v>306</v>
      </c>
      <c r="H259" s="195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</row>
    <row r="260" spans="1:27" ht="14.45">
      <c r="A260" s="198"/>
      <c r="B260" s="198"/>
      <c r="C260" s="198" t="s">
        <v>307</v>
      </c>
      <c r="D260" s="198"/>
      <c r="E260" s="9">
        <v>2</v>
      </c>
      <c r="F260" s="9">
        <v>3</v>
      </c>
      <c r="G260" s="9">
        <f t="shared" ref="G260:G262" si="36">AVERAGE(E260:F260)</f>
        <v>2.5</v>
      </c>
      <c r="H260" s="195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</row>
    <row r="261" spans="1:27" ht="14.45">
      <c r="A261" s="198"/>
      <c r="B261" s="198"/>
      <c r="C261" s="198" t="s">
        <v>309</v>
      </c>
      <c r="D261" s="198"/>
      <c r="E261" s="9">
        <v>2</v>
      </c>
      <c r="F261" s="9">
        <v>3</v>
      </c>
      <c r="G261" s="9">
        <f t="shared" si="36"/>
        <v>2.5</v>
      </c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</row>
    <row r="262" spans="1:27" ht="14.45">
      <c r="A262" s="198"/>
      <c r="B262" s="198"/>
      <c r="C262" s="198" t="s">
        <v>316</v>
      </c>
      <c r="D262" s="198"/>
      <c r="E262" s="9">
        <v>2</v>
      </c>
      <c r="F262" s="9">
        <v>3</v>
      </c>
      <c r="G262" s="9">
        <f t="shared" si="36"/>
        <v>2.5</v>
      </c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</row>
    <row r="263" spans="1:27" ht="14.45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</row>
    <row r="264" spans="1:27" ht="14.45">
      <c r="A264" s="198"/>
      <c r="B264" s="17" t="s">
        <v>817</v>
      </c>
      <c r="C264" s="198"/>
      <c r="D264" s="198" t="s">
        <v>818</v>
      </c>
      <c r="E264" s="195"/>
      <c r="F264" s="195"/>
      <c r="G264" s="195"/>
      <c r="H264" s="11">
        <f>AVERAGE(G266:G268)</f>
        <v>2.5</v>
      </c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</row>
    <row r="265" spans="1:27" ht="14.45">
      <c r="A265" s="198"/>
      <c r="B265" s="198"/>
      <c r="C265" s="198"/>
      <c r="D265" s="198"/>
      <c r="E265" s="198" t="s">
        <v>31</v>
      </c>
      <c r="F265" s="198" t="s">
        <v>10</v>
      </c>
      <c r="G265" s="198" t="s">
        <v>306</v>
      </c>
      <c r="H265" s="195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</row>
    <row r="266" spans="1:27" ht="14.45">
      <c r="A266" s="198"/>
      <c r="B266" s="198"/>
      <c r="C266" s="198" t="s">
        <v>307</v>
      </c>
      <c r="D266" s="198"/>
      <c r="E266" s="9">
        <v>2</v>
      </c>
      <c r="F266" s="9">
        <v>3</v>
      </c>
      <c r="G266" s="9">
        <f t="shared" ref="G266:G268" si="37">AVERAGE(E266:F266)</f>
        <v>2.5</v>
      </c>
      <c r="H266" s="195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</row>
    <row r="267" spans="1:27" ht="14.45">
      <c r="A267" s="198"/>
      <c r="B267" s="198"/>
      <c r="C267" s="198" t="s">
        <v>309</v>
      </c>
      <c r="D267" s="198"/>
      <c r="E267" s="9">
        <v>2</v>
      </c>
      <c r="F267" s="9">
        <v>3</v>
      </c>
      <c r="G267" s="9">
        <f t="shared" si="37"/>
        <v>2.5</v>
      </c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</row>
    <row r="268" spans="1:27" ht="14.45">
      <c r="A268" s="198"/>
      <c r="B268" s="198"/>
      <c r="C268" s="198" t="s">
        <v>316</v>
      </c>
      <c r="D268" s="198"/>
      <c r="E268" s="9">
        <v>2</v>
      </c>
      <c r="F268" s="9">
        <v>3</v>
      </c>
      <c r="G268" s="9">
        <f t="shared" si="37"/>
        <v>2.5</v>
      </c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</row>
    <row r="269" spans="1:27" ht="14.45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</row>
    <row r="270" spans="1:27" ht="14.45">
      <c r="A270" s="198"/>
      <c r="B270" s="17" t="s">
        <v>819</v>
      </c>
      <c r="C270" s="198"/>
      <c r="D270" s="198" t="s">
        <v>820</v>
      </c>
      <c r="E270" s="195"/>
      <c r="F270" s="195"/>
      <c r="G270" s="195"/>
      <c r="H270" s="11">
        <f>AVERAGE(G272:G274)</f>
        <v>2.5</v>
      </c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</row>
    <row r="271" spans="1:27" ht="14.45">
      <c r="A271" s="198"/>
      <c r="B271" s="198"/>
      <c r="C271" s="198"/>
      <c r="D271" s="198"/>
      <c r="E271" s="198" t="s">
        <v>31</v>
      </c>
      <c r="F271" s="198" t="s">
        <v>10</v>
      </c>
      <c r="G271" s="198" t="s">
        <v>306</v>
      </c>
      <c r="H271" s="195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</row>
    <row r="272" spans="1:27" ht="14.45">
      <c r="A272" s="198"/>
      <c r="B272" s="198"/>
      <c r="C272" s="198" t="s">
        <v>307</v>
      </c>
      <c r="D272" s="198"/>
      <c r="E272" s="9">
        <v>2</v>
      </c>
      <c r="F272" s="9">
        <v>3</v>
      </c>
      <c r="G272" s="9">
        <f t="shared" ref="G272:G274" si="38">AVERAGE(E272:F272)</f>
        <v>2.5</v>
      </c>
      <c r="H272" s="195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</row>
    <row r="273" spans="1:27" ht="14.45">
      <c r="A273" s="198"/>
      <c r="B273" s="198"/>
      <c r="C273" s="198" t="s">
        <v>309</v>
      </c>
      <c r="D273" s="198"/>
      <c r="E273" s="9">
        <v>2</v>
      </c>
      <c r="F273" s="9">
        <v>3</v>
      </c>
      <c r="G273" s="9">
        <f t="shared" si="38"/>
        <v>2.5</v>
      </c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</row>
    <row r="274" spans="1:27" ht="14.45">
      <c r="A274" s="198"/>
      <c r="B274" s="198"/>
      <c r="C274" s="198" t="s">
        <v>316</v>
      </c>
      <c r="D274" s="198"/>
      <c r="E274" s="9">
        <v>2</v>
      </c>
      <c r="F274" s="9">
        <v>3</v>
      </c>
      <c r="G274" s="9">
        <f t="shared" si="38"/>
        <v>2.5</v>
      </c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</row>
    <row r="275" spans="1:27" ht="14.4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</row>
    <row r="276" spans="1:27" ht="14.45">
      <c r="A276" s="198"/>
      <c r="B276" s="17" t="s">
        <v>821</v>
      </c>
      <c r="C276" s="198"/>
      <c r="D276" s="198" t="s">
        <v>822</v>
      </c>
      <c r="E276" s="195"/>
      <c r="F276" s="195"/>
      <c r="G276" s="195"/>
      <c r="H276" s="11">
        <f>AVERAGE(G278:G280)</f>
        <v>2.5</v>
      </c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</row>
    <row r="277" spans="1:27" ht="14.45">
      <c r="A277" s="198"/>
      <c r="B277" s="198"/>
      <c r="C277" s="198"/>
      <c r="D277" s="198"/>
      <c r="E277" s="198" t="s">
        <v>31</v>
      </c>
      <c r="F277" s="198" t="s">
        <v>10</v>
      </c>
      <c r="G277" s="198" t="s">
        <v>306</v>
      </c>
      <c r="H277" s="195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</row>
    <row r="278" spans="1:27" ht="14.45">
      <c r="A278" s="198"/>
      <c r="B278" s="198"/>
      <c r="C278" s="198" t="s">
        <v>307</v>
      </c>
      <c r="D278" s="198"/>
      <c r="E278" s="9">
        <v>2</v>
      </c>
      <c r="F278" s="9">
        <v>3</v>
      </c>
      <c r="G278" s="9">
        <f t="shared" ref="G278:G280" si="39">AVERAGE(E278:F278)</f>
        <v>2.5</v>
      </c>
      <c r="H278" s="195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</row>
    <row r="279" spans="1:27" ht="14.45">
      <c r="A279" s="198"/>
      <c r="B279" s="198"/>
      <c r="C279" s="198" t="s">
        <v>309</v>
      </c>
      <c r="D279" s="198"/>
      <c r="E279" s="9">
        <v>2</v>
      </c>
      <c r="F279" s="9">
        <v>3</v>
      </c>
      <c r="G279" s="9">
        <f t="shared" si="39"/>
        <v>2.5</v>
      </c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</row>
    <row r="280" spans="1:27" ht="14.45">
      <c r="A280" s="198"/>
      <c r="B280" s="198"/>
      <c r="C280" s="198" t="s">
        <v>316</v>
      </c>
      <c r="D280" s="198"/>
      <c r="E280" s="9">
        <v>2</v>
      </c>
      <c r="F280" s="9">
        <v>3</v>
      </c>
      <c r="G280" s="9">
        <f t="shared" si="39"/>
        <v>2.5</v>
      </c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</row>
    <row r="281" spans="1:27" ht="14.45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</row>
    <row r="282" spans="1:27" ht="14.45">
      <c r="A282" s="198"/>
      <c r="B282" s="17" t="s">
        <v>823</v>
      </c>
      <c r="C282" s="198"/>
      <c r="D282" s="198" t="s">
        <v>824</v>
      </c>
      <c r="E282" s="195"/>
      <c r="F282" s="195"/>
      <c r="G282" s="195"/>
      <c r="H282" s="11">
        <f>AVERAGE(G284:G286)</f>
        <v>2.5</v>
      </c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</row>
    <row r="283" spans="1:27" ht="14.45">
      <c r="A283" s="198"/>
      <c r="B283" s="198"/>
      <c r="C283" s="198"/>
      <c r="D283" s="198"/>
      <c r="E283" s="198" t="s">
        <v>31</v>
      </c>
      <c r="F283" s="198" t="s">
        <v>10</v>
      </c>
      <c r="G283" s="198" t="s">
        <v>306</v>
      </c>
      <c r="H283" s="195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</row>
    <row r="284" spans="1:27" ht="14.45">
      <c r="A284" s="198"/>
      <c r="B284" s="198"/>
      <c r="C284" s="198" t="s">
        <v>307</v>
      </c>
      <c r="D284" s="198"/>
      <c r="E284" s="9">
        <v>2</v>
      </c>
      <c r="F284" s="9">
        <v>3</v>
      </c>
      <c r="G284" s="9">
        <f t="shared" ref="G284:G286" si="40">AVERAGE(E284:F284)</f>
        <v>2.5</v>
      </c>
      <c r="H284" s="195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</row>
    <row r="285" spans="1:27" ht="14.45">
      <c r="A285" s="198"/>
      <c r="B285" s="198"/>
      <c r="C285" s="198" t="s">
        <v>309</v>
      </c>
      <c r="D285" s="198"/>
      <c r="E285" s="9">
        <v>2</v>
      </c>
      <c r="F285" s="9">
        <v>3</v>
      </c>
      <c r="G285" s="9">
        <f t="shared" si="40"/>
        <v>2.5</v>
      </c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</row>
    <row r="286" spans="1:27" ht="14.45">
      <c r="A286" s="198"/>
      <c r="B286" s="198"/>
      <c r="C286" s="198" t="s">
        <v>316</v>
      </c>
      <c r="D286" s="198"/>
      <c r="E286" s="9">
        <v>2</v>
      </c>
      <c r="F286" s="9">
        <v>3</v>
      </c>
      <c r="G286" s="9">
        <f t="shared" si="40"/>
        <v>2.5</v>
      </c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</row>
    <row r="287" spans="1:27" ht="14.45">
      <c r="A287" s="198"/>
      <c r="B287" s="198" t="s">
        <v>633</v>
      </c>
      <c r="C287" s="198" t="s">
        <v>282</v>
      </c>
      <c r="D287" s="198" t="s">
        <v>634</v>
      </c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</row>
    <row r="288" spans="1:27" ht="14.45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</row>
    <row r="289" spans="1:27" ht="14.45">
      <c r="A289" s="9">
        <v>7</v>
      </c>
      <c r="B289" s="286" t="s">
        <v>635</v>
      </c>
      <c r="C289" s="230"/>
      <c r="D289" s="230"/>
      <c r="E289" s="230"/>
      <c r="F289" s="230"/>
      <c r="G289" s="230"/>
      <c r="H289" s="198">
        <f>AVERAGE(H290,H296,H302,H308,H314)</f>
        <v>2.5</v>
      </c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</row>
    <row r="290" spans="1:27" ht="14.45">
      <c r="A290" s="198"/>
      <c r="B290" s="17" t="s">
        <v>638</v>
      </c>
      <c r="C290" s="198"/>
      <c r="D290" s="198" t="s">
        <v>590</v>
      </c>
      <c r="E290" s="195"/>
      <c r="F290" s="195"/>
      <c r="G290" s="195"/>
      <c r="H290" s="11">
        <f>AVERAGE(G292:G294)</f>
        <v>2.5</v>
      </c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</row>
    <row r="291" spans="1:27" ht="14.45">
      <c r="A291" s="198"/>
      <c r="B291" s="198"/>
      <c r="C291" s="198"/>
      <c r="D291" s="198"/>
      <c r="E291" s="198" t="s">
        <v>31</v>
      </c>
      <c r="F291" s="198" t="s">
        <v>10</v>
      </c>
      <c r="G291" s="198" t="s">
        <v>306</v>
      </c>
      <c r="H291" s="195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</row>
    <row r="292" spans="1:27" ht="14.45">
      <c r="A292" s="198"/>
      <c r="B292" s="198"/>
      <c r="C292" s="198" t="s">
        <v>307</v>
      </c>
      <c r="D292" s="198"/>
      <c r="E292" s="9">
        <v>2</v>
      </c>
      <c r="F292" s="9">
        <v>3</v>
      </c>
      <c r="G292" s="9">
        <f t="shared" ref="G292:G294" si="41">AVERAGE(E292:F292)</f>
        <v>2.5</v>
      </c>
      <c r="H292" s="195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</row>
    <row r="293" spans="1:27" ht="14.45">
      <c r="A293" s="198"/>
      <c r="B293" s="198"/>
      <c r="C293" s="198" t="s">
        <v>309</v>
      </c>
      <c r="D293" s="198"/>
      <c r="E293" s="9">
        <v>2</v>
      </c>
      <c r="F293" s="9">
        <v>3</v>
      </c>
      <c r="G293" s="9">
        <f t="shared" si="41"/>
        <v>2.5</v>
      </c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</row>
    <row r="294" spans="1:27" ht="14.45">
      <c r="A294" s="198"/>
      <c r="B294" s="198"/>
      <c r="C294" s="198" t="s">
        <v>316</v>
      </c>
      <c r="D294" s="198"/>
      <c r="E294" s="9">
        <v>2</v>
      </c>
      <c r="F294" s="9">
        <v>3</v>
      </c>
      <c r="G294" s="9">
        <f t="shared" si="41"/>
        <v>2.5</v>
      </c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</row>
    <row r="295" spans="1:27" ht="14.4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</row>
    <row r="296" spans="1:27" ht="14.45">
      <c r="A296" s="198"/>
      <c r="B296" s="17" t="s">
        <v>639</v>
      </c>
      <c r="C296" s="198"/>
      <c r="D296" s="198" t="s">
        <v>591</v>
      </c>
      <c r="E296" s="195"/>
      <c r="F296" s="195"/>
      <c r="G296" s="195"/>
      <c r="H296" s="11">
        <f>AVERAGE(G298:G300)</f>
        <v>2.5</v>
      </c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</row>
    <row r="297" spans="1:27" ht="14.45">
      <c r="A297" s="198"/>
      <c r="B297" s="198"/>
      <c r="C297" s="198"/>
      <c r="D297" s="198"/>
      <c r="E297" s="198" t="s">
        <v>31</v>
      </c>
      <c r="F297" s="198" t="s">
        <v>10</v>
      </c>
      <c r="G297" s="198" t="s">
        <v>306</v>
      </c>
      <c r="H297" s="195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</row>
    <row r="298" spans="1:27" ht="14.45">
      <c r="A298" s="198"/>
      <c r="B298" s="198"/>
      <c r="C298" s="198" t="s">
        <v>307</v>
      </c>
      <c r="D298" s="198"/>
      <c r="E298" s="9">
        <v>2</v>
      </c>
      <c r="F298" s="9">
        <v>3</v>
      </c>
      <c r="G298" s="9">
        <f t="shared" ref="G298:G300" si="42">AVERAGE(E298:F298)</f>
        <v>2.5</v>
      </c>
      <c r="H298" s="195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</row>
    <row r="299" spans="1:27" ht="14.45">
      <c r="A299" s="198"/>
      <c r="B299" s="198"/>
      <c r="C299" s="198" t="s">
        <v>309</v>
      </c>
      <c r="D299" s="198"/>
      <c r="E299" s="9">
        <v>2</v>
      </c>
      <c r="F299" s="9">
        <v>3</v>
      </c>
      <c r="G299" s="9">
        <f t="shared" si="42"/>
        <v>2.5</v>
      </c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</row>
    <row r="300" spans="1:27" ht="14.45">
      <c r="A300" s="198"/>
      <c r="B300" s="198"/>
      <c r="C300" s="198" t="s">
        <v>316</v>
      </c>
      <c r="D300" s="198"/>
      <c r="E300" s="9">
        <v>2</v>
      </c>
      <c r="F300" s="9">
        <v>3</v>
      </c>
      <c r="G300" s="9">
        <f t="shared" si="42"/>
        <v>2.5</v>
      </c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</row>
    <row r="301" spans="1:27" ht="14.45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</row>
    <row r="302" spans="1:27" ht="14.45">
      <c r="A302" s="198"/>
      <c r="B302" s="17" t="s">
        <v>640</v>
      </c>
      <c r="C302" s="198"/>
      <c r="D302" s="198" t="s">
        <v>592</v>
      </c>
      <c r="E302" s="195"/>
      <c r="F302" s="195"/>
      <c r="G302" s="195"/>
      <c r="H302" s="11">
        <f>AVERAGE(G304:G306)</f>
        <v>2.5</v>
      </c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</row>
    <row r="303" spans="1:27" ht="14.45">
      <c r="A303" s="198"/>
      <c r="B303" s="198"/>
      <c r="C303" s="198"/>
      <c r="D303" s="198"/>
      <c r="E303" s="198" t="s">
        <v>31</v>
      </c>
      <c r="F303" s="198" t="s">
        <v>10</v>
      </c>
      <c r="G303" s="198" t="s">
        <v>306</v>
      </c>
      <c r="H303" s="195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</row>
    <row r="304" spans="1:27" ht="14.45">
      <c r="A304" s="198"/>
      <c r="B304" s="198"/>
      <c r="C304" s="198" t="s">
        <v>307</v>
      </c>
      <c r="D304" s="198"/>
      <c r="E304" s="9">
        <v>2</v>
      </c>
      <c r="F304" s="9">
        <v>3</v>
      </c>
      <c r="G304" s="9">
        <f t="shared" ref="G304:G306" si="43">AVERAGE(E304:F304)</f>
        <v>2.5</v>
      </c>
      <c r="H304" s="195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</row>
    <row r="305" spans="1:27" ht="14.45">
      <c r="A305" s="198"/>
      <c r="B305" s="198"/>
      <c r="C305" s="198" t="s">
        <v>309</v>
      </c>
      <c r="D305" s="198"/>
      <c r="E305" s="9">
        <v>2</v>
      </c>
      <c r="F305" s="9">
        <v>3</v>
      </c>
      <c r="G305" s="9">
        <f t="shared" si="43"/>
        <v>2.5</v>
      </c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</row>
    <row r="306" spans="1:27" ht="14.45">
      <c r="A306" s="198"/>
      <c r="B306" s="198"/>
      <c r="C306" s="198" t="s">
        <v>316</v>
      </c>
      <c r="D306" s="198"/>
      <c r="E306" s="9">
        <v>2</v>
      </c>
      <c r="F306" s="9">
        <v>3</v>
      </c>
      <c r="G306" s="9">
        <f t="shared" si="43"/>
        <v>2.5</v>
      </c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</row>
    <row r="307" spans="1:27" ht="14.45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</row>
    <row r="308" spans="1:27" ht="14.45">
      <c r="A308" s="198"/>
      <c r="B308" s="17" t="s">
        <v>641</v>
      </c>
      <c r="C308" s="198"/>
      <c r="D308" s="198" t="s">
        <v>593</v>
      </c>
      <c r="E308" s="195"/>
      <c r="F308" s="195"/>
      <c r="G308" s="195"/>
      <c r="H308" s="11">
        <f>AVERAGE(G310:G312)</f>
        <v>2.5</v>
      </c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</row>
    <row r="309" spans="1:27" ht="14.45">
      <c r="A309" s="198"/>
      <c r="B309" s="198"/>
      <c r="C309" s="198"/>
      <c r="D309" s="198"/>
      <c r="E309" s="198" t="s">
        <v>31</v>
      </c>
      <c r="F309" s="198" t="s">
        <v>10</v>
      </c>
      <c r="G309" s="198" t="s">
        <v>306</v>
      </c>
      <c r="H309" s="195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</row>
    <row r="310" spans="1:27" ht="14.45">
      <c r="A310" s="198"/>
      <c r="B310" s="198"/>
      <c r="C310" s="198" t="s">
        <v>307</v>
      </c>
      <c r="D310" s="198"/>
      <c r="E310" s="9">
        <v>2</v>
      </c>
      <c r="F310" s="9">
        <v>3</v>
      </c>
      <c r="G310" s="9">
        <f t="shared" ref="G310:G312" si="44">AVERAGE(E310:F310)</f>
        <v>2.5</v>
      </c>
      <c r="H310" s="195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</row>
    <row r="311" spans="1:27" ht="14.45">
      <c r="A311" s="198"/>
      <c r="B311" s="198"/>
      <c r="C311" s="198" t="s">
        <v>309</v>
      </c>
      <c r="D311" s="198"/>
      <c r="E311" s="9">
        <v>2</v>
      </c>
      <c r="F311" s="9">
        <v>3</v>
      </c>
      <c r="G311" s="9">
        <f t="shared" si="44"/>
        <v>2.5</v>
      </c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</row>
    <row r="312" spans="1:27" ht="14.45">
      <c r="A312" s="198"/>
      <c r="B312" s="198"/>
      <c r="C312" s="198" t="s">
        <v>316</v>
      </c>
      <c r="D312" s="198"/>
      <c r="E312" s="9">
        <v>2</v>
      </c>
      <c r="F312" s="9">
        <v>3</v>
      </c>
      <c r="G312" s="9">
        <f t="shared" si="44"/>
        <v>2.5</v>
      </c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</row>
    <row r="313" spans="1:27" ht="14.45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</row>
    <row r="314" spans="1:27" ht="14.45">
      <c r="A314" s="198"/>
      <c r="B314" s="17" t="s">
        <v>642</v>
      </c>
      <c r="C314" s="198"/>
      <c r="D314" s="198" t="s">
        <v>594</v>
      </c>
      <c r="E314" s="195"/>
      <c r="F314" s="195"/>
      <c r="G314" s="195"/>
      <c r="H314" s="11">
        <f>AVERAGE(G316:G318)</f>
        <v>2.5</v>
      </c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</row>
    <row r="315" spans="1:27" ht="14.45">
      <c r="A315" s="198"/>
      <c r="B315" s="198"/>
      <c r="C315" s="198"/>
      <c r="D315" s="198"/>
      <c r="E315" s="198" t="s">
        <v>31</v>
      </c>
      <c r="F315" s="198" t="s">
        <v>10</v>
      </c>
      <c r="G315" s="198" t="s">
        <v>306</v>
      </c>
      <c r="H315" s="195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</row>
    <row r="316" spans="1:27" ht="14.45">
      <c r="A316" s="198"/>
      <c r="B316" s="198"/>
      <c r="C316" s="198" t="s">
        <v>307</v>
      </c>
      <c r="D316" s="198"/>
      <c r="E316" s="9">
        <v>2</v>
      </c>
      <c r="F316" s="9">
        <v>3</v>
      </c>
      <c r="G316" s="9">
        <f t="shared" ref="G316:G318" si="45">AVERAGE(E316:F316)</f>
        <v>2.5</v>
      </c>
      <c r="H316" s="195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</row>
    <row r="317" spans="1:27" ht="14.45">
      <c r="A317" s="198"/>
      <c r="B317" s="198"/>
      <c r="C317" s="198" t="s">
        <v>309</v>
      </c>
      <c r="D317" s="198"/>
      <c r="E317" s="9">
        <v>2</v>
      </c>
      <c r="F317" s="9">
        <v>3</v>
      </c>
      <c r="G317" s="9">
        <f t="shared" si="45"/>
        <v>2.5</v>
      </c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</row>
    <row r="318" spans="1:27" ht="14.45">
      <c r="A318" s="198"/>
      <c r="B318" s="198"/>
      <c r="C318" s="198" t="s">
        <v>316</v>
      </c>
      <c r="D318" s="198"/>
      <c r="E318" s="9">
        <v>2</v>
      </c>
      <c r="F318" s="9">
        <v>3</v>
      </c>
      <c r="G318" s="9">
        <f t="shared" si="45"/>
        <v>2.5</v>
      </c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</row>
    <row r="319" spans="1:27" ht="14.45">
      <c r="A319" s="198"/>
      <c r="B319" s="198" t="s">
        <v>633</v>
      </c>
      <c r="C319" s="198" t="s">
        <v>282</v>
      </c>
      <c r="D319" s="198" t="s">
        <v>634</v>
      </c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</row>
    <row r="320" spans="1:27" ht="14.45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</row>
    <row r="321" spans="1:27" ht="14.45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</row>
    <row r="322" spans="1:27" ht="14.45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</row>
    <row r="323" spans="1:27" ht="14.45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</row>
    <row r="324" spans="1:27" ht="14.45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</row>
    <row r="325" spans="1:27" ht="14.4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</row>
    <row r="326" spans="1:27" ht="14.45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</row>
    <row r="327" spans="1:27" ht="14.45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</row>
    <row r="328" spans="1:27" ht="14.45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</row>
    <row r="329" spans="1:27" ht="14.45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</row>
    <row r="330" spans="1:27" ht="14.45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</row>
    <row r="331" spans="1:27" ht="14.45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</row>
    <row r="332" spans="1:27" ht="14.45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</row>
    <row r="333" spans="1:27" ht="14.45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</row>
    <row r="334" spans="1:27" ht="14.45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</row>
    <row r="335" spans="1:27" ht="14.4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</row>
    <row r="336" spans="1:27" ht="14.45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</row>
    <row r="337" spans="1:27" ht="14.45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</row>
    <row r="338" spans="1:27" ht="14.45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</row>
    <row r="339" spans="1:27" ht="14.45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</row>
    <row r="340" spans="1:27" ht="14.45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</row>
    <row r="341" spans="1:27" ht="14.45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</row>
    <row r="342" spans="1:27" ht="14.45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</row>
    <row r="343" spans="1:27" ht="14.45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</row>
    <row r="344" spans="1:27" ht="14.45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</row>
    <row r="345" spans="1:27" ht="14.4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</row>
    <row r="346" spans="1:27" ht="14.45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</row>
    <row r="347" spans="1:27" ht="14.45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</row>
    <row r="348" spans="1:27" ht="14.45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</row>
    <row r="349" spans="1:27" ht="14.45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</row>
    <row r="350" spans="1:27" ht="14.45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</row>
    <row r="351" spans="1:27" ht="14.45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</row>
    <row r="352" spans="1:27" ht="14.45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</row>
    <row r="353" spans="1:27" ht="14.45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</row>
    <row r="354" spans="1:27" ht="14.45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</row>
    <row r="355" spans="1:27" ht="14.4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</row>
    <row r="356" spans="1:27" ht="14.45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</row>
    <row r="357" spans="1:27" ht="14.45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</row>
    <row r="358" spans="1:27" ht="14.45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</row>
    <row r="359" spans="1:27" ht="14.45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</row>
    <row r="360" spans="1:27" ht="14.45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</row>
    <row r="361" spans="1:27" ht="14.45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</row>
    <row r="362" spans="1:27" ht="14.45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</row>
    <row r="363" spans="1:27" ht="14.45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</row>
    <row r="364" spans="1:27" ht="14.45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</row>
    <row r="365" spans="1:27" ht="14.4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</row>
    <row r="366" spans="1:27" ht="14.45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</row>
    <row r="367" spans="1:27" ht="14.45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</row>
    <row r="368" spans="1:27" ht="14.45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</row>
    <row r="369" spans="1:27" ht="14.45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</row>
    <row r="370" spans="1:27" ht="14.45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</row>
    <row r="371" spans="1:27" ht="14.45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</row>
    <row r="372" spans="1:27" ht="14.45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</row>
    <row r="373" spans="1:27" ht="14.45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</row>
    <row r="374" spans="1:27" ht="14.45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</row>
    <row r="375" spans="1:27" ht="14.4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</row>
    <row r="376" spans="1:27" ht="14.45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</row>
    <row r="377" spans="1:27" ht="14.45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</row>
    <row r="378" spans="1:27" ht="14.45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</row>
    <row r="379" spans="1:27" ht="14.45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</row>
    <row r="380" spans="1:27" ht="14.45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</row>
    <row r="381" spans="1:27" ht="14.45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</row>
    <row r="382" spans="1:27" ht="14.45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</row>
    <row r="383" spans="1:27" ht="14.45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</row>
    <row r="384" spans="1:27" ht="14.45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</row>
    <row r="385" spans="1:27" ht="14.4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</row>
    <row r="386" spans="1:27" ht="14.45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</row>
    <row r="387" spans="1:27" ht="14.45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</row>
    <row r="388" spans="1:27" ht="14.45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</row>
    <row r="389" spans="1:27" ht="14.45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</row>
    <row r="390" spans="1:27" ht="14.45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</row>
    <row r="391" spans="1:27" ht="14.45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</row>
    <row r="392" spans="1:27" ht="14.45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</row>
    <row r="393" spans="1:27" ht="14.45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</row>
    <row r="394" spans="1:27" ht="14.45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</row>
    <row r="395" spans="1:27" ht="14.4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</row>
    <row r="396" spans="1:27" ht="14.45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</row>
    <row r="397" spans="1:27" ht="14.45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</row>
    <row r="398" spans="1:27" ht="14.45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</row>
    <row r="399" spans="1:27" ht="14.45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</row>
    <row r="400" spans="1:27" ht="14.45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</row>
    <row r="401" spans="1:27" ht="14.45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</row>
    <row r="402" spans="1:27" ht="14.45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</row>
    <row r="403" spans="1:27" ht="14.45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</row>
    <row r="404" spans="1:27" ht="14.45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</row>
    <row r="405" spans="1:27" ht="14.4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</row>
    <row r="406" spans="1:27" ht="14.45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</row>
    <row r="407" spans="1:27" ht="14.45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</row>
    <row r="408" spans="1:27" ht="14.45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</row>
    <row r="409" spans="1:27" ht="14.45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</row>
    <row r="410" spans="1:27" ht="14.45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</row>
    <row r="411" spans="1:27" ht="14.45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</row>
    <row r="412" spans="1:27" ht="14.45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</row>
    <row r="413" spans="1:27" ht="14.45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</row>
    <row r="414" spans="1:27" ht="14.45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</row>
    <row r="415" spans="1:27" ht="14.4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</row>
    <row r="416" spans="1:27" ht="14.45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</row>
    <row r="417" spans="1:27" ht="14.45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</row>
    <row r="418" spans="1:27" ht="14.45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</row>
    <row r="419" spans="1:27" ht="14.45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</row>
    <row r="420" spans="1:27" ht="14.45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</row>
    <row r="421" spans="1:27" ht="14.45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</row>
    <row r="422" spans="1:27" ht="14.45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</row>
    <row r="423" spans="1:27" ht="14.45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</row>
    <row r="424" spans="1:27" ht="14.45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</row>
    <row r="425" spans="1:27" ht="14.4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</row>
    <row r="426" spans="1:27" ht="14.45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</row>
    <row r="427" spans="1:27" ht="14.45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</row>
    <row r="428" spans="1:27" ht="14.45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</row>
    <row r="429" spans="1:27" ht="14.45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</row>
    <row r="430" spans="1:27" ht="14.45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</row>
    <row r="431" spans="1:27" ht="14.45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</row>
    <row r="432" spans="1:27" ht="14.45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</row>
    <row r="433" spans="1:27" ht="14.45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</row>
    <row r="434" spans="1:27" ht="14.45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</row>
    <row r="435" spans="1:27" ht="14.4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</row>
    <row r="436" spans="1:27" ht="14.45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</row>
    <row r="437" spans="1:27" ht="14.45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</row>
    <row r="438" spans="1:27" ht="14.45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</row>
    <row r="439" spans="1:27" ht="14.45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</row>
    <row r="440" spans="1:27" ht="14.45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</row>
    <row r="441" spans="1:27" ht="14.45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</row>
    <row r="442" spans="1:27" ht="14.45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</row>
    <row r="443" spans="1:27" ht="14.45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</row>
    <row r="444" spans="1:27" ht="14.45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</row>
    <row r="445" spans="1:27" ht="14.4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</row>
    <row r="446" spans="1:27" ht="14.45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</row>
    <row r="447" spans="1:27" ht="14.45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</row>
    <row r="448" spans="1:27" ht="14.45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</row>
    <row r="449" spans="1:27" ht="14.45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</row>
    <row r="450" spans="1:27" ht="14.45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</row>
    <row r="451" spans="1:27" ht="14.45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</row>
    <row r="452" spans="1:27" ht="14.45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</row>
    <row r="453" spans="1:27" ht="14.45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</row>
    <row r="454" spans="1:27" ht="14.45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</row>
    <row r="455" spans="1:27" ht="14.4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</row>
    <row r="456" spans="1:27" ht="14.45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</row>
    <row r="457" spans="1:27" ht="14.45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</row>
    <row r="458" spans="1:27" ht="14.45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</row>
    <row r="459" spans="1:27" ht="14.45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</row>
    <row r="460" spans="1:27" ht="14.45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</row>
    <row r="461" spans="1:27" ht="14.45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</row>
    <row r="462" spans="1:27" ht="14.45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</row>
    <row r="463" spans="1:27" ht="14.45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</row>
    <row r="464" spans="1:27" ht="14.45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</row>
    <row r="465" spans="1:27" ht="14.4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</row>
    <row r="466" spans="1:27" ht="14.45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</row>
    <row r="467" spans="1:27" ht="14.45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</row>
    <row r="468" spans="1:27" ht="14.45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</row>
    <row r="469" spans="1:27" ht="14.45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</row>
    <row r="470" spans="1:27" ht="14.45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</row>
    <row r="471" spans="1:27" ht="14.45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</row>
    <row r="472" spans="1:27" ht="14.45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</row>
    <row r="473" spans="1:27" ht="14.45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</row>
    <row r="474" spans="1:27" ht="14.45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</row>
    <row r="475" spans="1:27" ht="14.4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</row>
    <row r="476" spans="1:27" ht="14.45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</row>
    <row r="477" spans="1:27" ht="14.45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</row>
    <row r="478" spans="1:27" ht="14.45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</row>
    <row r="479" spans="1:27" ht="14.45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</row>
    <row r="480" spans="1:27" ht="14.45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</row>
    <row r="481" spans="1:27" ht="14.45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</row>
    <row r="482" spans="1:27" ht="14.45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</row>
    <row r="483" spans="1:27" ht="14.45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</row>
    <row r="484" spans="1:27" ht="14.45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</row>
    <row r="485" spans="1:27" ht="14.4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</row>
    <row r="486" spans="1:27" ht="14.45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</row>
    <row r="487" spans="1:27" ht="14.45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</row>
    <row r="488" spans="1:27" ht="14.45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</row>
    <row r="489" spans="1:27" ht="14.45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</row>
    <row r="490" spans="1:27" ht="14.45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</row>
    <row r="491" spans="1:27" ht="14.45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</row>
    <row r="492" spans="1:27" ht="14.45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</row>
    <row r="493" spans="1:27" ht="14.45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</row>
    <row r="494" spans="1:27" ht="14.45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</row>
    <row r="495" spans="1:27" ht="14.4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</row>
    <row r="496" spans="1:27" ht="14.45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</row>
    <row r="497" spans="1:27" ht="14.45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</row>
    <row r="498" spans="1:27" ht="14.45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</row>
    <row r="499" spans="1:27" ht="14.45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</row>
    <row r="500" spans="1:27" ht="14.45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</row>
    <row r="501" spans="1:27" ht="14.45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</row>
    <row r="502" spans="1:27" ht="14.45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</row>
    <row r="503" spans="1:27" ht="14.45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</row>
    <row r="504" spans="1:27" ht="14.45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</row>
    <row r="505" spans="1:27" ht="14.4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</row>
    <row r="506" spans="1:27" ht="14.45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</row>
    <row r="507" spans="1:27" ht="14.45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</row>
    <row r="508" spans="1:27" ht="14.45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</row>
    <row r="509" spans="1:27" ht="14.45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</row>
    <row r="510" spans="1:27" ht="14.45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</row>
    <row r="511" spans="1:27" ht="14.45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</row>
    <row r="512" spans="1:27" ht="14.45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</row>
    <row r="513" spans="1:27" ht="14.45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</row>
    <row r="514" spans="1:27" ht="14.45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</row>
    <row r="515" spans="1:27" ht="14.4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</row>
    <row r="516" spans="1:27" ht="14.45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</row>
    <row r="517" spans="1:27" ht="14.45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</row>
    <row r="518" spans="1:27" ht="14.45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</row>
    <row r="519" spans="1:27" ht="14.45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</row>
    <row r="520" spans="1:27" ht="14.45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</row>
    <row r="521" spans="1:27" ht="14.45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</row>
    <row r="522" spans="1:27" ht="14.45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</row>
    <row r="523" spans="1:27" ht="14.45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</row>
    <row r="524" spans="1:27" ht="14.45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</row>
    <row r="525" spans="1:27" ht="14.4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</row>
    <row r="526" spans="1:27" ht="14.45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</row>
    <row r="527" spans="1:27" ht="14.45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</row>
    <row r="528" spans="1:27" ht="14.45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</row>
    <row r="529" spans="1:27" ht="14.45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</row>
    <row r="530" spans="1:27" ht="14.45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</row>
    <row r="531" spans="1:27" ht="14.45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</row>
    <row r="532" spans="1:27" ht="14.45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</row>
    <row r="533" spans="1:27" ht="14.45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</row>
    <row r="534" spans="1:27" ht="14.45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</row>
    <row r="535" spans="1:27" ht="14.4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</row>
    <row r="536" spans="1:27" ht="14.45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</row>
    <row r="537" spans="1:27" ht="14.45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</row>
    <row r="538" spans="1:27" ht="14.45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</row>
    <row r="539" spans="1:27" ht="14.45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</row>
    <row r="540" spans="1:27" ht="14.45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</row>
    <row r="541" spans="1:27" ht="14.45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</row>
    <row r="542" spans="1:27" ht="14.45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</row>
    <row r="543" spans="1:27" ht="14.45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</row>
    <row r="544" spans="1:27" ht="14.45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</row>
    <row r="545" spans="1:27" ht="14.4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</row>
    <row r="546" spans="1:27" ht="14.45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</row>
    <row r="547" spans="1:27" ht="14.45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</row>
    <row r="548" spans="1:27" ht="14.45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</row>
    <row r="549" spans="1:27" ht="14.45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</row>
    <row r="550" spans="1:27" ht="14.45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</row>
    <row r="551" spans="1:27" ht="14.45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</row>
    <row r="552" spans="1:27" ht="14.45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</row>
    <row r="553" spans="1:27" ht="14.45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</row>
    <row r="554" spans="1:27" ht="14.45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</row>
    <row r="555" spans="1:27" ht="14.4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</row>
    <row r="556" spans="1:27" ht="14.45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</row>
    <row r="557" spans="1:27" ht="14.45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</row>
    <row r="558" spans="1:27" ht="14.45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</row>
    <row r="559" spans="1:27" ht="14.45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</row>
    <row r="560" spans="1:27" ht="14.45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</row>
    <row r="561" spans="1:27" ht="14.45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</row>
    <row r="562" spans="1:27" ht="14.45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</row>
    <row r="563" spans="1:27" ht="14.45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</row>
    <row r="564" spans="1:27" ht="14.45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</row>
    <row r="565" spans="1:27" ht="14.4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</row>
    <row r="566" spans="1:27" ht="14.45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</row>
    <row r="567" spans="1:27" ht="14.45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</row>
    <row r="568" spans="1:27" ht="14.45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</row>
    <row r="569" spans="1:27" ht="14.45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</row>
    <row r="570" spans="1:27" ht="14.45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</row>
    <row r="571" spans="1:27" ht="14.45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</row>
    <row r="572" spans="1:27" ht="14.45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</row>
    <row r="573" spans="1:27" ht="14.45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</row>
    <row r="574" spans="1:27" ht="14.45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</row>
    <row r="575" spans="1:27" ht="14.4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</row>
    <row r="576" spans="1:27" ht="14.45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</row>
    <row r="577" spans="1:27" ht="14.45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</row>
    <row r="578" spans="1:27" ht="14.45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</row>
    <row r="579" spans="1:27" ht="14.45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</row>
    <row r="580" spans="1:27" ht="14.45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</row>
    <row r="581" spans="1:27" ht="14.45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</row>
    <row r="582" spans="1:27" ht="14.45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</row>
    <row r="583" spans="1:27" ht="14.45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</row>
    <row r="584" spans="1:27" ht="14.45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</row>
    <row r="585" spans="1:27" ht="14.4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</row>
    <row r="586" spans="1:27" ht="14.45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</row>
    <row r="587" spans="1:27" ht="14.45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</row>
    <row r="588" spans="1:27" ht="14.45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</row>
    <row r="589" spans="1:27" ht="14.45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</row>
    <row r="590" spans="1:27" ht="14.45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</row>
    <row r="591" spans="1:27" ht="14.45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</row>
    <row r="592" spans="1:27" ht="14.45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</row>
    <row r="593" spans="1:27" ht="14.45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</row>
    <row r="594" spans="1:27" ht="14.45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</row>
    <row r="595" spans="1:27" ht="14.4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</row>
    <row r="596" spans="1:27" ht="14.45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</row>
    <row r="597" spans="1:27" ht="14.45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</row>
    <row r="598" spans="1:27" ht="14.45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</row>
    <row r="599" spans="1:27" ht="14.45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</row>
    <row r="600" spans="1:27" ht="14.45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</row>
    <row r="601" spans="1:27" ht="14.45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</row>
    <row r="602" spans="1:27" ht="14.45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</row>
    <row r="603" spans="1:27" ht="14.45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</row>
    <row r="604" spans="1:27" ht="14.45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</row>
    <row r="605" spans="1:27" ht="14.4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</row>
    <row r="606" spans="1:27" ht="14.45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</row>
    <row r="607" spans="1:27" ht="14.45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</row>
    <row r="608" spans="1:27" ht="14.45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</row>
    <row r="609" spans="1:27" ht="14.45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</row>
    <row r="610" spans="1:27" ht="14.45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</row>
    <row r="611" spans="1:27" ht="14.45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</row>
    <row r="612" spans="1:27" ht="14.45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</row>
    <row r="613" spans="1:27" ht="14.45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</row>
    <row r="614" spans="1:27" ht="14.45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</row>
    <row r="615" spans="1:27" ht="14.4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</row>
    <row r="616" spans="1:27" ht="14.45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</row>
    <row r="617" spans="1:27" ht="14.45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</row>
    <row r="618" spans="1:27" ht="14.45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</row>
    <row r="619" spans="1:27" ht="14.45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</row>
    <row r="620" spans="1:27" ht="14.45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</row>
    <row r="621" spans="1:27" ht="14.45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</row>
    <row r="622" spans="1:27" ht="14.45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</row>
    <row r="623" spans="1:27" ht="14.45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</row>
    <row r="624" spans="1:27" ht="14.45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</row>
    <row r="625" spans="1:27" ht="14.4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</row>
    <row r="626" spans="1:27" ht="14.45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</row>
    <row r="627" spans="1:27" ht="14.45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</row>
    <row r="628" spans="1:27" ht="14.45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</row>
    <row r="629" spans="1:27" ht="14.45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</row>
    <row r="630" spans="1:27" ht="14.45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</row>
    <row r="631" spans="1:27" ht="14.45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</row>
    <row r="632" spans="1:27" ht="14.45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</row>
    <row r="633" spans="1:27" ht="14.45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</row>
    <row r="634" spans="1:27" ht="14.45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</row>
    <row r="635" spans="1:27" ht="14.4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</row>
    <row r="636" spans="1:27" ht="14.45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</row>
    <row r="637" spans="1:27" ht="14.45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</row>
    <row r="638" spans="1:27" ht="14.45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</row>
    <row r="639" spans="1:27" ht="14.45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</row>
    <row r="640" spans="1:27" ht="14.45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</row>
    <row r="641" spans="1:27" ht="14.45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</row>
    <row r="642" spans="1:27" ht="14.45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</row>
    <row r="643" spans="1:27" ht="14.45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</row>
    <row r="644" spans="1:27" ht="14.45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</row>
    <row r="645" spans="1:27" ht="14.4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</row>
    <row r="646" spans="1:27" ht="14.45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</row>
    <row r="647" spans="1:27" ht="14.45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</row>
    <row r="648" spans="1:27" ht="14.45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</row>
    <row r="649" spans="1:27" ht="14.45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</row>
    <row r="650" spans="1:27" ht="14.45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</row>
    <row r="651" spans="1:27" ht="14.45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</row>
    <row r="652" spans="1:27" ht="14.45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</row>
    <row r="653" spans="1:27" ht="14.45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</row>
    <row r="654" spans="1:27" ht="14.45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</row>
    <row r="655" spans="1:27" ht="14.4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</row>
    <row r="656" spans="1:27" ht="14.45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</row>
    <row r="657" spans="1:27" ht="14.45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</row>
    <row r="658" spans="1:27" ht="14.45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</row>
    <row r="659" spans="1:27" ht="14.45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</row>
    <row r="660" spans="1:27" ht="14.45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</row>
    <row r="661" spans="1:27" ht="14.45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</row>
    <row r="662" spans="1:27" ht="14.45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</row>
    <row r="663" spans="1:27" ht="14.45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</row>
    <row r="664" spans="1:27" ht="14.45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</row>
    <row r="665" spans="1:27" ht="14.4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</row>
    <row r="666" spans="1:27" ht="14.45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</row>
    <row r="667" spans="1:27" ht="14.45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</row>
    <row r="668" spans="1:27" ht="14.45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</row>
    <row r="669" spans="1:27" ht="14.45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</row>
    <row r="670" spans="1:27" ht="14.45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</row>
    <row r="671" spans="1:27" ht="14.45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</row>
    <row r="672" spans="1:27" ht="14.45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</row>
    <row r="673" spans="1:27" ht="14.45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</row>
    <row r="674" spans="1:27" ht="14.45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</row>
    <row r="675" spans="1:27" ht="14.4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</row>
    <row r="676" spans="1:27" ht="14.45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</row>
    <row r="677" spans="1:27" ht="14.45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</row>
    <row r="678" spans="1:27" ht="14.45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</row>
    <row r="679" spans="1:27" ht="14.45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</row>
    <row r="680" spans="1:27" ht="14.45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</row>
    <row r="681" spans="1:27" ht="14.45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</row>
    <row r="682" spans="1:27" ht="14.45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</row>
    <row r="683" spans="1:27" ht="14.45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</row>
    <row r="684" spans="1:27" ht="14.45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</row>
    <row r="685" spans="1:27" ht="14.4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</row>
    <row r="686" spans="1:27" ht="14.45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</row>
    <row r="687" spans="1:27" ht="14.45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</row>
    <row r="688" spans="1:27" ht="14.45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</row>
    <row r="689" spans="1:27" ht="14.45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</row>
    <row r="690" spans="1:27" ht="14.45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</row>
    <row r="691" spans="1:27" ht="14.45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</row>
    <row r="692" spans="1:27" ht="14.45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</row>
    <row r="693" spans="1:27" ht="14.45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</row>
    <row r="694" spans="1:27" ht="14.45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</row>
    <row r="695" spans="1:27" ht="14.4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</row>
    <row r="696" spans="1:27" ht="14.45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</row>
    <row r="697" spans="1:27" ht="14.45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</row>
    <row r="698" spans="1:27" ht="14.45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</row>
    <row r="699" spans="1:27" ht="14.45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</row>
    <row r="700" spans="1:27" ht="14.45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</row>
    <row r="701" spans="1:27" ht="14.45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</row>
    <row r="702" spans="1:27" ht="14.45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</row>
    <row r="703" spans="1:27" ht="14.45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</row>
    <row r="704" spans="1:27" ht="14.45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</row>
    <row r="705" spans="1:27" ht="14.4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</row>
    <row r="706" spans="1:27" ht="14.45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</row>
    <row r="707" spans="1:27" ht="14.45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</row>
    <row r="708" spans="1:27" ht="14.45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</row>
    <row r="709" spans="1:27" ht="14.45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</row>
    <row r="710" spans="1:27" ht="14.45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</row>
    <row r="711" spans="1:27" ht="14.45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</row>
    <row r="712" spans="1:27" ht="14.45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</row>
    <row r="713" spans="1:27" ht="14.45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</row>
    <row r="714" spans="1:27" ht="14.45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</row>
    <row r="715" spans="1:27" ht="14.4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</row>
    <row r="716" spans="1:27" ht="14.45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</row>
    <row r="717" spans="1:27" ht="14.45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</row>
    <row r="718" spans="1:27" ht="14.45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</row>
    <row r="719" spans="1:27" ht="14.45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</row>
    <row r="720" spans="1:27" ht="14.45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</row>
    <row r="721" spans="1:27" ht="14.45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</row>
    <row r="722" spans="1:27" ht="14.45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</row>
    <row r="723" spans="1:27" ht="14.45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</row>
    <row r="724" spans="1:27" ht="14.45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</row>
    <row r="725" spans="1:27" ht="14.4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</row>
    <row r="726" spans="1:27" ht="14.45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</row>
    <row r="727" spans="1:27" ht="14.45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</row>
    <row r="728" spans="1:27" ht="14.45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</row>
    <row r="729" spans="1:27" ht="14.45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</row>
    <row r="730" spans="1:27" ht="14.45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</row>
    <row r="731" spans="1:27" ht="14.45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</row>
    <row r="732" spans="1:27" ht="14.45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</row>
    <row r="733" spans="1:27" ht="14.45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</row>
    <row r="734" spans="1:27" ht="14.45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</row>
    <row r="735" spans="1:27" ht="14.4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</row>
    <row r="736" spans="1:27" ht="14.45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</row>
    <row r="737" spans="1:27" ht="14.45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</row>
    <row r="738" spans="1:27" ht="14.45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</row>
    <row r="739" spans="1:27" ht="14.45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</row>
    <row r="740" spans="1:27" ht="14.45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</row>
    <row r="741" spans="1:27" ht="14.45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</row>
    <row r="742" spans="1:27" ht="14.45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</row>
    <row r="743" spans="1:27" ht="14.45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</row>
    <row r="744" spans="1:27" ht="14.45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</row>
    <row r="745" spans="1:27" ht="14.4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</row>
    <row r="746" spans="1:27" ht="14.45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</row>
    <row r="747" spans="1:27" ht="14.45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</row>
    <row r="748" spans="1:27" ht="14.45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</row>
    <row r="749" spans="1:27" ht="14.45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</row>
    <row r="750" spans="1:27" ht="14.45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</row>
    <row r="751" spans="1:27" ht="14.45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</row>
    <row r="752" spans="1:27" ht="14.45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</row>
    <row r="753" spans="1:27" ht="14.45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</row>
    <row r="754" spans="1:27" ht="14.45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</row>
    <row r="755" spans="1:27" ht="14.4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</row>
    <row r="756" spans="1:27" ht="14.45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</row>
    <row r="757" spans="1:27" ht="14.45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</row>
    <row r="758" spans="1:27" ht="14.45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</row>
    <row r="759" spans="1:27" ht="14.45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</row>
    <row r="760" spans="1:27" ht="14.45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</row>
    <row r="761" spans="1:27" ht="14.45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</row>
    <row r="762" spans="1:27" ht="14.45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</row>
    <row r="763" spans="1:27" ht="14.45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</row>
    <row r="764" spans="1:27" ht="14.45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</row>
    <row r="765" spans="1:27" ht="14.4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</row>
    <row r="766" spans="1:27" ht="14.45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</row>
    <row r="767" spans="1:27" ht="14.45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</row>
    <row r="768" spans="1:27" ht="14.45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</row>
    <row r="769" spans="1:27" ht="14.45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</row>
    <row r="770" spans="1:27" ht="14.45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</row>
    <row r="771" spans="1:27" ht="14.45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</row>
    <row r="772" spans="1:27" ht="14.45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</row>
    <row r="773" spans="1:27" ht="14.45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</row>
    <row r="774" spans="1:27" ht="14.45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</row>
    <row r="775" spans="1:27" ht="14.4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</row>
    <row r="776" spans="1:27" ht="14.45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</row>
    <row r="777" spans="1:27" ht="14.45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</row>
    <row r="778" spans="1:27" ht="14.45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</row>
    <row r="779" spans="1:27" ht="14.45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</row>
    <row r="780" spans="1:27" ht="14.45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</row>
    <row r="781" spans="1:27" ht="14.45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</row>
    <row r="782" spans="1:27" ht="14.45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</row>
    <row r="783" spans="1:27" ht="14.45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</row>
    <row r="784" spans="1:27" ht="14.45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</row>
    <row r="785" spans="1:27" ht="14.4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</row>
    <row r="786" spans="1:27" ht="14.45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</row>
    <row r="787" spans="1:27" ht="14.45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</row>
    <row r="788" spans="1:27" ht="14.45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</row>
    <row r="789" spans="1:27" ht="14.45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</row>
    <row r="790" spans="1:27" ht="14.45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</row>
    <row r="791" spans="1:27" ht="14.45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</row>
    <row r="792" spans="1:27" ht="14.45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</row>
    <row r="793" spans="1:27" ht="14.45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</row>
    <row r="794" spans="1:27" ht="14.45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</row>
    <row r="795" spans="1:27" ht="14.4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</row>
    <row r="796" spans="1:27" ht="14.45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</row>
    <row r="797" spans="1:27" ht="14.45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</row>
    <row r="798" spans="1:27" ht="14.45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</row>
    <row r="799" spans="1:27" ht="14.45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</row>
    <row r="800" spans="1:27" ht="14.45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</row>
    <row r="801" spans="1:27" ht="14.45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</row>
    <row r="802" spans="1:27" ht="14.45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</row>
    <row r="803" spans="1:27" ht="14.45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</row>
    <row r="804" spans="1:27" ht="14.45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</row>
    <row r="805" spans="1:27" ht="14.4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</row>
    <row r="806" spans="1:27" ht="14.45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</row>
    <row r="807" spans="1:27" ht="14.45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</row>
    <row r="808" spans="1:27" ht="14.45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</row>
    <row r="809" spans="1:27" ht="14.45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</row>
    <row r="810" spans="1:27" ht="14.45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</row>
    <row r="811" spans="1:27" ht="14.45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</row>
    <row r="812" spans="1:27" ht="14.45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</row>
    <row r="813" spans="1:27" ht="14.45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</row>
    <row r="814" spans="1:27" ht="14.45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</row>
    <row r="815" spans="1:27" ht="14.4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</row>
    <row r="816" spans="1:27" ht="14.45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</row>
    <row r="817" spans="1:27" ht="14.45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</row>
    <row r="818" spans="1:27" ht="14.45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</row>
    <row r="819" spans="1:27" ht="14.45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</row>
    <row r="820" spans="1:27" ht="14.45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</row>
    <row r="821" spans="1:27" ht="14.45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</row>
    <row r="822" spans="1:27" ht="14.45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</row>
    <row r="823" spans="1:27" ht="14.45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</row>
    <row r="824" spans="1:27" ht="14.45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</row>
    <row r="825" spans="1:27" ht="14.4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</row>
    <row r="826" spans="1:27" ht="14.45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</row>
    <row r="827" spans="1:27" ht="14.45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</row>
    <row r="828" spans="1:27" ht="14.45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</row>
    <row r="829" spans="1:27" ht="14.45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</row>
    <row r="830" spans="1:27" ht="14.45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</row>
    <row r="831" spans="1:27" ht="14.45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</row>
    <row r="832" spans="1:27" ht="14.45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</row>
    <row r="833" spans="1:27" ht="14.45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</row>
    <row r="834" spans="1:27" ht="14.45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</row>
    <row r="835" spans="1:27" ht="14.4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</row>
    <row r="836" spans="1:27" ht="14.45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</row>
    <row r="837" spans="1:27" ht="14.45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</row>
    <row r="838" spans="1:27" ht="14.45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</row>
    <row r="839" spans="1:27" ht="14.45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</row>
    <row r="840" spans="1:27" ht="14.45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</row>
    <row r="841" spans="1:27" ht="14.45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</row>
    <row r="842" spans="1:27" ht="14.45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</row>
    <row r="843" spans="1:27" ht="14.45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</row>
    <row r="844" spans="1:27" ht="14.45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</row>
    <row r="845" spans="1:27" ht="14.4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</row>
    <row r="846" spans="1:27" ht="14.45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</row>
    <row r="847" spans="1:27" ht="14.45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</row>
    <row r="848" spans="1:27" ht="14.45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</row>
    <row r="849" spans="1:27" ht="14.45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</row>
    <row r="850" spans="1:27" ht="14.45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</row>
    <row r="851" spans="1:27" ht="14.45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</row>
    <row r="852" spans="1:27" ht="14.45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</row>
    <row r="853" spans="1:27" ht="14.45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</row>
    <row r="854" spans="1:27" ht="14.45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</row>
    <row r="855" spans="1:27" ht="14.4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</row>
    <row r="856" spans="1:27" ht="14.45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</row>
    <row r="857" spans="1:27" ht="14.45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</row>
    <row r="858" spans="1:27" ht="14.45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</row>
    <row r="859" spans="1:27" ht="14.45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</row>
    <row r="860" spans="1:27" ht="14.45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</row>
    <row r="861" spans="1:27" ht="14.45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</row>
    <row r="862" spans="1:27" ht="14.45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</row>
    <row r="863" spans="1:27" ht="14.45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</row>
    <row r="864" spans="1:27" ht="14.45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</row>
    <row r="865" spans="1:27" ht="14.4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</row>
    <row r="866" spans="1:27" ht="14.45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</row>
    <row r="867" spans="1:27" ht="14.45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</row>
    <row r="868" spans="1:27" ht="14.45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</row>
    <row r="869" spans="1:27" ht="14.45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</row>
    <row r="870" spans="1:27" ht="14.45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</row>
    <row r="871" spans="1:27" ht="14.45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</row>
    <row r="872" spans="1:27" ht="14.45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</row>
    <row r="873" spans="1:27" ht="14.45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</row>
    <row r="874" spans="1:27" ht="14.45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</row>
    <row r="875" spans="1:27" ht="14.4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</row>
    <row r="876" spans="1:27" ht="14.45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</row>
    <row r="877" spans="1:27" ht="14.45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</row>
    <row r="878" spans="1:27" ht="14.45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</row>
    <row r="879" spans="1:27" ht="14.45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</row>
    <row r="880" spans="1:27" ht="14.45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</row>
    <row r="881" spans="1:27" ht="14.45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</row>
    <row r="882" spans="1:27" ht="14.45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</row>
    <row r="883" spans="1:27" ht="14.45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</row>
    <row r="884" spans="1:27" ht="14.45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</row>
    <row r="885" spans="1:27" ht="14.4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</row>
    <row r="886" spans="1:27" ht="14.45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</row>
    <row r="887" spans="1:27" ht="14.45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</row>
    <row r="888" spans="1:27" ht="14.45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</row>
    <row r="889" spans="1:27" ht="14.45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</row>
    <row r="890" spans="1:27" ht="14.45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</row>
    <row r="891" spans="1:27" ht="14.45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</row>
    <row r="892" spans="1:27" ht="14.45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</row>
    <row r="893" spans="1:27" ht="14.45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</row>
    <row r="894" spans="1:27" ht="14.45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</row>
    <row r="895" spans="1:27" ht="14.4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</row>
    <row r="896" spans="1:27" ht="14.45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</row>
    <row r="897" spans="1:27" ht="14.45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</row>
    <row r="898" spans="1:27" ht="14.45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</row>
    <row r="899" spans="1:27" ht="14.45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</row>
    <row r="900" spans="1:27" ht="14.45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</row>
    <row r="901" spans="1:27" ht="14.45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</row>
    <row r="902" spans="1:27" ht="14.45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</row>
    <row r="903" spans="1:27" ht="14.45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</row>
    <row r="904" spans="1:27" ht="14.45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</row>
    <row r="905" spans="1:27" ht="14.4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</row>
    <row r="906" spans="1:27" ht="14.45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</row>
    <row r="907" spans="1:27" ht="14.45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</row>
    <row r="908" spans="1:27" ht="14.45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</row>
    <row r="909" spans="1:27" ht="14.45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</row>
    <row r="910" spans="1:27" ht="14.45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</row>
    <row r="911" spans="1:27" ht="14.45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</row>
    <row r="912" spans="1:27" ht="14.45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</row>
    <row r="913" spans="1:27" ht="14.45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</row>
    <row r="914" spans="1:27" ht="14.45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</row>
    <row r="915" spans="1:27" ht="14.4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</row>
    <row r="916" spans="1:27" ht="14.45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</row>
    <row r="917" spans="1:27" ht="14.45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</row>
    <row r="918" spans="1:27" ht="14.45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</row>
    <row r="919" spans="1:27" ht="14.45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</row>
    <row r="920" spans="1:27" ht="14.45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</row>
    <row r="921" spans="1:27" ht="14.45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</row>
    <row r="922" spans="1:27" ht="14.45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</row>
    <row r="923" spans="1:27" ht="14.45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</row>
    <row r="924" spans="1:27" ht="14.45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</row>
    <row r="925" spans="1:27" ht="14.4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</row>
    <row r="926" spans="1:27" ht="14.45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</row>
    <row r="927" spans="1:27" ht="14.45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</row>
    <row r="928" spans="1:27" ht="14.45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</row>
    <row r="929" spans="1:27" ht="14.45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</row>
    <row r="930" spans="1:27" ht="14.45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</row>
    <row r="931" spans="1:27" ht="14.45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</row>
    <row r="932" spans="1:27" ht="14.45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</row>
    <row r="933" spans="1:27" ht="14.45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</row>
    <row r="934" spans="1:27" ht="14.45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</row>
    <row r="935" spans="1:27" ht="14.4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</row>
    <row r="936" spans="1:27" ht="14.45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</row>
    <row r="937" spans="1:27" ht="14.45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</row>
    <row r="938" spans="1:27" ht="14.45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</row>
    <row r="939" spans="1:27" ht="14.45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</row>
    <row r="940" spans="1:27" ht="14.45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</row>
    <row r="941" spans="1:27" ht="14.45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</row>
    <row r="942" spans="1:27" ht="14.45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</row>
    <row r="943" spans="1:27" ht="14.45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</row>
    <row r="944" spans="1:27" ht="14.45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</row>
    <row r="945" spans="1:27" ht="14.4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</row>
    <row r="946" spans="1:27" ht="14.45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</row>
    <row r="947" spans="1:27" ht="14.45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</row>
    <row r="948" spans="1:27" ht="14.45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</row>
    <row r="949" spans="1:27" ht="14.45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</row>
    <row r="950" spans="1:27" ht="14.45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</row>
    <row r="951" spans="1:27" ht="14.45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</row>
    <row r="952" spans="1:27" ht="14.45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</row>
    <row r="953" spans="1:27" ht="14.45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</row>
    <row r="954" spans="1:27" ht="14.45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</row>
    <row r="955" spans="1:27" ht="14.4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</row>
    <row r="956" spans="1:27" ht="14.45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</row>
    <row r="957" spans="1:27" ht="14.45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</row>
    <row r="958" spans="1:27" ht="14.45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</row>
    <row r="959" spans="1:27" ht="14.45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</row>
    <row r="960" spans="1:27" ht="14.45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</row>
    <row r="961" spans="1:27" ht="14.45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</row>
    <row r="962" spans="1:27" ht="14.45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</row>
    <row r="963" spans="1:27" ht="14.45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</row>
    <row r="964" spans="1:27" ht="14.45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</row>
  </sheetData>
  <mergeCells count="9">
    <mergeCell ref="B257:G257"/>
    <mergeCell ref="B289:G289"/>
    <mergeCell ref="B1:G1"/>
    <mergeCell ref="B2:G2"/>
    <mergeCell ref="B52:G52"/>
    <mergeCell ref="B61:G61"/>
    <mergeCell ref="B77:G77"/>
    <mergeCell ref="B115:G115"/>
    <mergeCell ref="B129:G12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C948-92D8-4274-9DF1-48526366124B}">
  <sheetPr>
    <tabColor rgb="FF7030A0"/>
    <outlinePr summaryBelow="0" summaryRight="0"/>
  </sheetPr>
  <dimension ref="A1:AA677"/>
  <sheetViews>
    <sheetView topLeftCell="A11" workbookViewId="0">
      <selection activeCell="B4" sqref="B4"/>
    </sheetView>
  </sheetViews>
  <sheetFormatPr defaultColWidth="12.7109375" defaultRowHeight="15.75" customHeight="1"/>
  <cols>
    <col min="1" max="2" width="6.7109375" style="79" customWidth="1"/>
    <col min="3" max="3" width="2.28515625" style="79" customWidth="1"/>
    <col min="4" max="4" width="34.7109375" style="79" customWidth="1"/>
    <col min="5" max="6" width="4.7109375" style="79" customWidth="1"/>
    <col min="7" max="7" width="6.7109375" style="79" customWidth="1"/>
    <col min="8" max="8" width="14.7109375" style="125" customWidth="1"/>
    <col min="9" max="10" width="9.140625" style="79"/>
    <col min="11" max="16384" width="12.7109375" style="79"/>
  </cols>
  <sheetData>
    <row r="1" spans="1:27" ht="15.75" customHeight="1">
      <c r="A1" s="298" t="s">
        <v>825</v>
      </c>
      <c r="B1" s="303"/>
      <c r="C1" s="303"/>
      <c r="D1" s="303"/>
      <c r="E1" s="303"/>
      <c r="F1" s="303"/>
      <c r="G1" s="298"/>
      <c r="H1" s="298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</row>
    <row r="2" spans="1:27" ht="15.75" customHeight="1">
      <c r="A2" s="166" t="s">
        <v>299</v>
      </c>
      <c r="B2" s="303" t="s">
        <v>300</v>
      </c>
      <c r="C2" s="303"/>
      <c r="D2" s="303"/>
      <c r="E2" s="303"/>
      <c r="F2" s="303"/>
      <c r="G2" s="304" t="s">
        <v>695</v>
      </c>
      <c r="H2" s="298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</row>
    <row r="3" spans="1:27" ht="15.6">
      <c r="A3" s="167"/>
      <c r="B3" s="296" t="s">
        <v>826</v>
      </c>
      <c r="C3" s="296"/>
      <c r="D3" s="296"/>
      <c r="E3" s="296"/>
      <c r="F3" s="296"/>
      <c r="G3" s="305"/>
      <c r="H3" s="297"/>
      <c r="I3" s="193"/>
      <c r="J3" s="162"/>
      <c r="K3" s="162"/>
      <c r="L3" s="16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ht="15.75" customHeight="1">
      <c r="A4" s="161">
        <v>1</v>
      </c>
      <c r="B4" s="300" t="s">
        <v>720</v>
      </c>
      <c r="C4" s="301"/>
      <c r="D4" s="301"/>
      <c r="E4" s="301"/>
      <c r="F4" s="302"/>
      <c r="G4" s="294"/>
      <c r="H4" s="295"/>
      <c r="I4" s="193"/>
      <c r="J4" s="164"/>
      <c r="K4" s="164"/>
      <c r="L4" s="164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spans="1:27" ht="15.6">
      <c r="A5" s="161">
        <v>2</v>
      </c>
      <c r="B5" s="300" t="s">
        <v>725</v>
      </c>
      <c r="C5" s="301"/>
      <c r="D5" s="301"/>
      <c r="E5" s="301"/>
      <c r="F5" s="302"/>
      <c r="G5" s="295"/>
      <c r="H5" s="295"/>
      <c r="I5" s="193"/>
      <c r="J5" s="164"/>
      <c r="K5" s="211"/>
      <c r="L5" s="165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 ht="15.6">
      <c r="A6" s="161">
        <v>3</v>
      </c>
      <c r="B6" s="300" t="s">
        <v>728</v>
      </c>
      <c r="C6" s="301"/>
      <c r="D6" s="301"/>
      <c r="E6" s="301"/>
      <c r="F6" s="302"/>
      <c r="G6" s="295"/>
      <c r="H6" s="295"/>
      <c r="I6" s="193"/>
      <c r="J6" s="164"/>
      <c r="K6" s="211"/>
      <c r="L6" s="104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 ht="15.6">
      <c r="A7" s="161">
        <v>4</v>
      </c>
      <c r="B7" s="300" t="s">
        <v>729</v>
      </c>
      <c r="C7" s="301"/>
      <c r="D7" s="301"/>
      <c r="E7" s="301"/>
      <c r="F7" s="302"/>
      <c r="G7" s="295"/>
      <c r="H7" s="295"/>
      <c r="I7" s="193"/>
      <c r="J7" s="164"/>
      <c r="K7" s="211"/>
      <c r="L7" s="104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 ht="15.6">
      <c r="A8" s="161">
        <v>5</v>
      </c>
      <c r="B8" s="300" t="s">
        <v>730</v>
      </c>
      <c r="C8" s="301"/>
      <c r="D8" s="301"/>
      <c r="E8" s="301"/>
      <c r="F8" s="302"/>
      <c r="G8" s="295"/>
      <c r="H8" s="295"/>
      <c r="I8" s="193"/>
      <c r="J8" s="164"/>
      <c r="K8" s="211"/>
      <c r="L8" s="104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15.6">
      <c r="A9" s="161">
        <v>6</v>
      </c>
      <c r="B9" s="300" t="s">
        <v>731</v>
      </c>
      <c r="C9" s="301"/>
      <c r="D9" s="301"/>
      <c r="E9" s="301"/>
      <c r="F9" s="302"/>
      <c r="G9" s="295"/>
      <c r="H9" s="295"/>
      <c r="I9" s="193"/>
      <c r="J9" s="164"/>
      <c r="K9" s="211"/>
      <c r="L9" s="104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 ht="15.6">
      <c r="A10" s="161">
        <v>7</v>
      </c>
      <c r="B10" s="300" t="s">
        <v>732</v>
      </c>
      <c r="C10" s="301"/>
      <c r="D10" s="301"/>
      <c r="E10" s="301"/>
      <c r="F10" s="302"/>
      <c r="G10" s="295"/>
      <c r="H10" s="295"/>
      <c r="I10" s="193"/>
      <c r="J10" s="164"/>
      <c r="K10" s="211"/>
      <c r="L10" s="104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ht="15.6">
      <c r="A11" s="161">
        <v>8</v>
      </c>
      <c r="B11" s="300" t="s">
        <v>736</v>
      </c>
      <c r="C11" s="301"/>
      <c r="D11" s="301"/>
      <c r="E11" s="301"/>
      <c r="F11" s="302"/>
      <c r="G11" s="295"/>
      <c r="H11" s="295"/>
      <c r="I11" s="193"/>
      <c r="J11" s="164"/>
      <c r="K11" s="211"/>
      <c r="L11" s="104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ht="15.6">
      <c r="A12" s="161">
        <v>9</v>
      </c>
      <c r="B12" s="300" t="s">
        <v>738</v>
      </c>
      <c r="C12" s="301"/>
      <c r="D12" s="301"/>
      <c r="E12" s="301"/>
      <c r="F12" s="302"/>
      <c r="G12" s="295"/>
      <c r="H12" s="295"/>
      <c r="I12" s="193"/>
      <c r="J12" s="164"/>
      <c r="K12" s="211"/>
      <c r="L12" s="104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spans="1:27" ht="15.6">
      <c r="A13" s="161">
        <v>10</v>
      </c>
      <c r="B13" s="300" t="s">
        <v>739</v>
      </c>
      <c r="C13" s="301"/>
      <c r="D13" s="301"/>
      <c r="E13" s="301"/>
      <c r="F13" s="302"/>
      <c r="G13" s="295"/>
      <c r="H13" s="295"/>
      <c r="I13" s="193"/>
      <c r="J13" s="164"/>
      <c r="K13" s="211"/>
      <c r="L13" s="104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ht="15.6">
      <c r="A14" s="161">
        <v>11</v>
      </c>
      <c r="B14" s="300" t="s">
        <v>743</v>
      </c>
      <c r="C14" s="301"/>
      <c r="D14" s="301"/>
      <c r="E14" s="301"/>
      <c r="F14" s="302"/>
      <c r="G14" s="295"/>
      <c r="H14" s="295"/>
      <c r="I14" s="193"/>
      <c r="J14" s="164"/>
      <c r="K14" s="211"/>
      <c r="L14" s="104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.6">
      <c r="A15" s="161">
        <v>12</v>
      </c>
      <c r="B15" s="300" t="s">
        <v>747</v>
      </c>
      <c r="C15" s="301"/>
      <c r="D15" s="301"/>
      <c r="E15" s="301"/>
      <c r="F15" s="302"/>
      <c r="G15" s="295"/>
      <c r="H15" s="295"/>
      <c r="I15" s="193"/>
      <c r="J15" s="164"/>
      <c r="K15" s="211"/>
      <c r="L15" s="104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.6">
      <c r="A16" s="161">
        <v>13</v>
      </c>
      <c r="B16" s="300" t="s">
        <v>752</v>
      </c>
      <c r="C16" s="301"/>
      <c r="D16" s="301"/>
      <c r="E16" s="301"/>
      <c r="F16" s="302"/>
      <c r="G16" s="295"/>
      <c r="H16" s="295"/>
      <c r="I16" s="193"/>
      <c r="J16" s="164"/>
      <c r="K16" s="211"/>
      <c r="L16" s="104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27" ht="15.6">
      <c r="A17" s="161">
        <v>14</v>
      </c>
      <c r="B17" s="300" t="s">
        <v>499</v>
      </c>
      <c r="C17" s="301"/>
      <c r="D17" s="301"/>
      <c r="E17" s="301"/>
      <c r="F17" s="302"/>
      <c r="G17" s="295"/>
      <c r="H17" s="295"/>
      <c r="I17" s="193"/>
      <c r="J17" s="164"/>
      <c r="K17" s="211"/>
      <c r="L17" s="104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7" ht="15.6">
      <c r="A18" s="161">
        <v>15</v>
      </c>
      <c r="B18" s="300" t="s">
        <v>756</v>
      </c>
      <c r="C18" s="301"/>
      <c r="D18" s="301"/>
      <c r="E18" s="301"/>
      <c r="F18" s="302"/>
      <c r="G18" s="295"/>
      <c r="H18" s="295"/>
      <c r="I18" s="193"/>
      <c r="J18" s="164"/>
      <c r="K18" s="211"/>
      <c r="L18" s="104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 spans="1:27" ht="15.6">
      <c r="A19" s="213"/>
      <c r="B19" s="306" t="s">
        <v>827</v>
      </c>
      <c r="C19" s="307"/>
      <c r="D19" s="307"/>
      <c r="E19" s="307"/>
      <c r="F19" s="308"/>
      <c r="G19" s="297"/>
      <c r="H19" s="297"/>
      <c r="I19" s="193"/>
      <c r="J19" s="164"/>
      <c r="K19" s="211"/>
      <c r="L19" s="104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 spans="1:27" ht="15.6">
      <c r="A20" s="161">
        <v>1</v>
      </c>
      <c r="B20" s="300" t="s">
        <v>759</v>
      </c>
      <c r="C20" s="301"/>
      <c r="D20" s="301"/>
      <c r="E20" s="301"/>
      <c r="F20" s="302"/>
      <c r="G20" s="294"/>
      <c r="H20" s="295"/>
      <c r="I20" s="193"/>
      <c r="J20" s="164"/>
      <c r="K20" s="211"/>
      <c r="L20" s="104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  <row r="21" spans="1:27" ht="15.6">
      <c r="A21" s="161">
        <v>2</v>
      </c>
      <c r="B21" s="300" t="s">
        <v>761</v>
      </c>
      <c r="C21" s="301"/>
      <c r="D21" s="301"/>
      <c r="E21" s="301"/>
      <c r="F21" s="302"/>
      <c r="G21" s="295"/>
      <c r="H21" s="295"/>
      <c r="I21" s="193"/>
      <c r="J21" s="197"/>
      <c r="K21" s="104"/>
      <c r="L21" s="104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</row>
    <row r="22" spans="1:27" ht="15.6">
      <c r="A22" s="161">
        <v>3</v>
      </c>
      <c r="B22" s="300" t="s">
        <v>762</v>
      </c>
      <c r="C22" s="301"/>
      <c r="D22" s="301"/>
      <c r="E22" s="301"/>
      <c r="F22" s="302"/>
      <c r="G22" s="295"/>
      <c r="H22" s="295"/>
      <c r="I22" s="193"/>
      <c r="J22" s="165"/>
      <c r="K22" s="104"/>
      <c r="L22" s="72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</row>
    <row r="23" spans="1:27" ht="15.6">
      <c r="A23" s="161">
        <v>4</v>
      </c>
      <c r="B23" s="300" t="s">
        <v>765</v>
      </c>
      <c r="C23" s="301"/>
      <c r="D23" s="301"/>
      <c r="E23" s="301"/>
      <c r="F23" s="302"/>
      <c r="G23" s="295"/>
      <c r="H23" s="295"/>
      <c r="I23" s="193"/>
      <c r="J23" s="165"/>
      <c r="K23" s="165"/>
      <c r="L23" s="165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spans="1:27" ht="15.6">
      <c r="A24" s="161">
        <v>5</v>
      </c>
      <c r="B24" s="300" t="s">
        <v>766</v>
      </c>
      <c r="C24" s="301"/>
      <c r="D24" s="301"/>
      <c r="E24" s="301"/>
      <c r="F24" s="302"/>
      <c r="G24" s="295"/>
      <c r="H24" s="295"/>
      <c r="I24" s="193"/>
      <c r="J24" s="164"/>
      <c r="K24" s="197"/>
      <c r="L24" s="72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spans="1:27" ht="15.6">
      <c r="A25" s="161">
        <v>6</v>
      </c>
      <c r="B25" s="300" t="s">
        <v>771</v>
      </c>
      <c r="C25" s="301"/>
      <c r="D25" s="301"/>
      <c r="E25" s="301"/>
      <c r="F25" s="302"/>
      <c r="G25" s="295"/>
      <c r="H25" s="295"/>
      <c r="I25" s="193"/>
      <c r="J25" s="164"/>
      <c r="K25" s="164"/>
      <c r="L25" s="164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spans="1:27" ht="15.6">
      <c r="A26" s="161">
        <v>7</v>
      </c>
      <c r="B26" s="300" t="s">
        <v>777</v>
      </c>
      <c r="C26" s="301"/>
      <c r="D26" s="301"/>
      <c r="E26" s="301"/>
      <c r="F26" s="302"/>
      <c r="G26" s="295"/>
      <c r="H26" s="295"/>
      <c r="I26" s="193"/>
      <c r="J26" s="164"/>
      <c r="K26" s="104"/>
      <c r="L26" s="104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spans="1:27" ht="15.6">
      <c r="A27" s="161">
        <v>8</v>
      </c>
      <c r="B27" s="300" t="s">
        <v>497</v>
      </c>
      <c r="C27" s="301"/>
      <c r="D27" s="301"/>
      <c r="E27" s="301"/>
      <c r="F27" s="302"/>
      <c r="G27" s="295"/>
      <c r="H27" s="295"/>
      <c r="I27" s="193"/>
      <c r="J27" s="164"/>
      <c r="K27" s="104"/>
      <c r="L27" s="104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spans="1:27" ht="15.6">
      <c r="A28" s="161">
        <v>9</v>
      </c>
      <c r="B28" s="300" t="s">
        <v>779</v>
      </c>
      <c r="C28" s="301"/>
      <c r="D28" s="301"/>
      <c r="E28" s="301"/>
      <c r="F28" s="302"/>
      <c r="G28" s="295"/>
      <c r="H28" s="295"/>
      <c r="I28" s="193"/>
      <c r="J28" s="164"/>
      <c r="K28" s="104"/>
      <c r="L28" s="104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spans="1:27" ht="15.6">
      <c r="A29" s="161">
        <v>10</v>
      </c>
      <c r="B29" s="300" t="s">
        <v>781</v>
      </c>
      <c r="C29" s="301"/>
      <c r="D29" s="301"/>
      <c r="E29" s="301"/>
      <c r="F29" s="302"/>
      <c r="G29" s="295"/>
      <c r="H29" s="295"/>
      <c r="I29" s="193"/>
      <c r="J29" s="164"/>
      <c r="K29" s="104"/>
      <c r="L29" s="104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spans="1:27" ht="15.6">
      <c r="A30" s="161">
        <v>11</v>
      </c>
      <c r="B30" s="300" t="s">
        <v>782</v>
      </c>
      <c r="C30" s="301"/>
      <c r="D30" s="301"/>
      <c r="E30" s="301"/>
      <c r="F30" s="302"/>
      <c r="G30" s="295"/>
      <c r="H30" s="295"/>
      <c r="I30" s="193"/>
      <c r="J30" s="164"/>
      <c r="K30" s="104"/>
      <c r="L30" s="104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</row>
    <row r="31" spans="1:27" ht="15.6">
      <c r="A31" s="161">
        <v>12</v>
      </c>
      <c r="B31" s="300" t="s">
        <v>784</v>
      </c>
      <c r="C31" s="301"/>
      <c r="D31" s="301"/>
      <c r="E31" s="301"/>
      <c r="F31" s="302"/>
      <c r="G31" s="295"/>
      <c r="H31" s="295"/>
      <c r="I31" s="193"/>
      <c r="J31" s="164"/>
      <c r="K31" s="104"/>
      <c r="L31" s="104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</row>
    <row r="32" spans="1:27" ht="15.6">
      <c r="A32" s="161">
        <v>13</v>
      </c>
      <c r="B32" s="300" t="s">
        <v>785</v>
      </c>
      <c r="C32" s="301"/>
      <c r="D32" s="301"/>
      <c r="E32" s="301"/>
      <c r="F32" s="302"/>
      <c r="G32" s="295"/>
      <c r="H32" s="295"/>
      <c r="I32" s="193"/>
      <c r="J32" s="164"/>
      <c r="K32" s="104"/>
      <c r="L32" s="104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</row>
    <row r="33" spans="1:27" ht="15.6">
      <c r="A33" s="161">
        <v>14</v>
      </c>
      <c r="B33" s="300" t="s">
        <v>786</v>
      </c>
      <c r="C33" s="301"/>
      <c r="D33" s="301"/>
      <c r="E33" s="301"/>
      <c r="F33" s="302"/>
      <c r="G33" s="295"/>
      <c r="H33" s="295"/>
      <c r="I33" s="193"/>
      <c r="J33" s="164"/>
      <c r="K33" s="104"/>
      <c r="L33" s="104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spans="1:27" ht="15.6">
      <c r="A34" s="193"/>
      <c r="B34" s="193"/>
      <c r="C34" s="193"/>
      <c r="D34" s="193"/>
      <c r="E34" s="193"/>
      <c r="F34" s="193"/>
      <c r="G34" s="193"/>
      <c r="H34" s="81"/>
      <c r="I34" s="193"/>
      <c r="J34" s="164"/>
      <c r="K34" s="104"/>
      <c r="L34" s="104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spans="1:27" ht="15.6">
      <c r="A35" s="193"/>
      <c r="B35" s="193"/>
      <c r="C35" s="193"/>
      <c r="D35" s="193"/>
      <c r="E35" s="193"/>
      <c r="F35" s="193"/>
      <c r="G35" s="193"/>
      <c r="H35" s="81"/>
      <c r="I35" s="193"/>
      <c r="J35" s="164"/>
      <c r="K35" s="104"/>
      <c r="L35" s="104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spans="1:27" ht="15.6">
      <c r="A36" s="193"/>
      <c r="B36" s="193"/>
      <c r="C36" s="193"/>
      <c r="D36" s="193"/>
      <c r="E36" s="193"/>
      <c r="F36" s="193"/>
      <c r="G36" s="193"/>
      <c r="H36" s="81"/>
      <c r="I36" s="193"/>
      <c r="J36" s="164"/>
      <c r="K36" s="104"/>
      <c r="L36" s="104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spans="1:27" ht="15.6">
      <c r="A37" s="193"/>
      <c r="B37" s="193"/>
      <c r="C37" s="193"/>
      <c r="D37" s="193"/>
      <c r="E37" s="193"/>
      <c r="F37" s="193"/>
      <c r="G37" s="193"/>
      <c r="H37" s="81"/>
      <c r="I37" s="193"/>
      <c r="J37" s="164"/>
      <c r="K37" s="104"/>
      <c r="L37" s="104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spans="1:27" ht="15.6">
      <c r="A38" s="193"/>
      <c r="B38" s="193"/>
      <c r="C38" s="193"/>
      <c r="D38" s="193"/>
      <c r="E38" s="193"/>
      <c r="F38" s="193"/>
      <c r="G38" s="193"/>
      <c r="H38" s="81"/>
      <c r="I38" s="193"/>
      <c r="J38" s="164"/>
      <c r="K38" s="104"/>
      <c r="L38" s="104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spans="1:27" ht="15.6">
      <c r="A39" s="193"/>
      <c r="B39" s="193"/>
      <c r="C39" s="193"/>
      <c r="D39" s="193"/>
      <c r="E39" s="193"/>
      <c r="F39" s="193"/>
      <c r="G39" s="193"/>
      <c r="H39" s="81"/>
      <c r="I39" s="193"/>
      <c r="J39" s="164"/>
      <c r="K39" s="104"/>
      <c r="L39" s="104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</row>
    <row r="40" spans="1:27" ht="15.6">
      <c r="A40" s="193"/>
      <c r="B40" s="193"/>
      <c r="C40" s="193"/>
      <c r="D40" s="193"/>
      <c r="E40" s="193"/>
      <c r="F40" s="193"/>
      <c r="G40" s="193"/>
      <c r="H40" s="81"/>
      <c r="I40" s="193"/>
      <c r="J40" s="197"/>
      <c r="K40" s="104"/>
      <c r="L40" s="104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spans="1:27" ht="15.6">
      <c r="A41" s="193"/>
      <c r="B41" s="193"/>
      <c r="C41" s="193"/>
      <c r="D41" s="193"/>
      <c r="E41" s="193"/>
      <c r="F41" s="193"/>
      <c r="G41" s="193"/>
      <c r="H41" s="81"/>
      <c r="I41" s="193"/>
      <c r="J41" s="165"/>
      <c r="K41" s="104"/>
      <c r="L41" s="72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</row>
    <row r="42" spans="1:27" ht="15.6">
      <c r="A42" s="193"/>
      <c r="B42" s="193"/>
      <c r="C42" s="193"/>
      <c r="D42" s="193"/>
      <c r="E42" s="193"/>
      <c r="F42" s="193"/>
      <c r="G42" s="193"/>
      <c r="H42" s="81"/>
      <c r="I42" s="193"/>
      <c r="J42" s="165"/>
      <c r="K42" s="165"/>
      <c r="L42" s="165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</row>
    <row r="43" spans="1:27" ht="15.6">
      <c r="A43" s="193"/>
      <c r="B43" s="193"/>
      <c r="C43" s="193"/>
      <c r="D43" s="193"/>
      <c r="E43" s="193"/>
      <c r="F43" s="193"/>
      <c r="G43" s="193"/>
      <c r="H43" s="81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spans="1:27" ht="15.6">
      <c r="A44" s="193"/>
      <c r="B44" s="193"/>
      <c r="C44" s="193"/>
      <c r="D44" s="193"/>
      <c r="E44" s="193"/>
      <c r="F44" s="193"/>
      <c r="G44" s="193"/>
      <c r="H44" s="81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spans="1:27" ht="15.6">
      <c r="A45" s="193"/>
      <c r="B45" s="193"/>
      <c r="C45" s="193"/>
      <c r="D45" s="193"/>
      <c r="E45" s="193"/>
      <c r="F45" s="193"/>
      <c r="G45" s="193"/>
      <c r="H45" s="8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spans="1:27" ht="15.6">
      <c r="A46" s="193"/>
      <c r="B46" s="193"/>
      <c r="C46" s="193"/>
      <c r="D46" s="193"/>
      <c r="E46" s="193"/>
      <c r="F46" s="193"/>
      <c r="G46" s="193"/>
      <c r="H46" s="81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spans="1:27" ht="15.6">
      <c r="A47" s="193"/>
      <c r="B47" s="193"/>
      <c r="C47" s="193"/>
      <c r="D47" s="193"/>
      <c r="E47" s="193"/>
      <c r="F47" s="193"/>
      <c r="G47" s="193"/>
      <c r="H47" s="81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spans="1:27" ht="15.6">
      <c r="A48" s="193"/>
      <c r="B48" s="193"/>
      <c r="C48" s="193"/>
      <c r="D48" s="193"/>
      <c r="E48" s="193"/>
      <c r="F48" s="193"/>
      <c r="G48" s="193"/>
      <c r="H48" s="81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spans="1:27" ht="15.6">
      <c r="A49" s="193"/>
      <c r="B49" s="193"/>
      <c r="C49" s="193"/>
      <c r="D49" s="193"/>
      <c r="E49" s="193"/>
      <c r="F49" s="193"/>
      <c r="G49" s="193"/>
      <c r="H49" s="8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spans="1:27" ht="15.6">
      <c r="A50" s="193"/>
      <c r="B50" s="193"/>
      <c r="C50" s="193"/>
      <c r="D50" s="193"/>
      <c r="E50" s="193"/>
      <c r="F50" s="193"/>
      <c r="G50" s="193"/>
      <c r="H50" s="81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spans="1:27" ht="15.6">
      <c r="A51" s="193"/>
      <c r="B51" s="193"/>
      <c r="C51" s="193"/>
      <c r="D51" s="193"/>
      <c r="E51" s="193"/>
      <c r="F51" s="193"/>
      <c r="G51" s="193"/>
      <c r="H51" s="81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spans="1:27" ht="15.6">
      <c r="A52" s="193"/>
      <c r="B52" s="193"/>
      <c r="C52" s="193"/>
      <c r="D52" s="193"/>
      <c r="E52" s="193"/>
      <c r="F52" s="193"/>
      <c r="G52" s="193"/>
      <c r="H52" s="81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spans="1:27" ht="15.6">
      <c r="A53" s="193"/>
      <c r="B53" s="193"/>
      <c r="C53" s="193"/>
      <c r="D53" s="193"/>
      <c r="E53" s="193"/>
      <c r="F53" s="193"/>
      <c r="G53" s="193"/>
      <c r="H53" s="81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spans="1:27" ht="15.6">
      <c r="A54" s="193"/>
      <c r="B54" s="193"/>
      <c r="C54" s="193"/>
      <c r="D54" s="193"/>
      <c r="E54" s="193"/>
      <c r="F54" s="193"/>
      <c r="G54" s="193"/>
      <c r="H54" s="81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spans="1:27" ht="15.6">
      <c r="A55" s="193"/>
      <c r="B55" s="193"/>
      <c r="C55" s="193"/>
      <c r="D55" s="193"/>
      <c r="E55" s="193"/>
      <c r="F55" s="193"/>
      <c r="G55" s="193"/>
      <c r="H55" s="81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spans="1:27" ht="15.6">
      <c r="A56" s="193"/>
      <c r="B56" s="193"/>
      <c r="C56" s="193"/>
      <c r="D56" s="193"/>
      <c r="E56" s="193"/>
      <c r="F56" s="193"/>
      <c r="G56" s="193"/>
      <c r="H56" s="81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spans="1:27" ht="15.6">
      <c r="A57" s="193"/>
      <c r="B57" s="193"/>
      <c r="C57" s="193"/>
      <c r="D57" s="193"/>
      <c r="E57" s="193"/>
      <c r="F57" s="193"/>
      <c r="G57" s="193"/>
      <c r="H57" s="81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spans="1:27" ht="15.6">
      <c r="A58" s="193"/>
      <c r="B58" s="193"/>
      <c r="C58" s="193"/>
      <c r="D58" s="193"/>
      <c r="E58" s="193"/>
      <c r="F58" s="193"/>
      <c r="G58" s="193"/>
      <c r="H58" s="81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 ht="15.6">
      <c r="A59" s="193"/>
      <c r="B59" s="193"/>
      <c r="C59" s="193"/>
      <c r="D59" s="193"/>
      <c r="E59" s="193"/>
      <c r="F59" s="193"/>
      <c r="G59" s="193"/>
      <c r="H59" s="81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spans="1:27" ht="15.6">
      <c r="A60" s="193"/>
      <c r="B60" s="193"/>
      <c r="C60" s="193"/>
      <c r="D60" s="193"/>
      <c r="E60" s="193"/>
      <c r="F60" s="193"/>
      <c r="G60" s="193"/>
      <c r="H60" s="81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spans="1:27" ht="15.6">
      <c r="A61" s="193"/>
      <c r="B61" s="193"/>
      <c r="C61" s="193"/>
      <c r="D61" s="193"/>
      <c r="E61" s="193"/>
      <c r="F61" s="193"/>
      <c r="G61" s="193"/>
      <c r="H61" s="81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spans="1:27" ht="15.6">
      <c r="A62" s="193"/>
      <c r="B62" s="193"/>
      <c r="C62" s="193"/>
      <c r="D62" s="193"/>
      <c r="E62" s="193"/>
      <c r="F62" s="193"/>
      <c r="G62" s="193"/>
      <c r="H62" s="81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spans="1:27" ht="15.6">
      <c r="A63" s="193"/>
      <c r="B63" s="193"/>
      <c r="C63" s="193"/>
      <c r="D63" s="193"/>
      <c r="E63" s="193"/>
      <c r="F63" s="193"/>
      <c r="G63" s="193"/>
      <c r="H63" s="81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spans="1:27" ht="15.6">
      <c r="A64" s="193"/>
      <c r="B64" s="193"/>
      <c r="C64" s="193"/>
      <c r="D64" s="193"/>
      <c r="E64" s="193"/>
      <c r="F64" s="193"/>
      <c r="G64" s="193"/>
      <c r="H64" s="81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spans="1:27" ht="15.6">
      <c r="A65" s="193"/>
      <c r="B65" s="193"/>
      <c r="C65" s="193"/>
      <c r="D65" s="193"/>
      <c r="E65" s="193"/>
      <c r="F65" s="193"/>
      <c r="G65" s="193"/>
      <c r="H65" s="81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spans="1:27" ht="15.6">
      <c r="A66" s="193"/>
      <c r="B66" s="193"/>
      <c r="C66" s="193"/>
      <c r="D66" s="193"/>
      <c r="E66" s="193"/>
      <c r="F66" s="193"/>
      <c r="G66" s="193"/>
      <c r="H66" s="81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</row>
    <row r="67" spans="1:27" ht="15.6">
      <c r="A67" s="193"/>
      <c r="B67" s="193"/>
      <c r="C67" s="193"/>
      <c r="D67" s="193"/>
      <c r="E67" s="193"/>
      <c r="F67" s="193"/>
      <c r="G67" s="193"/>
      <c r="H67" s="81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spans="1:27" ht="15.6">
      <c r="A68" s="193"/>
      <c r="B68" s="193"/>
      <c r="C68" s="193"/>
      <c r="D68" s="193"/>
      <c r="E68" s="193"/>
      <c r="F68" s="193"/>
      <c r="G68" s="193"/>
      <c r="H68" s="81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spans="1:27" ht="15.6">
      <c r="A69" s="193"/>
      <c r="B69" s="193"/>
      <c r="C69" s="193"/>
      <c r="D69" s="193"/>
      <c r="E69" s="193"/>
      <c r="F69" s="193"/>
      <c r="G69" s="193"/>
      <c r="H69" s="81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spans="1:27" ht="15.6">
      <c r="A70" s="193"/>
      <c r="B70" s="193"/>
      <c r="C70" s="193"/>
      <c r="D70" s="193"/>
      <c r="E70" s="193"/>
      <c r="F70" s="193"/>
      <c r="G70" s="193"/>
      <c r="H70" s="81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 ht="15.6">
      <c r="A71" s="193"/>
      <c r="B71" s="193"/>
      <c r="C71" s="193"/>
      <c r="D71" s="193"/>
      <c r="E71" s="193"/>
      <c r="F71" s="193"/>
      <c r="G71" s="193"/>
      <c r="H71" s="81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 ht="15.6">
      <c r="A72" s="193"/>
      <c r="B72" s="193"/>
      <c r="C72" s="193"/>
      <c r="D72" s="193"/>
      <c r="E72" s="193"/>
      <c r="F72" s="193"/>
      <c r="G72" s="193"/>
      <c r="H72" s="81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 ht="15.6">
      <c r="A73" s="193"/>
      <c r="B73" s="193"/>
      <c r="C73" s="193"/>
      <c r="D73" s="193"/>
      <c r="E73" s="193"/>
      <c r="F73" s="193"/>
      <c r="G73" s="193"/>
      <c r="H73" s="81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 ht="15.6">
      <c r="A74" s="193"/>
      <c r="B74" s="193"/>
      <c r="C74" s="193"/>
      <c r="D74" s="193"/>
      <c r="E74" s="193"/>
      <c r="F74" s="193"/>
      <c r="G74" s="193"/>
      <c r="H74" s="81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 ht="15.6">
      <c r="A75" s="193"/>
      <c r="B75" s="193"/>
      <c r="C75" s="193"/>
      <c r="D75" s="193"/>
      <c r="E75" s="193"/>
      <c r="F75" s="193"/>
      <c r="G75" s="193"/>
      <c r="H75" s="81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 ht="15.6">
      <c r="A76" s="193"/>
      <c r="B76" s="193"/>
      <c r="C76" s="193"/>
      <c r="D76" s="193"/>
      <c r="E76" s="193"/>
      <c r="F76" s="193"/>
      <c r="G76" s="193"/>
      <c r="H76" s="81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 ht="15.6">
      <c r="A77" s="193"/>
      <c r="B77" s="193"/>
      <c r="C77" s="193"/>
      <c r="D77" s="193"/>
      <c r="E77" s="193"/>
      <c r="F77" s="193"/>
      <c r="G77" s="193"/>
      <c r="H77" s="81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15.6">
      <c r="A78" s="193"/>
      <c r="B78" s="193"/>
      <c r="C78" s="193"/>
      <c r="D78" s="193"/>
      <c r="E78" s="193"/>
      <c r="F78" s="193"/>
      <c r="G78" s="193"/>
      <c r="H78" s="81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 ht="15.6">
      <c r="A79" s="193"/>
      <c r="B79" s="193"/>
      <c r="C79" s="193"/>
      <c r="D79" s="193"/>
      <c r="E79" s="193"/>
      <c r="F79" s="193"/>
      <c r="G79" s="193"/>
      <c r="H79" s="81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spans="1:27" ht="15.6">
      <c r="A80" s="193"/>
      <c r="B80" s="193"/>
      <c r="C80" s="193"/>
      <c r="D80" s="193"/>
      <c r="E80" s="193"/>
      <c r="F80" s="193"/>
      <c r="G80" s="193"/>
      <c r="H80" s="81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spans="1:27" ht="15.6">
      <c r="A81" s="193"/>
      <c r="B81" s="193"/>
      <c r="C81" s="193"/>
      <c r="D81" s="193"/>
      <c r="E81" s="193"/>
      <c r="F81" s="193"/>
      <c r="G81" s="193"/>
      <c r="H81" s="81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spans="1:27" ht="15.6">
      <c r="A82" s="193"/>
      <c r="B82" s="193"/>
      <c r="C82" s="193"/>
      <c r="D82" s="193"/>
      <c r="E82" s="193"/>
      <c r="F82" s="193"/>
      <c r="G82" s="193"/>
      <c r="H82" s="81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</row>
    <row r="83" spans="1:27" ht="15.6">
      <c r="A83" s="193"/>
      <c r="B83" s="193"/>
      <c r="C83" s="193"/>
      <c r="D83" s="193"/>
      <c r="E83" s="193"/>
      <c r="F83" s="193"/>
      <c r="G83" s="193"/>
      <c r="H83" s="81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</row>
    <row r="84" spans="1:27" ht="15.6">
      <c r="A84" s="193"/>
      <c r="B84" s="193"/>
      <c r="C84" s="193"/>
      <c r="D84" s="193"/>
      <c r="E84" s="193"/>
      <c r="F84" s="193"/>
      <c r="G84" s="193"/>
      <c r="H84" s="81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</row>
    <row r="85" spans="1:27" ht="15.6">
      <c r="A85" s="193"/>
      <c r="B85" s="193"/>
      <c r="C85" s="193"/>
      <c r="D85" s="193"/>
      <c r="E85" s="193"/>
      <c r="F85" s="193"/>
      <c r="G85" s="193"/>
      <c r="H85" s="81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</row>
    <row r="86" spans="1:27" ht="15.6">
      <c r="A86" s="193"/>
      <c r="B86" s="193"/>
      <c r="C86" s="193"/>
      <c r="D86" s="193"/>
      <c r="E86" s="193"/>
      <c r="F86" s="193"/>
      <c r="G86" s="193"/>
      <c r="H86" s="81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</row>
    <row r="87" spans="1:27" ht="15.6">
      <c r="A87" s="193"/>
      <c r="B87" s="193"/>
      <c r="C87" s="193"/>
      <c r="D87" s="193"/>
      <c r="E87" s="193"/>
      <c r="F87" s="193"/>
      <c r="G87" s="193"/>
      <c r="H87" s="81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</row>
    <row r="88" spans="1:27" ht="15.6">
      <c r="A88" s="193"/>
      <c r="B88" s="193"/>
      <c r="C88" s="193"/>
      <c r="D88" s="193"/>
      <c r="E88" s="193"/>
      <c r="F88" s="193"/>
      <c r="G88" s="193"/>
      <c r="H88" s="81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</row>
    <row r="89" spans="1:27" ht="15.6">
      <c r="A89" s="193"/>
      <c r="B89" s="193"/>
      <c r="C89" s="193"/>
      <c r="D89" s="193"/>
      <c r="E89" s="193"/>
      <c r="F89" s="193"/>
      <c r="G89" s="193"/>
      <c r="H89" s="81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</row>
    <row r="90" spans="1:27" ht="15.6">
      <c r="A90" s="193"/>
      <c r="B90" s="193"/>
      <c r="C90" s="193"/>
      <c r="D90" s="193"/>
      <c r="E90" s="193"/>
      <c r="F90" s="193"/>
      <c r="G90" s="193"/>
      <c r="H90" s="81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</row>
    <row r="91" spans="1:27" ht="15.6">
      <c r="A91" s="193"/>
      <c r="B91" s="193"/>
      <c r="C91" s="193"/>
      <c r="D91" s="193"/>
      <c r="E91" s="193"/>
      <c r="F91" s="193"/>
      <c r="G91" s="193"/>
      <c r="H91" s="81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spans="1:27" ht="15.6">
      <c r="A92" s="193"/>
      <c r="B92" s="193"/>
      <c r="C92" s="193"/>
      <c r="D92" s="193"/>
      <c r="E92" s="193"/>
      <c r="F92" s="193"/>
      <c r="G92" s="193"/>
      <c r="H92" s="81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spans="1:27" ht="15.6">
      <c r="A93" s="193"/>
      <c r="B93" s="193"/>
      <c r="C93" s="193"/>
      <c r="D93" s="193"/>
      <c r="E93" s="193"/>
      <c r="F93" s="193"/>
      <c r="G93" s="193"/>
      <c r="H93" s="81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spans="1:27" ht="15.6">
      <c r="A94" s="193"/>
      <c r="B94" s="193"/>
      <c r="C94" s="193"/>
      <c r="D94" s="193"/>
      <c r="E94" s="193"/>
      <c r="F94" s="193"/>
      <c r="G94" s="193"/>
      <c r="H94" s="81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spans="1:27" ht="15.6">
      <c r="A95" s="193"/>
      <c r="B95" s="193"/>
      <c r="C95" s="193"/>
      <c r="D95" s="193"/>
      <c r="E95" s="193"/>
      <c r="F95" s="193"/>
      <c r="G95" s="193"/>
      <c r="H95" s="81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</row>
    <row r="96" spans="1:27" ht="15.6">
      <c r="A96" s="193"/>
      <c r="B96" s="193"/>
      <c r="C96" s="193"/>
      <c r="D96" s="193"/>
      <c r="E96" s="193"/>
      <c r="F96" s="193"/>
      <c r="G96" s="193"/>
      <c r="H96" s="81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</row>
    <row r="97" spans="1:27" ht="15.6">
      <c r="A97" s="193"/>
      <c r="B97" s="193"/>
      <c r="C97" s="193"/>
      <c r="D97" s="193"/>
      <c r="E97" s="193"/>
      <c r="F97" s="193"/>
      <c r="G97" s="193"/>
      <c r="H97" s="81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</row>
    <row r="98" spans="1:27" ht="15.6">
      <c r="A98" s="193"/>
      <c r="B98" s="193"/>
      <c r="C98" s="193"/>
      <c r="D98" s="193"/>
      <c r="E98" s="193"/>
      <c r="F98" s="193"/>
      <c r="G98" s="193"/>
      <c r="H98" s="81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</row>
    <row r="99" spans="1:27" ht="15.6">
      <c r="A99" s="193"/>
      <c r="B99" s="193"/>
      <c r="C99" s="193"/>
      <c r="D99" s="193"/>
      <c r="E99" s="193"/>
      <c r="F99" s="193"/>
      <c r="G99" s="193"/>
      <c r="H99" s="81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</row>
    <row r="100" spans="1:27" ht="15.6">
      <c r="A100" s="193"/>
      <c r="B100" s="193"/>
      <c r="C100" s="193"/>
      <c r="D100" s="193"/>
      <c r="E100" s="193"/>
      <c r="F100" s="193"/>
      <c r="G100" s="193"/>
      <c r="H100" s="81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</row>
    <row r="101" spans="1:27" ht="15.6">
      <c r="A101" s="193"/>
      <c r="B101" s="193"/>
      <c r="C101" s="193"/>
      <c r="D101" s="193"/>
      <c r="E101" s="193"/>
      <c r="F101" s="193"/>
      <c r="G101" s="193"/>
      <c r="H101" s="81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spans="1:27" ht="15.6">
      <c r="A102" s="193"/>
      <c r="B102" s="193"/>
      <c r="C102" s="193"/>
      <c r="D102" s="193"/>
      <c r="E102" s="193"/>
      <c r="F102" s="193"/>
      <c r="G102" s="193"/>
      <c r="H102" s="81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spans="1:27" ht="15.6">
      <c r="A103" s="193"/>
      <c r="B103" s="193"/>
      <c r="C103" s="193"/>
      <c r="D103" s="193"/>
      <c r="E103" s="193"/>
      <c r="F103" s="193"/>
      <c r="G103" s="193"/>
      <c r="H103" s="81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spans="1:27" ht="15.6">
      <c r="A104" s="193"/>
      <c r="B104" s="193"/>
      <c r="C104" s="193"/>
      <c r="D104" s="193"/>
      <c r="E104" s="193"/>
      <c r="F104" s="193"/>
      <c r="G104" s="193"/>
      <c r="H104" s="81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</row>
    <row r="105" spans="1:27" ht="15.6">
      <c r="A105" s="193"/>
      <c r="B105" s="193"/>
      <c r="C105" s="193"/>
      <c r="D105" s="193"/>
      <c r="E105" s="193"/>
      <c r="F105" s="193"/>
      <c r="G105" s="193"/>
      <c r="H105" s="81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</row>
    <row r="106" spans="1:27" ht="15.6">
      <c r="A106" s="193"/>
      <c r="B106" s="193"/>
      <c r="C106" s="193"/>
      <c r="D106" s="193"/>
      <c r="E106" s="193"/>
      <c r="F106" s="193"/>
      <c r="G106" s="193"/>
      <c r="H106" s="81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</row>
    <row r="107" spans="1:27" ht="15.6">
      <c r="A107" s="193"/>
      <c r="B107" s="193"/>
      <c r="C107" s="193"/>
      <c r="D107" s="193"/>
      <c r="E107" s="193"/>
      <c r="F107" s="193"/>
      <c r="G107" s="193"/>
      <c r="H107" s="81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</row>
    <row r="108" spans="1:27" ht="15.6">
      <c r="A108" s="193"/>
      <c r="B108" s="193"/>
      <c r="C108" s="193"/>
      <c r="D108" s="193"/>
      <c r="E108" s="193"/>
      <c r="F108" s="193"/>
      <c r="G108" s="193"/>
      <c r="H108" s="81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</row>
    <row r="109" spans="1:27" ht="15.6">
      <c r="A109" s="193"/>
      <c r="B109" s="193"/>
      <c r="C109" s="193"/>
      <c r="D109" s="193"/>
      <c r="E109" s="193"/>
      <c r="F109" s="193"/>
      <c r="G109" s="193"/>
      <c r="H109" s="81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</row>
    <row r="110" spans="1:27" ht="15.6">
      <c r="A110" s="193"/>
      <c r="B110" s="193"/>
      <c r="C110" s="193"/>
      <c r="D110" s="193"/>
      <c r="E110" s="193"/>
      <c r="F110" s="193"/>
      <c r="G110" s="193"/>
      <c r="H110" s="81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</row>
    <row r="111" spans="1:27" ht="15.6">
      <c r="A111" s="193"/>
      <c r="B111" s="193"/>
      <c r="C111" s="193"/>
      <c r="D111" s="193"/>
      <c r="E111" s="193"/>
      <c r="F111" s="193"/>
      <c r="G111" s="193"/>
      <c r="H111" s="81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</row>
    <row r="112" spans="1:27" ht="15.6">
      <c r="A112" s="193"/>
      <c r="B112" s="193"/>
      <c r="C112" s="193"/>
      <c r="D112" s="193"/>
      <c r="E112" s="193"/>
      <c r="F112" s="193"/>
      <c r="G112" s="193"/>
      <c r="H112" s="81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</row>
    <row r="113" spans="1:27" ht="15.6">
      <c r="A113" s="193"/>
      <c r="B113" s="193"/>
      <c r="C113" s="193"/>
      <c r="D113" s="193"/>
      <c r="E113" s="193"/>
      <c r="F113" s="193"/>
      <c r="G113" s="193"/>
      <c r="H113" s="81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</row>
    <row r="114" spans="1:27" ht="15.6">
      <c r="A114" s="193"/>
      <c r="B114" s="193"/>
      <c r="C114" s="193"/>
      <c r="D114" s="193"/>
      <c r="E114" s="193"/>
      <c r="F114" s="193"/>
      <c r="G114" s="193"/>
      <c r="H114" s="81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  <row r="115" spans="1:27" ht="15.6">
      <c r="A115" s="193"/>
      <c r="B115" s="193"/>
      <c r="C115" s="193"/>
      <c r="D115" s="193"/>
      <c r="E115" s="193"/>
      <c r="F115" s="193"/>
      <c r="G115" s="193"/>
      <c r="H115" s="81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spans="1:27" ht="15.6">
      <c r="A116" s="193"/>
      <c r="B116" s="193"/>
      <c r="C116" s="193"/>
      <c r="D116" s="193"/>
      <c r="E116" s="193"/>
      <c r="F116" s="193"/>
      <c r="G116" s="193"/>
      <c r="H116" s="81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spans="1:27" ht="15.6">
      <c r="A117" s="193"/>
      <c r="B117" s="193"/>
      <c r="C117" s="193"/>
      <c r="D117" s="193"/>
      <c r="E117" s="193"/>
      <c r="F117" s="193"/>
      <c r="G117" s="193"/>
      <c r="H117" s="81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spans="1:27" ht="15.6">
      <c r="A118" s="193"/>
      <c r="B118" s="193"/>
      <c r="C118" s="193"/>
      <c r="D118" s="193"/>
      <c r="E118" s="193"/>
      <c r="F118" s="193"/>
      <c r="G118" s="193"/>
      <c r="H118" s="81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spans="1:27" ht="15.6">
      <c r="A119" s="193"/>
      <c r="B119" s="193"/>
      <c r="C119" s="193"/>
      <c r="D119" s="193"/>
      <c r="E119" s="193"/>
      <c r="F119" s="193"/>
      <c r="G119" s="193"/>
      <c r="H119" s="81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</row>
    <row r="120" spans="1:27" ht="15.6">
      <c r="A120" s="193"/>
      <c r="B120" s="193"/>
      <c r="C120" s="193"/>
      <c r="D120" s="193"/>
      <c r="E120" s="193"/>
      <c r="F120" s="193"/>
      <c r="G120" s="193"/>
      <c r="H120" s="81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</row>
    <row r="121" spans="1:27" ht="15.6">
      <c r="A121" s="193"/>
      <c r="B121" s="193"/>
      <c r="C121" s="193"/>
      <c r="D121" s="193"/>
      <c r="E121" s="193"/>
      <c r="F121" s="193"/>
      <c r="G121" s="193"/>
      <c r="H121" s="81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</row>
    <row r="122" spans="1:27" ht="15.6">
      <c r="A122" s="193"/>
      <c r="B122" s="193"/>
      <c r="C122" s="193"/>
      <c r="D122" s="193"/>
      <c r="E122" s="193"/>
      <c r="F122" s="193"/>
      <c r="G122" s="193"/>
      <c r="H122" s="81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</row>
    <row r="123" spans="1:27" ht="15.6">
      <c r="A123" s="193"/>
      <c r="B123" s="193"/>
      <c r="C123" s="193"/>
      <c r="D123" s="193"/>
      <c r="E123" s="193"/>
      <c r="F123" s="193"/>
      <c r="G123" s="193"/>
      <c r="H123" s="81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</row>
    <row r="124" spans="1:27" ht="15.6">
      <c r="A124" s="193"/>
      <c r="B124" s="193"/>
      <c r="C124" s="193"/>
      <c r="D124" s="193"/>
      <c r="E124" s="193"/>
      <c r="F124" s="193"/>
      <c r="G124" s="193"/>
      <c r="H124" s="81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</row>
    <row r="125" spans="1:27" ht="15.6">
      <c r="A125" s="193"/>
      <c r="B125" s="193"/>
      <c r="C125" s="193"/>
      <c r="D125" s="193"/>
      <c r="E125" s="193"/>
      <c r="F125" s="193"/>
      <c r="G125" s="193"/>
      <c r="H125" s="81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spans="1:27" ht="15.6">
      <c r="A126" s="193"/>
      <c r="B126" s="193"/>
      <c r="C126" s="193"/>
      <c r="D126" s="193"/>
      <c r="E126" s="193"/>
      <c r="F126" s="193"/>
      <c r="G126" s="193"/>
      <c r="H126" s="81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spans="1:27" ht="15.6">
      <c r="A127" s="193"/>
      <c r="B127" s="193"/>
      <c r="C127" s="193"/>
      <c r="D127" s="193"/>
      <c r="E127" s="193"/>
      <c r="F127" s="193"/>
      <c r="G127" s="193"/>
      <c r="H127" s="81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spans="1:27" ht="15.6">
      <c r="A128" s="193"/>
      <c r="B128" s="193"/>
      <c r="C128" s="193"/>
      <c r="D128" s="193"/>
      <c r="E128" s="193"/>
      <c r="F128" s="193"/>
      <c r="G128" s="193"/>
      <c r="H128" s="81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</row>
    <row r="129" spans="1:27" ht="15.6">
      <c r="A129" s="193"/>
      <c r="B129" s="193"/>
      <c r="C129" s="193"/>
      <c r="D129" s="193"/>
      <c r="E129" s="193"/>
      <c r="F129" s="193"/>
      <c r="G129" s="193"/>
      <c r="H129" s="81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</row>
    <row r="130" spans="1:27" ht="15.6">
      <c r="A130" s="193"/>
      <c r="B130" s="193"/>
      <c r="C130" s="193"/>
      <c r="D130" s="193"/>
      <c r="E130" s="193"/>
      <c r="F130" s="193"/>
      <c r="G130" s="193"/>
      <c r="H130" s="81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</row>
    <row r="131" spans="1:27" ht="15.6">
      <c r="A131" s="193"/>
      <c r="B131" s="193"/>
      <c r="C131" s="193"/>
      <c r="D131" s="193"/>
      <c r="E131" s="193"/>
      <c r="F131" s="193"/>
      <c r="G131" s="193"/>
      <c r="H131" s="81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</row>
    <row r="132" spans="1:27" ht="15.6">
      <c r="A132" s="193"/>
      <c r="B132" s="193"/>
      <c r="C132" s="193"/>
      <c r="D132" s="193"/>
      <c r="E132" s="193"/>
      <c r="F132" s="193"/>
      <c r="G132" s="193"/>
      <c r="H132" s="81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</row>
    <row r="133" spans="1:27" ht="15.6">
      <c r="A133" s="193"/>
      <c r="B133" s="193"/>
      <c r="C133" s="193"/>
      <c r="D133" s="193"/>
      <c r="E133" s="193"/>
      <c r="F133" s="193"/>
      <c r="G133" s="193"/>
      <c r="H133" s="81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</row>
    <row r="134" spans="1:27" ht="15.6">
      <c r="A134" s="193"/>
      <c r="B134" s="193"/>
      <c r="C134" s="193"/>
      <c r="D134" s="193"/>
      <c r="E134" s="193"/>
      <c r="F134" s="193"/>
      <c r="G134" s="193"/>
      <c r="H134" s="81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</row>
    <row r="135" spans="1:27" ht="15.6">
      <c r="A135" s="193"/>
      <c r="B135" s="193"/>
      <c r="C135" s="193"/>
      <c r="D135" s="193"/>
      <c r="E135" s="193"/>
      <c r="F135" s="193"/>
      <c r="G135" s="193"/>
      <c r="H135" s="81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</row>
    <row r="136" spans="1:27" ht="15.6">
      <c r="A136" s="193"/>
      <c r="B136" s="193"/>
      <c r="C136" s="193"/>
      <c r="D136" s="193"/>
      <c r="E136" s="193"/>
      <c r="F136" s="193"/>
      <c r="G136" s="193"/>
      <c r="H136" s="81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</row>
    <row r="137" spans="1:27" ht="15.6">
      <c r="A137" s="193"/>
      <c r="B137" s="193"/>
      <c r="C137" s="193"/>
      <c r="D137" s="193"/>
      <c r="E137" s="193"/>
      <c r="F137" s="193"/>
      <c r="G137" s="193"/>
      <c r="H137" s="81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</row>
    <row r="138" spans="1:27" ht="15.6">
      <c r="A138" s="193"/>
      <c r="B138" s="193"/>
      <c r="C138" s="193"/>
      <c r="D138" s="193"/>
      <c r="E138" s="193"/>
      <c r="F138" s="193"/>
      <c r="G138" s="193"/>
      <c r="H138" s="81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</row>
    <row r="139" spans="1:27" ht="15.6">
      <c r="A139" s="193"/>
      <c r="B139" s="193"/>
      <c r="C139" s="193"/>
      <c r="D139" s="193"/>
      <c r="E139" s="193"/>
      <c r="F139" s="193"/>
      <c r="G139" s="193"/>
      <c r="H139" s="81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spans="1:27" ht="15.6">
      <c r="A140" s="193"/>
      <c r="B140" s="193"/>
      <c r="C140" s="193"/>
      <c r="D140" s="193"/>
      <c r="E140" s="193"/>
      <c r="F140" s="193"/>
      <c r="G140" s="193"/>
      <c r="H140" s="81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spans="1:27" ht="15.6">
      <c r="A141" s="193"/>
      <c r="B141" s="193"/>
      <c r="C141" s="193"/>
      <c r="D141" s="193"/>
      <c r="E141" s="193"/>
      <c r="F141" s="193"/>
      <c r="G141" s="193"/>
      <c r="H141" s="81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spans="1:27" ht="15.6">
      <c r="A142" s="193"/>
      <c r="B142" s="193"/>
      <c r="C142" s="193"/>
      <c r="D142" s="193"/>
      <c r="E142" s="193"/>
      <c r="F142" s="193"/>
      <c r="G142" s="193"/>
      <c r="H142" s="81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</row>
    <row r="143" spans="1:27" ht="15.6">
      <c r="A143" s="193"/>
      <c r="B143" s="193"/>
      <c r="C143" s="193"/>
      <c r="D143" s="193"/>
      <c r="E143" s="193"/>
      <c r="F143" s="193"/>
      <c r="G143" s="193"/>
      <c r="H143" s="81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</row>
    <row r="144" spans="1:27" ht="15.6">
      <c r="A144" s="193"/>
      <c r="B144" s="193"/>
      <c r="C144" s="193"/>
      <c r="D144" s="193"/>
      <c r="E144" s="193"/>
      <c r="F144" s="193"/>
      <c r="G144" s="193"/>
      <c r="H144" s="81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</row>
    <row r="145" spans="1:27" ht="15.6">
      <c r="A145" s="193"/>
      <c r="B145" s="193"/>
      <c r="C145" s="193"/>
      <c r="D145" s="193"/>
      <c r="E145" s="193"/>
      <c r="F145" s="193"/>
      <c r="G145" s="193"/>
      <c r="H145" s="81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</row>
    <row r="146" spans="1:27" ht="15.6">
      <c r="A146" s="193"/>
      <c r="B146" s="193"/>
      <c r="C146" s="193"/>
      <c r="D146" s="193"/>
      <c r="E146" s="193"/>
      <c r="F146" s="193"/>
      <c r="G146" s="193"/>
      <c r="H146" s="81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</row>
    <row r="147" spans="1:27" ht="15.6">
      <c r="A147" s="193"/>
      <c r="B147" s="193"/>
      <c r="C147" s="193"/>
      <c r="D147" s="193"/>
      <c r="E147" s="193"/>
      <c r="F147" s="193"/>
      <c r="G147" s="193"/>
      <c r="H147" s="81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</row>
    <row r="148" spans="1:27" ht="15.6">
      <c r="A148" s="193"/>
      <c r="B148" s="193"/>
      <c r="C148" s="193"/>
      <c r="D148" s="193"/>
      <c r="E148" s="193"/>
      <c r="F148" s="193"/>
      <c r="G148" s="193"/>
      <c r="H148" s="81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</row>
    <row r="149" spans="1:27" ht="15.6">
      <c r="A149" s="193"/>
      <c r="B149" s="193"/>
      <c r="C149" s="193"/>
      <c r="D149" s="193"/>
      <c r="E149" s="193"/>
      <c r="F149" s="193"/>
      <c r="G149" s="193"/>
      <c r="H149" s="81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</row>
    <row r="150" spans="1:27" ht="15.6">
      <c r="A150" s="193"/>
      <c r="B150" s="193"/>
      <c r="C150" s="193"/>
      <c r="D150" s="193"/>
      <c r="E150" s="193"/>
      <c r="F150" s="193"/>
      <c r="G150" s="193"/>
      <c r="H150" s="81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</row>
    <row r="151" spans="1:27" ht="15.6">
      <c r="A151" s="193"/>
      <c r="B151" s="193"/>
      <c r="C151" s="193"/>
      <c r="D151" s="193"/>
      <c r="E151" s="193"/>
      <c r="F151" s="193"/>
      <c r="G151" s="193"/>
      <c r="H151" s="81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</row>
    <row r="152" spans="1:27" ht="15.6">
      <c r="A152" s="193"/>
      <c r="B152" s="193"/>
      <c r="C152" s="193"/>
      <c r="D152" s="193"/>
      <c r="E152" s="193"/>
      <c r="F152" s="193"/>
      <c r="G152" s="193"/>
      <c r="H152" s="81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</row>
    <row r="153" spans="1:27" ht="15.6">
      <c r="A153" s="193"/>
      <c r="B153" s="193"/>
      <c r="C153" s="193"/>
      <c r="D153" s="193"/>
      <c r="E153" s="193"/>
      <c r="F153" s="193"/>
      <c r="G153" s="193"/>
      <c r="H153" s="81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</row>
    <row r="154" spans="1:27" ht="15.6">
      <c r="A154" s="193"/>
      <c r="B154" s="193"/>
      <c r="C154" s="193"/>
      <c r="D154" s="193"/>
      <c r="E154" s="193"/>
      <c r="F154" s="193"/>
      <c r="G154" s="193"/>
      <c r="H154" s="81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</row>
    <row r="155" spans="1:27" ht="15.6">
      <c r="A155" s="193"/>
      <c r="B155" s="193"/>
      <c r="C155" s="193"/>
      <c r="D155" s="193"/>
      <c r="E155" s="193"/>
      <c r="F155" s="193"/>
      <c r="G155" s="193"/>
      <c r="H155" s="81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</row>
    <row r="156" spans="1:27" ht="15.6">
      <c r="A156" s="193"/>
      <c r="B156" s="193"/>
      <c r="C156" s="193"/>
      <c r="D156" s="193"/>
      <c r="E156" s="193"/>
      <c r="F156" s="193"/>
      <c r="G156" s="193"/>
      <c r="H156" s="81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</row>
    <row r="157" spans="1:27" ht="15.6">
      <c r="A157" s="193"/>
      <c r="B157" s="193"/>
      <c r="C157" s="193"/>
      <c r="D157" s="193"/>
      <c r="E157" s="193"/>
      <c r="F157" s="193"/>
      <c r="G157" s="193"/>
      <c r="H157" s="81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</row>
    <row r="158" spans="1:27" ht="15.6">
      <c r="A158" s="193"/>
      <c r="B158" s="193"/>
      <c r="C158" s="193"/>
      <c r="D158" s="193"/>
      <c r="E158" s="193"/>
      <c r="F158" s="193"/>
      <c r="G158" s="193"/>
      <c r="H158" s="81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</row>
    <row r="159" spans="1:27" ht="15.6">
      <c r="A159" s="193"/>
      <c r="B159" s="193"/>
      <c r="C159" s="193"/>
      <c r="D159" s="193"/>
      <c r="E159" s="193"/>
      <c r="F159" s="193"/>
      <c r="G159" s="193"/>
      <c r="H159" s="81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</row>
    <row r="160" spans="1:27" ht="15.6">
      <c r="A160" s="193"/>
      <c r="B160" s="193"/>
      <c r="C160" s="193"/>
      <c r="D160" s="193"/>
      <c r="E160" s="193"/>
      <c r="F160" s="193"/>
      <c r="G160" s="193"/>
      <c r="H160" s="81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</row>
    <row r="161" spans="1:27" ht="15.6">
      <c r="A161" s="193"/>
      <c r="B161" s="193"/>
      <c r="C161" s="193"/>
      <c r="D161" s="193"/>
      <c r="E161" s="193"/>
      <c r="F161" s="193"/>
      <c r="G161" s="193"/>
      <c r="H161" s="81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</row>
    <row r="162" spans="1:27" ht="15.6">
      <c r="A162" s="193"/>
      <c r="B162" s="193"/>
      <c r="C162" s="193"/>
      <c r="D162" s="193"/>
      <c r="E162" s="193"/>
      <c r="F162" s="193"/>
      <c r="G162" s="193"/>
      <c r="H162" s="81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</row>
    <row r="163" spans="1:27" ht="15.6">
      <c r="A163" s="193"/>
      <c r="B163" s="193"/>
      <c r="C163" s="193"/>
      <c r="D163" s="193"/>
      <c r="E163" s="193"/>
      <c r="F163" s="193"/>
      <c r="G163" s="193"/>
      <c r="H163" s="81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</row>
    <row r="164" spans="1:27" ht="15.6">
      <c r="A164" s="193"/>
      <c r="B164" s="193"/>
      <c r="C164" s="193"/>
      <c r="D164" s="193"/>
      <c r="E164" s="193"/>
      <c r="F164" s="193"/>
      <c r="G164" s="193"/>
      <c r="H164" s="81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</row>
    <row r="165" spans="1:27" ht="15.6">
      <c r="A165" s="193"/>
      <c r="B165" s="193"/>
      <c r="C165" s="193"/>
      <c r="D165" s="193"/>
      <c r="E165" s="193"/>
      <c r="F165" s="193"/>
      <c r="G165" s="193"/>
      <c r="H165" s="81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</row>
    <row r="166" spans="1:27" ht="15.6">
      <c r="A166" s="193"/>
      <c r="B166" s="193"/>
      <c r="C166" s="193"/>
      <c r="D166" s="193"/>
      <c r="E166" s="193"/>
      <c r="F166" s="193"/>
      <c r="G166" s="193"/>
      <c r="H166" s="81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</row>
    <row r="167" spans="1:27" ht="15.6">
      <c r="A167" s="193"/>
      <c r="B167" s="193"/>
      <c r="C167" s="193"/>
      <c r="D167" s="193"/>
      <c r="E167" s="193"/>
      <c r="F167" s="193"/>
      <c r="G167" s="193"/>
      <c r="H167" s="81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</row>
    <row r="168" spans="1:27" ht="15.6">
      <c r="A168" s="193"/>
      <c r="B168" s="193"/>
      <c r="C168" s="193"/>
      <c r="D168" s="193"/>
      <c r="E168" s="193"/>
      <c r="F168" s="193"/>
      <c r="G168" s="193"/>
      <c r="H168" s="81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</row>
    <row r="169" spans="1:27" ht="15.6">
      <c r="A169" s="193"/>
      <c r="B169" s="193"/>
      <c r="C169" s="193"/>
      <c r="D169" s="193"/>
      <c r="E169" s="193"/>
      <c r="F169" s="193"/>
      <c r="G169" s="193"/>
      <c r="H169" s="81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</row>
    <row r="170" spans="1:27" ht="15.6">
      <c r="A170" s="193"/>
      <c r="B170" s="193"/>
      <c r="C170" s="193"/>
      <c r="D170" s="193"/>
      <c r="E170" s="193"/>
      <c r="F170" s="193"/>
      <c r="G170" s="193"/>
      <c r="H170" s="81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</row>
    <row r="171" spans="1:27" ht="15.6">
      <c r="A171" s="193"/>
      <c r="B171" s="193"/>
      <c r="C171" s="193"/>
      <c r="D171" s="193"/>
      <c r="E171" s="193"/>
      <c r="F171" s="193"/>
      <c r="G171" s="193"/>
      <c r="H171" s="81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</row>
    <row r="172" spans="1:27" ht="15.6">
      <c r="A172" s="193"/>
      <c r="B172" s="193"/>
      <c r="C172" s="193"/>
      <c r="D172" s="193"/>
      <c r="E172" s="193"/>
      <c r="F172" s="193"/>
      <c r="G172" s="193"/>
      <c r="H172" s="81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</row>
    <row r="173" spans="1:27" ht="15.6">
      <c r="A173" s="193"/>
      <c r="B173" s="193"/>
      <c r="C173" s="193"/>
      <c r="D173" s="193"/>
      <c r="E173" s="193"/>
      <c r="F173" s="193"/>
      <c r="G173" s="193"/>
      <c r="H173" s="81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</row>
    <row r="174" spans="1:27" ht="15.6">
      <c r="A174" s="193"/>
      <c r="B174" s="193"/>
      <c r="C174" s="193"/>
      <c r="D174" s="193"/>
      <c r="E174" s="193"/>
      <c r="F174" s="193"/>
      <c r="G174" s="193"/>
      <c r="H174" s="81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</row>
    <row r="175" spans="1:27" ht="15.6">
      <c r="A175" s="193"/>
      <c r="B175" s="193"/>
      <c r="C175" s="193"/>
      <c r="D175" s="193"/>
      <c r="E175" s="193"/>
      <c r="F175" s="193"/>
      <c r="G175" s="193"/>
      <c r="H175" s="81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</row>
    <row r="176" spans="1:27" ht="15.6">
      <c r="A176" s="193"/>
      <c r="B176" s="193"/>
      <c r="C176" s="193"/>
      <c r="D176" s="193"/>
      <c r="E176" s="193"/>
      <c r="F176" s="193"/>
      <c r="G176" s="193"/>
      <c r="H176" s="81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</row>
    <row r="177" spans="1:27" ht="15.6">
      <c r="A177" s="193"/>
      <c r="B177" s="193"/>
      <c r="C177" s="193"/>
      <c r="D177" s="193"/>
      <c r="E177" s="193"/>
      <c r="F177" s="193"/>
      <c r="G177" s="193"/>
      <c r="H177" s="81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spans="1:27" ht="15.6">
      <c r="A178" s="193"/>
      <c r="B178" s="193"/>
      <c r="C178" s="193"/>
      <c r="D178" s="193"/>
      <c r="E178" s="193"/>
      <c r="F178" s="193"/>
      <c r="G178" s="193"/>
      <c r="H178" s="81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</row>
    <row r="179" spans="1:27" ht="15.6">
      <c r="A179" s="193"/>
      <c r="B179" s="193"/>
      <c r="C179" s="193"/>
      <c r="D179" s="193"/>
      <c r="E179" s="193"/>
      <c r="F179" s="193"/>
      <c r="G179" s="193"/>
      <c r="H179" s="81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</row>
    <row r="180" spans="1:27" ht="15.6">
      <c r="A180" s="193"/>
      <c r="B180" s="193"/>
      <c r="C180" s="193"/>
      <c r="D180" s="193"/>
      <c r="E180" s="193"/>
      <c r="F180" s="193"/>
      <c r="G180" s="193"/>
      <c r="H180" s="81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</row>
    <row r="181" spans="1:27" ht="15.6">
      <c r="A181" s="193"/>
      <c r="B181" s="193"/>
      <c r="C181" s="193"/>
      <c r="D181" s="193"/>
      <c r="E181" s="193"/>
      <c r="F181" s="193"/>
      <c r="G181" s="193"/>
      <c r="H181" s="81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</row>
    <row r="182" spans="1:27" ht="15.6">
      <c r="A182" s="193"/>
      <c r="B182" s="193"/>
      <c r="C182" s="193"/>
      <c r="D182" s="193"/>
      <c r="E182" s="193"/>
      <c r="F182" s="193"/>
      <c r="G182" s="193"/>
      <c r="H182" s="81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</row>
    <row r="183" spans="1:27" ht="15.6">
      <c r="A183" s="193"/>
      <c r="B183" s="193"/>
      <c r="C183" s="193"/>
      <c r="D183" s="193"/>
      <c r="E183" s="193"/>
      <c r="F183" s="193"/>
      <c r="G183" s="193"/>
      <c r="H183" s="81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</row>
    <row r="184" spans="1:27" ht="15.6">
      <c r="A184" s="193"/>
      <c r="B184" s="193"/>
      <c r="C184" s="193"/>
      <c r="D184" s="193"/>
      <c r="E184" s="193"/>
      <c r="F184" s="193"/>
      <c r="G184" s="193"/>
      <c r="H184" s="81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</row>
    <row r="185" spans="1:27" ht="15.6">
      <c r="A185" s="193"/>
      <c r="B185" s="193"/>
      <c r="C185" s="193"/>
      <c r="D185" s="193"/>
      <c r="E185" s="193"/>
      <c r="F185" s="193"/>
      <c r="G185" s="193"/>
      <c r="H185" s="81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</row>
    <row r="186" spans="1:27" ht="15.6">
      <c r="A186" s="193"/>
      <c r="B186" s="193"/>
      <c r="C186" s="193"/>
      <c r="D186" s="193"/>
      <c r="E186" s="193"/>
      <c r="F186" s="193"/>
      <c r="G186" s="193"/>
      <c r="H186" s="81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</row>
    <row r="187" spans="1:27" ht="15.6">
      <c r="A187" s="193"/>
      <c r="B187" s="193"/>
      <c r="C187" s="193"/>
      <c r="D187" s="193"/>
      <c r="E187" s="193"/>
      <c r="F187" s="193"/>
      <c r="G187" s="193"/>
      <c r="H187" s="81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</row>
    <row r="188" spans="1:27" ht="15.6">
      <c r="A188" s="193"/>
      <c r="B188" s="193"/>
      <c r="C188" s="193"/>
      <c r="D188" s="193"/>
      <c r="E188" s="193"/>
      <c r="F188" s="193"/>
      <c r="G188" s="193"/>
      <c r="H188" s="81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</row>
    <row r="189" spans="1:27" ht="15.6">
      <c r="A189" s="193"/>
      <c r="B189" s="193"/>
      <c r="C189" s="193"/>
      <c r="D189" s="193"/>
      <c r="E189" s="193"/>
      <c r="F189" s="193"/>
      <c r="G189" s="193"/>
      <c r="H189" s="81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</row>
    <row r="190" spans="1:27" ht="15.6">
      <c r="A190" s="193"/>
      <c r="B190" s="193"/>
      <c r="C190" s="193"/>
      <c r="D190" s="193"/>
      <c r="E190" s="193"/>
      <c r="F190" s="193"/>
      <c r="G190" s="193"/>
      <c r="H190" s="81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</row>
    <row r="191" spans="1:27" ht="15.6">
      <c r="A191" s="193"/>
      <c r="B191" s="193"/>
      <c r="C191" s="193"/>
      <c r="D191" s="193"/>
      <c r="E191" s="193"/>
      <c r="F191" s="193"/>
      <c r="G191" s="193"/>
      <c r="H191" s="81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</row>
    <row r="192" spans="1:27" ht="15.6">
      <c r="A192" s="193"/>
      <c r="B192" s="193"/>
      <c r="C192" s="193"/>
      <c r="D192" s="193"/>
      <c r="E192" s="193"/>
      <c r="F192" s="193"/>
      <c r="G192" s="193"/>
      <c r="H192" s="81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</row>
    <row r="193" spans="1:27" ht="15.6">
      <c r="A193" s="193"/>
      <c r="B193" s="193"/>
      <c r="C193" s="193"/>
      <c r="D193" s="193"/>
      <c r="E193" s="193"/>
      <c r="F193" s="193"/>
      <c r="G193" s="193"/>
      <c r="H193" s="81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</row>
    <row r="194" spans="1:27" ht="15.6">
      <c r="A194" s="193"/>
      <c r="B194" s="193"/>
      <c r="C194" s="193"/>
      <c r="D194" s="193"/>
      <c r="E194" s="193"/>
      <c r="F194" s="193"/>
      <c r="G194" s="193"/>
      <c r="H194" s="81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</row>
    <row r="195" spans="1:27" ht="15.6">
      <c r="A195" s="193"/>
      <c r="B195" s="193"/>
      <c r="C195" s="193"/>
      <c r="D195" s="193"/>
      <c r="E195" s="193"/>
      <c r="F195" s="193"/>
      <c r="G195" s="193"/>
      <c r="H195" s="81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</row>
    <row r="196" spans="1:27" ht="15.6">
      <c r="A196" s="193"/>
      <c r="B196" s="193"/>
      <c r="C196" s="193"/>
      <c r="D196" s="193"/>
      <c r="E196" s="193"/>
      <c r="F196" s="193"/>
      <c r="G196" s="193"/>
      <c r="H196" s="81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</row>
    <row r="197" spans="1:27" ht="15.6">
      <c r="A197" s="193"/>
      <c r="B197" s="193"/>
      <c r="C197" s="193"/>
      <c r="D197" s="193"/>
      <c r="E197" s="193"/>
      <c r="F197" s="193"/>
      <c r="G197" s="193"/>
      <c r="H197" s="81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</row>
    <row r="198" spans="1:27" ht="15.6">
      <c r="A198" s="193"/>
      <c r="B198" s="193"/>
      <c r="C198" s="193"/>
      <c r="D198" s="193"/>
      <c r="E198" s="193"/>
      <c r="F198" s="193"/>
      <c r="G198" s="193"/>
      <c r="H198" s="81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</row>
    <row r="199" spans="1:27" ht="15.6">
      <c r="A199" s="193"/>
      <c r="B199" s="193"/>
      <c r="C199" s="193"/>
      <c r="D199" s="193"/>
      <c r="E199" s="193"/>
      <c r="F199" s="193"/>
      <c r="G199" s="193"/>
      <c r="H199" s="81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</row>
    <row r="200" spans="1:27" ht="15.6">
      <c r="A200" s="193"/>
      <c r="B200" s="193"/>
      <c r="C200" s="193"/>
      <c r="D200" s="193"/>
      <c r="E200" s="193"/>
      <c r="F200" s="193"/>
      <c r="G200" s="193"/>
      <c r="H200" s="81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</row>
    <row r="201" spans="1:27" ht="15.6">
      <c r="A201" s="193"/>
      <c r="B201" s="193"/>
      <c r="C201" s="193"/>
      <c r="D201" s="193"/>
      <c r="E201" s="193"/>
      <c r="F201" s="193"/>
      <c r="G201" s="193"/>
      <c r="H201" s="81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 spans="1:27" ht="15.6">
      <c r="A202" s="193"/>
      <c r="B202" s="193"/>
      <c r="C202" s="193"/>
      <c r="D202" s="193"/>
      <c r="E202" s="193"/>
      <c r="F202" s="193"/>
      <c r="G202" s="193"/>
      <c r="H202" s="81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 spans="1:27" ht="15.6">
      <c r="A203" s="193"/>
      <c r="B203" s="193"/>
      <c r="C203" s="193"/>
      <c r="D203" s="193"/>
      <c r="E203" s="193"/>
      <c r="F203" s="193"/>
      <c r="G203" s="193"/>
      <c r="H203" s="81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 spans="1:27" ht="15.6">
      <c r="A204" s="193"/>
      <c r="B204" s="193"/>
      <c r="C204" s="193"/>
      <c r="D204" s="193"/>
      <c r="E204" s="193"/>
      <c r="F204" s="193"/>
      <c r="G204" s="193"/>
      <c r="H204" s="81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 spans="1:27" ht="15.6">
      <c r="A205" s="193"/>
      <c r="B205" s="193"/>
      <c r="C205" s="193"/>
      <c r="D205" s="193"/>
      <c r="E205" s="193"/>
      <c r="F205" s="193"/>
      <c r="G205" s="193"/>
      <c r="H205" s="81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 spans="1:27" ht="15.6">
      <c r="A206" s="193"/>
      <c r="B206" s="193"/>
      <c r="C206" s="193"/>
      <c r="D206" s="193"/>
      <c r="E206" s="193"/>
      <c r="F206" s="193"/>
      <c r="G206" s="193"/>
      <c r="H206" s="81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 spans="1:27" ht="15.6">
      <c r="A207" s="193"/>
      <c r="B207" s="193"/>
      <c r="C207" s="193"/>
      <c r="D207" s="193"/>
      <c r="E207" s="193"/>
      <c r="F207" s="193"/>
      <c r="G207" s="193"/>
      <c r="H207" s="81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 spans="1:27" ht="15.6">
      <c r="A208" s="193"/>
      <c r="B208" s="193"/>
      <c r="C208" s="193"/>
      <c r="D208" s="193"/>
      <c r="E208" s="193"/>
      <c r="F208" s="193"/>
      <c r="G208" s="193"/>
      <c r="H208" s="81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 spans="1:27" ht="15.6">
      <c r="A209" s="193"/>
      <c r="B209" s="193"/>
      <c r="C209" s="193"/>
      <c r="D209" s="193"/>
      <c r="E209" s="193"/>
      <c r="F209" s="193"/>
      <c r="G209" s="193"/>
      <c r="H209" s="81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spans="1:27" ht="15.6">
      <c r="A210" s="193"/>
      <c r="B210" s="193"/>
      <c r="C210" s="193"/>
      <c r="D210" s="193"/>
      <c r="E210" s="193"/>
      <c r="F210" s="193"/>
      <c r="G210" s="193"/>
      <c r="H210" s="81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 spans="1:27" ht="15.6">
      <c r="A211" s="193"/>
      <c r="B211" s="193"/>
      <c r="C211" s="193"/>
      <c r="D211" s="193"/>
      <c r="E211" s="193"/>
      <c r="F211" s="193"/>
      <c r="G211" s="193"/>
      <c r="H211" s="81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 spans="1:27" ht="15.6">
      <c r="A212" s="193"/>
      <c r="B212" s="193"/>
      <c r="C212" s="193"/>
      <c r="D212" s="193"/>
      <c r="E212" s="193"/>
      <c r="F212" s="193"/>
      <c r="G212" s="193"/>
      <c r="H212" s="81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 spans="1:27" ht="15.6">
      <c r="A213" s="193"/>
      <c r="B213" s="193"/>
      <c r="C213" s="193"/>
      <c r="D213" s="193"/>
      <c r="E213" s="193"/>
      <c r="F213" s="193"/>
      <c r="G213" s="193"/>
      <c r="H213" s="81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 spans="1:27" ht="15.6">
      <c r="A214" s="193"/>
      <c r="B214" s="193"/>
      <c r="C214" s="193"/>
      <c r="D214" s="193"/>
      <c r="E214" s="193"/>
      <c r="F214" s="193"/>
      <c r="G214" s="193"/>
      <c r="H214" s="81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 spans="1:27" ht="15.6">
      <c r="A215" s="193"/>
      <c r="B215" s="193"/>
      <c r="C215" s="193"/>
      <c r="D215" s="193"/>
      <c r="E215" s="193"/>
      <c r="F215" s="193"/>
      <c r="G215" s="193"/>
      <c r="H215" s="81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 spans="1:27" ht="15.6">
      <c r="A216" s="193"/>
      <c r="B216" s="193"/>
      <c r="C216" s="193"/>
      <c r="D216" s="193"/>
      <c r="E216" s="193"/>
      <c r="F216" s="193"/>
      <c r="G216" s="193"/>
      <c r="H216" s="81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 spans="1:27" ht="15.6">
      <c r="A217" s="193"/>
      <c r="B217" s="193"/>
      <c r="C217" s="193"/>
      <c r="D217" s="193"/>
      <c r="E217" s="193"/>
      <c r="F217" s="193"/>
      <c r="G217" s="193"/>
      <c r="H217" s="81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 spans="1:27" ht="15.6">
      <c r="A218" s="193"/>
      <c r="B218" s="193"/>
      <c r="C218" s="193"/>
      <c r="D218" s="193"/>
      <c r="E218" s="193"/>
      <c r="F218" s="193"/>
      <c r="G218" s="193"/>
      <c r="H218" s="81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 spans="1:27" ht="15.6">
      <c r="A219" s="193"/>
      <c r="B219" s="193"/>
      <c r="C219" s="193"/>
      <c r="D219" s="193"/>
      <c r="E219" s="193"/>
      <c r="F219" s="193"/>
      <c r="G219" s="193"/>
      <c r="H219" s="81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 spans="1:27" ht="15.6">
      <c r="A220" s="193"/>
      <c r="B220" s="193"/>
      <c r="C220" s="193"/>
      <c r="D220" s="193"/>
      <c r="E220" s="193"/>
      <c r="F220" s="193"/>
      <c r="G220" s="193"/>
      <c r="H220" s="81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 spans="1:27" ht="15.6">
      <c r="A221" s="193"/>
      <c r="B221" s="193"/>
      <c r="C221" s="193"/>
      <c r="D221" s="193"/>
      <c r="E221" s="193"/>
      <c r="F221" s="193"/>
      <c r="G221" s="193"/>
      <c r="H221" s="81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 spans="1:27" ht="15.6">
      <c r="A222" s="193"/>
      <c r="B222" s="193"/>
      <c r="C222" s="193"/>
      <c r="D222" s="193"/>
      <c r="E222" s="193"/>
      <c r="F222" s="193"/>
      <c r="G222" s="193"/>
      <c r="H222" s="81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 spans="1:27" ht="15.6">
      <c r="A223" s="193"/>
      <c r="B223" s="193"/>
      <c r="C223" s="193"/>
      <c r="D223" s="193"/>
      <c r="E223" s="193"/>
      <c r="F223" s="193"/>
      <c r="G223" s="193"/>
      <c r="H223" s="81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 spans="1:27" ht="15.6">
      <c r="A224" s="193"/>
      <c r="B224" s="193"/>
      <c r="C224" s="193"/>
      <c r="D224" s="193"/>
      <c r="E224" s="193"/>
      <c r="F224" s="193"/>
      <c r="G224" s="193"/>
      <c r="H224" s="81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 spans="1:27" ht="15.6">
      <c r="A225" s="193"/>
      <c r="B225" s="193"/>
      <c r="C225" s="193"/>
      <c r="D225" s="193"/>
      <c r="E225" s="193"/>
      <c r="F225" s="193"/>
      <c r="G225" s="193"/>
      <c r="H225" s="81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 spans="1:27" ht="15.6">
      <c r="A226" s="193"/>
      <c r="B226" s="193"/>
      <c r="C226" s="193"/>
      <c r="D226" s="193"/>
      <c r="E226" s="193"/>
      <c r="F226" s="193"/>
      <c r="G226" s="193"/>
      <c r="H226" s="81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 spans="1:27" ht="15.6">
      <c r="A227" s="193"/>
      <c r="B227" s="193"/>
      <c r="C227" s="193"/>
      <c r="D227" s="193"/>
      <c r="E227" s="193"/>
      <c r="F227" s="193"/>
      <c r="G227" s="193"/>
      <c r="H227" s="81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 spans="1:27" ht="15.6">
      <c r="A228" s="193"/>
      <c r="B228" s="193"/>
      <c r="C228" s="193"/>
      <c r="D228" s="193"/>
      <c r="E228" s="193"/>
      <c r="F228" s="193"/>
      <c r="G228" s="193"/>
      <c r="H228" s="81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 spans="1:27" ht="15.6">
      <c r="A229" s="193"/>
      <c r="B229" s="193"/>
      <c r="C229" s="193"/>
      <c r="D229" s="193"/>
      <c r="E229" s="193"/>
      <c r="F229" s="193"/>
      <c r="G229" s="193"/>
      <c r="H229" s="81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 spans="1:27" ht="15.6">
      <c r="A230" s="193"/>
      <c r="B230" s="193"/>
      <c r="C230" s="193"/>
      <c r="D230" s="193"/>
      <c r="E230" s="193"/>
      <c r="F230" s="193"/>
      <c r="G230" s="193"/>
      <c r="H230" s="81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 spans="1:27" ht="15.6">
      <c r="A231" s="193"/>
      <c r="B231" s="193"/>
      <c r="C231" s="193"/>
      <c r="D231" s="193"/>
      <c r="E231" s="193"/>
      <c r="F231" s="193"/>
      <c r="G231" s="193"/>
      <c r="H231" s="81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 spans="1:27" ht="15.6">
      <c r="A232" s="193"/>
      <c r="B232" s="193"/>
      <c r="C232" s="193"/>
      <c r="D232" s="193"/>
      <c r="E232" s="193"/>
      <c r="F232" s="193"/>
      <c r="G232" s="193"/>
      <c r="H232" s="81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 spans="1:27" ht="15.6">
      <c r="A233" s="193"/>
      <c r="B233" s="193"/>
      <c r="C233" s="193"/>
      <c r="D233" s="193"/>
      <c r="E233" s="193"/>
      <c r="F233" s="193"/>
      <c r="G233" s="193"/>
      <c r="H233" s="81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 spans="1:27" ht="15.6">
      <c r="A234" s="193"/>
      <c r="B234" s="193"/>
      <c r="C234" s="193"/>
      <c r="D234" s="193"/>
      <c r="E234" s="193"/>
      <c r="F234" s="193"/>
      <c r="G234" s="193"/>
      <c r="H234" s="81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 spans="1:27" ht="15.6">
      <c r="A235" s="193"/>
      <c r="B235" s="193"/>
      <c r="C235" s="193"/>
      <c r="D235" s="193"/>
      <c r="E235" s="193"/>
      <c r="F235" s="193"/>
      <c r="G235" s="193"/>
      <c r="H235" s="81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 spans="1:27" ht="15.6">
      <c r="A236" s="193"/>
      <c r="B236" s="193"/>
      <c r="C236" s="193"/>
      <c r="D236" s="193"/>
      <c r="E236" s="193"/>
      <c r="F236" s="193"/>
      <c r="G236" s="193"/>
      <c r="H236" s="81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 spans="1:27" ht="15.6">
      <c r="A237" s="193"/>
      <c r="B237" s="193"/>
      <c r="C237" s="193"/>
      <c r="D237" s="193"/>
      <c r="E237" s="193"/>
      <c r="F237" s="193"/>
      <c r="G237" s="193"/>
      <c r="H237" s="81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 spans="1:27" ht="15.6">
      <c r="A238" s="193"/>
      <c r="B238" s="193"/>
      <c r="C238" s="193"/>
      <c r="D238" s="193"/>
      <c r="E238" s="193"/>
      <c r="F238" s="193"/>
      <c r="G238" s="193"/>
      <c r="H238" s="81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 spans="1:27" ht="15.6">
      <c r="A239" s="193"/>
      <c r="B239" s="193"/>
      <c r="C239" s="193"/>
      <c r="D239" s="193"/>
      <c r="E239" s="193"/>
      <c r="F239" s="193"/>
      <c r="G239" s="193"/>
      <c r="H239" s="81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 spans="1:27" ht="15.6">
      <c r="A240" s="193"/>
      <c r="B240" s="193"/>
      <c r="C240" s="193"/>
      <c r="D240" s="193"/>
      <c r="E240" s="193"/>
      <c r="F240" s="193"/>
      <c r="G240" s="193"/>
      <c r="H240" s="81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 spans="1:27" ht="15.6">
      <c r="A241" s="193"/>
      <c r="B241" s="193"/>
      <c r="C241" s="193"/>
      <c r="D241" s="193"/>
      <c r="E241" s="193"/>
      <c r="F241" s="193"/>
      <c r="G241" s="193"/>
      <c r="H241" s="81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 spans="1:27" ht="15.6">
      <c r="A242" s="193"/>
      <c r="B242" s="193"/>
      <c r="C242" s="193"/>
      <c r="D242" s="193"/>
      <c r="E242" s="193"/>
      <c r="F242" s="193"/>
      <c r="G242" s="193"/>
      <c r="H242" s="81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 spans="1:27" ht="15.6">
      <c r="A243" s="193"/>
      <c r="B243" s="193"/>
      <c r="C243" s="193"/>
      <c r="D243" s="193"/>
      <c r="E243" s="193"/>
      <c r="F243" s="193"/>
      <c r="G243" s="193"/>
      <c r="H243" s="81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 spans="1:27" ht="15.6">
      <c r="A244" s="193"/>
      <c r="B244" s="193"/>
      <c r="C244" s="193"/>
      <c r="D244" s="193"/>
      <c r="E244" s="193"/>
      <c r="F244" s="193"/>
      <c r="G244" s="193"/>
      <c r="H244" s="81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 spans="1:27" ht="15.6">
      <c r="A245" s="193"/>
      <c r="B245" s="193"/>
      <c r="C245" s="193"/>
      <c r="D245" s="193"/>
      <c r="E245" s="193"/>
      <c r="F245" s="193"/>
      <c r="G245" s="193"/>
      <c r="H245" s="81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 spans="1:27" ht="15.6">
      <c r="A246" s="193"/>
      <c r="B246" s="193"/>
      <c r="C246" s="193"/>
      <c r="D246" s="193"/>
      <c r="E246" s="193"/>
      <c r="F246" s="193"/>
      <c r="G246" s="193"/>
      <c r="H246" s="81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 spans="1:27" ht="15.6">
      <c r="A247" s="193"/>
      <c r="B247" s="193"/>
      <c r="C247" s="193"/>
      <c r="D247" s="193"/>
      <c r="E247" s="193"/>
      <c r="F247" s="193"/>
      <c r="G247" s="193"/>
      <c r="H247" s="81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 spans="1:27" ht="15.6">
      <c r="A248" s="193"/>
      <c r="B248" s="193"/>
      <c r="C248" s="193"/>
      <c r="D248" s="193"/>
      <c r="E248" s="193"/>
      <c r="F248" s="193"/>
      <c r="G248" s="193"/>
      <c r="H248" s="81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 spans="1:27" ht="15.6">
      <c r="A249" s="193"/>
      <c r="B249" s="193"/>
      <c r="C249" s="193"/>
      <c r="D249" s="193"/>
      <c r="E249" s="193"/>
      <c r="F249" s="193"/>
      <c r="G249" s="193"/>
      <c r="H249" s="81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 spans="1:27" ht="15.6">
      <c r="A250" s="193"/>
      <c r="B250" s="193"/>
      <c r="C250" s="193"/>
      <c r="D250" s="193"/>
      <c r="E250" s="193"/>
      <c r="F250" s="193"/>
      <c r="G250" s="193"/>
      <c r="H250" s="81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 spans="1:27" ht="15.6">
      <c r="A251" s="193"/>
      <c r="B251" s="193"/>
      <c r="C251" s="193"/>
      <c r="D251" s="193"/>
      <c r="E251" s="193"/>
      <c r="F251" s="193"/>
      <c r="G251" s="193"/>
      <c r="H251" s="81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 spans="1:27" ht="15.6">
      <c r="A252" s="193"/>
      <c r="B252" s="193"/>
      <c r="C252" s="193"/>
      <c r="D252" s="193"/>
      <c r="E252" s="193"/>
      <c r="F252" s="193"/>
      <c r="G252" s="193"/>
      <c r="H252" s="81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 spans="1:27" ht="15.6">
      <c r="A253" s="193"/>
      <c r="B253" s="193"/>
      <c r="C253" s="193"/>
      <c r="D253" s="193"/>
      <c r="E253" s="193"/>
      <c r="F253" s="193"/>
      <c r="G253" s="193"/>
      <c r="H253" s="81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 spans="1:27" ht="15.6">
      <c r="A254" s="193"/>
      <c r="B254" s="193"/>
      <c r="C254" s="193"/>
      <c r="D254" s="193"/>
      <c r="E254" s="193"/>
      <c r="F254" s="193"/>
      <c r="G254" s="193"/>
      <c r="H254" s="81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 spans="1:27" ht="15.6">
      <c r="A255" s="193"/>
      <c r="B255" s="193"/>
      <c r="C255" s="193"/>
      <c r="D255" s="193"/>
      <c r="E255" s="193"/>
      <c r="F255" s="193"/>
      <c r="G255" s="193"/>
      <c r="H255" s="81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 spans="1:27" ht="15.6">
      <c r="A256" s="193"/>
      <c r="B256" s="193"/>
      <c r="C256" s="193"/>
      <c r="D256" s="193"/>
      <c r="E256" s="193"/>
      <c r="F256" s="193"/>
      <c r="G256" s="193"/>
      <c r="H256" s="81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 spans="1:27" ht="15.6">
      <c r="A257" s="193"/>
      <c r="B257" s="193"/>
      <c r="C257" s="193"/>
      <c r="D257" s="193"/>
      <c r="E257" s="193"/>
      <c r="F257" s="193"/>
      <c r="G257" s="193"/>
      <c r="H257" s="81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 spans="1:27" ht="15.6">
      <c r="A258" s="193"/>
      <c r="B258" s="193"/>
      <c r="C258" s="193"/>
      <c r="D258" s="193"/>
      <c r="E258" s="193"/>
      <c r="F258" s="193"/>
      <c r="G258" s="193"/>
      <c r="H258" s="81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 spans="1:27" ht="15.6">
      <c r="A259" s="193"/>
      <c r="B259" s="193"/>
      <c r="C259" s="193"/>
      <c r="D259" s="193"/>
      <c r="E259" s="193"/>
      <c r="F259" s="193"/>
      <c r="G259" s="193"/>
      <c r="H259" s="81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 spans="1:27" ht="15.6">
      <c r="A260" s="193"/>
      <c r="B260" s="193"/>
      <c r="C260" s="193"/>
      <c r="D260" s="193"/>
      <c r="E260" s="193"/>
      <c r="F260" s="193"/>
      <c r="G260" s="193"/>
      <c r="H260" s="81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 spans="1:27" ht="15.6">
      <c r="A261" s="193"/>
      <c r="B261" s="193"/>
      <c r="C261" s="193"/>
      <c r="D261" s="193"/>
      <c r="E261" s="193"/>
      <c r="F261" s="193"/>
      <c r="G261" s="193"/>
      <c r="H261" s="81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 spans="1:27" ht="15.6">
      <c r="A262" s="193"/>
      <c r="B262" s="193"/>
      <c r="C262" s="193"/>
      <c r="D262" s="193"/>
      <c r="E262" s="193"/>
      <c r="F262" s="193"/>
      <c r="G262" s="193"/>
      <c r="H262" s="81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 spans="1:27" ht="15.6">
      <c r="A263" s="193"/>
      <c r="B263" s="193"/>
      <c r="C263" s="193"/>
      <c r="D263" s="193"/>
      <c r="E263" s="193"/>
      <c r="F263" s="193"/>
      <c r="G263" s="193"/>
      <c r="H263" s="81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 spans="1:27" ht="15.6">
      <c r="A264" s="193"/>
      <c r="B264" s="193"/>
      <c r="C264" s="193"/>
      <c r="D264" s="193"/>
      <c r="E264" s="193"/>
      <c r="F264" s="193"/>
      <c r="G264" s="193"/>
      <c r="H264" s="81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 spans="1:27" ht="15.6">
      <c r="A265" s="193"/>
      <c r="B265" s="193"/>
      <c r="C265" s="193"/>
      <c r="D265" s="193"/>
      <c r="E265" s="193"/>
      <c r="F265" s="193"/>
      <c r="G265" s="193"/>
      <c r="H265" s="81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 spans="1:27" ht="15.6">
      <c r="A266" s="193"/>
      <c r="B266" s="193"/>
      <c r="C266" s="193"/>
      <c r="D266" s="193"/>
      <c r="E266" s="193"/>
      <c r="F266" s="193"/>
      <c r="G266" s="193"/>
      <c r="H266" s="81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 spans="1:27" ht="15.6">
      <c r="A267" s="193"/>
      <c r="B267" s="193"/>
      <c r="C267" s="193"/>
      <c r="D267" s="193"/>
      <c r="E267" s="193"/>
      <c r="F267" s="193"/>
      <c r="G267" s="193"/>
      <c r="H267" s="81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 spans="1:27" ht="15.6">
      <c r="A268" s="193"/>
      <c r="B268" s="193"/>
      <c r="C268" s="193"/>
      <c r="D268" s="193"/>
      <c r="E268" s="193"/>
      <c r="F268" s="193"/>
      <c r="G268" s="193"/>
      <c r="H268" s="81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 spans="1:27" ht="15.6">
      <c r="A269" s="193"/>
      <c r="B269" s="193"/>
      <c r="C269" s="193"/>
      <c r="D269" s="193"/>
      <c r="E269" s="193"/>
      <c r="F269" s="193"/>
      <c r="G269" s="193"/>
      <c r="H269" s="81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 spans="1:27" ht="15.6">
      <c r="A270" s="193"/>
      <c r="B270" s="193"/>
      <c r="C270" s="193"/>
      <c r="D270" s="193"/>
      <c r="E270" s="193"/>
      <c r="F270" s="193"/>
      <c r="G270" s="193"/>
      <c r="H270" s="81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 spans="1:27" ht="15.6">
      <c r="A271" s="193"/>
      <c r="B271" s="193"/>
      <c r="C271" s="193"/>
      <c r="D271" s="193"/>
      <c r="E271" s="193"/>
      <c r="F271" s="193"/>
      <c r="G271" s="193"/>
      <c r="H271" s="81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 spans="1:27" ht="15.6">
      <c r="A272" s="193"/>
      <c r="B272" s="193"/>
      <c r="C272" s="193"/>
      <c r="D272" s="193"/>
      <c r="E272" s="193"/>
      <c r="F272" s="193"/>
      <c r="G272" s="193"/>
      <c r="H272" s="81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 spans="1:27" ht="15.6">
      <c r="A273" s="193"/>
      <c r="B273" s="193"/>
      <c r="C273" s="193"/>
      <c r="D273" s="193"/>
      <c r="E273" s="193"/>
      <c r="F273" s="193"/>
      <c r="G273" s="193"/>
      <c r="H273" s="81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 spans="1:27" ht="15.6">
      <c r="A274" s="193"/>
      <c r="B274" s="193"/>
      <c r="C274" s="193"/>
      <c r="D274" s="193"/>
      <c r="E274" s="193"/>
      <c r="F274" s="193"/>
      <c r="G274" s="193"/>
      <c r="H274" s="81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 spans="1:27" ht="15.6">
      <c r="A275" s="193"/>
      <c r="B275" s="193"/>
      <c r="C275" s="193"/>
      <c r="D275" s="193"/>
      <c r="E275" s="193"/>
      <c r="F275" s="193"/>
      <c r="G275" s="193"/>
      <c r="H275" s="81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 spans="1:27" ht="15.6">
      <c r="A276" s="193"/>
      <c r="B276" s="193"/>
      <c r="C276" s="193"/>
      <c r="D276" s="193"/>
      <c r="E276" s="193"/>
      <c r="F276" s="193"/>
      <c r="G276" s="193"/>
      <c r="H276" s="81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 spans="1:27" ht="15.6">
      <c r="A277" s="193"/>
      <c r="B277" s="193"/>
      <c r="C277" s="193"/>
      <c r="D277" s="193"/>
      <c r="E277" s="193"/>
      <c r="F277" s="193"/>
      <c r="G277" s="193"/>
      <c r="H277" s="81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 spans="1:27" ht="15.6">
      <c r="A278" s="193"/>
      <c r="B278" s="193"/>
      <c r="C278" s="193"/>
      <c r="D278" s="193"/>
      <c r="E278" s="193"/>
      <c r="F278" s="193"/>
      <c r="G278" s="193"/>
      <c r="H278" s="81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 spans="1:27" ht="15.6">
      <c r="A279" s="193"/>
      <c r="B279" s="193"/>
      <c r="C279" s="193"/>
      <c r="D279" s="193"/>
      <c r="E279" s="193"/>
      <c r="F279" s="193"/>
      <c r="G279" s="193"/>
      <c r="H279" s="81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 spans="1:27" ht="15.6">
      <c r="A280" s="193"/>
      <c r="B280" s="193"/>
      <c r="C280" s="193"/>
      <c r="D280" s="193"/>
      <c r="E280" s="193"/>
      <c r="F280" s="193"/>
      <c r="G280" s="193"/>
      <c r="H280" s="81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 spans="1:27" ht="15.6">
      <c r="A281" s="193"/>
      <c r="B281" s="193"/>
      <c r="C281" s="193"/>
      <c r="D281" s="193"/>
      <c r="E281" s="193"/>
      <c r="F281" s="193"/>
      <c r="G281" s="193"/>
      <c r="H281" s="81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 spans="1:27" ht="15.6">
      <c r="A282" s="193"/>
      <c r="B282" s="193"/>
      <c r="C282" s="193"/>
      <c r="D282" s="193"/>
      <c r="E282" s="193"/>
      <c r="F282" s="193"/>
      <c r="G282" s="193"/>
      <c r="H282" s="81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 spans="1:27" ht="15.6">
      <c r="A283" s="193"/>
      <c r="B283" s="193"/>
      <c r="C283" s="193"/>
      <c r="D283" s="193"/>
      <c r="E283" s="193"/>
      <c r="F283" s="193"/>
      <c r="G283" s="193"/>
      <c r="H283" s="81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 spans="1:27" ht="15.6">
      <c r="A284" s="193"/>
      <c r="B284" s="193"/>
      <c r="C284" s="193"/>
      <c r="D284" s="193"/>
      <c r="E284" s="193"/>
      <c r="F284" s="193"/>
      <c r="G284" s="193"/>
      <c r="H284" s="81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 spans="1:27" ht="15.6">
      <c r="A285" s="193"/>
      <c r="B285" s="193"/>
      <c r="C285" s="193"/>
      <c r="D285" s="193"/>
      <c r="E285" s="193"/>
      <c r="F285" s="193"/>
      <c r="G285" s="193"/>
      <c r="H285" s="81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 spans="1:27" ht="15.6">
      <c r="A286" s="193"/>
      <c r="B286" s="193"/>
      <c r="C286" s="193"/>
      <c r="D286" s="193"/>
      <c r="E286" s="193"/>
      <c r="F286" s="193"/>
      <c r="G286" s="193"/>
      <c r="H286" s="81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 spans="1:27" ht="15.6">
      <c r="A287" s="193"/>
      <c r="B287" s="193"/>
      <c r="C287" s="193"/>
      <c r="D287" s="193"/>
      <c r="E287" s="193"/>
      <c r="F287" s="193"/>
      <c r="G287" s="193"/>
      <c r="H287" s="81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 spans="1:27" ht="15.6">
      <c r="A288" s="193"/>
      <c r="B288" s="193"/>
      <c r="C288" s="193"/>
      <c r="D288" s="193"/>
      <c r="E288" s="193"/>
      <c r="F288" s="193"/>
      <c r="G288" s="193"/>
      <c r="H288" s="81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 spans="1:27" ht="15.6">
      <c r="A289" s="193"/>
      <c r="B289" s="193"/>
      <c r="C289" s="193"/>
      <c r="D289" s="193"/>
      <c r="E289" s="193"/>
      <c r="F289" s="193"/>
      <c r="G289" s="193"/>
      <c r="H289" s="81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 spans="1:27" ht="15.6">
      <c r="A290" s="193"/>
      <c r="B290" s="193"/>
      <c r="C290" s="193"/>
      <c r="D290" s="193"/>
      <c r="E290" s="193"/>
      <c r="F290" s="193"/>
      <c r="G290" s="193"/>
      <c r="H290" s="81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 spans="1:27" ht="15.6">
      <c r="A291" s="193"/>
      <c r="B291" s="193"/>
      <c r="C291" s="193"/>
      <c r="D291" s="193"/>
      <c r="E291" s="193"/>
      <c r="F291" s="193"/>
      <c r="G291" s="193"/>
      <c r="H291" s="81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 spans="1:27" ht="15.6">
      <c r="A292" s="193"/>
      <c r="B292" s="193"/>
      <c r="C292" s="193"/>
      <c r="D292" s="193"/>
      <c r="E292" s="193"/>
      <c r="F292" s="193"/>
      <c r="G292" s="193"/>
      <c r="H292" s="81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 spans="1:27" ht="15.6">
      <c r="A293" s="193"/>
      <c r="B293" s="193"/>
      <c r="C293" s="193"/>
      <c r="D293" s="193"/>
      <c r="E293" s="193"/>
      <c r="F293" s="193"/>
      <c r="G293" s="193"/>
      <c r="H293" s="81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 spans="1:27" ht="15.6">
      <c r="A294" s="193"/>
      <c r="B294" s="193"/>
      <c r="C294" s="193"/>
      <c r="D294" s="193"/>
      <c r="E294" s="193"/>
      <c r="F294" s="193"/>
      <c r="G294" s="193"/>
      <c r="H294" s="81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 spans="1:27" ht="15.6">
      <c r="A295" s="193"/>
      <c r="B295" s="193"/>
      <c r="C295" s="193"/>
      <c r="D295" s="193"/>
      <c r="E295" s="193"/>
      <c r="F295" s="193"/>
      <c r="G295" s="193"/>
      <c r="H295" s="81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 spans="1:27" ht="15.6">
      <c r="A296" s="193"/>
      <c r="B296" s="193"/>
      <c r="C296" s="193"/>
      <c r="D296" s="193"/>
      <c r="E296" s="193"/>
      <c r="F296" s="193"/>
      <c r="G296" s="193"/>
      <c r="H296" s="81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 spans="1:27" ht="15.6">
      <c r="A297" s="193"/>
      <c r="B297" s="193"/>
      <c r="C297" s="193"/>
      <c r="D297" s="193"/>
      <c r="E297" s="193"/>
      <c r="F297" s="193"/>
      <c r="G297" s="193"/>
      <c r="H297" s="81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 spans="1:27" ht="15.6">
      <c r="A298" s="193"/>
      <c r="B298" s="193"/>
      <c r="C298" s="193"/>
      <c r="D298" s="193"/>
      <c r="E298" s="193"/>
      <c r="F298" s="193"/>
      <c r="G298" s="193"/>
      <c r="H298" s="81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 spans="1:27" ht="15.6">
      <c r="A299" s="193"/>
      <c r="B299" s="193"/>
      <c r="C299" s="193"/>
      <c r="D299" s="193"/>
      <c r="E299" s="193"/>
      <c r="F299" s="193"/>
      <c r="G299" s="193"/>
      <c r="H299" s="81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 spans="1:27" ht="15.6">
      <c r="A300" s="193"/>
      <c r="B300" s="193"/>
      <c r="C300" s="193"/>
      <c r="D300" s="193"/>
      <c r="E300" s="193"/>
      <c r="F300" s="193"/>
      <c r="G300" s="193"/>
      <c r="H300" s="81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 spans="1:27" ht="15.6">
      <c r="A301" s="193"/>
      <c r="B301" s="193"/>
      <c r="C301" s="193"/>
      <c r="D301" s="193"/>
      <c r="E301" s="193"/>
      <c r="F301" s="193"/>
      <c r="G301" s="193"/>
      <c r="H301" s="81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 spans="1:27" ht="15.6">
      <c r="A302" s="193"/>
      <c r="B302" s="193"/>
      <c r="C302" s="193"/>
      <c r="D302" s="193"/>
      <c r="E302" s="193"/>
      <c r="F302" s="193"/>
      <c r="G302" s="193"/>
      <c r="H302" s="81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 spans="1:27" ht="15.6">
      <c r="A303" s="193"/>
      <c r="B303" s="193"/>
      <c r="C303" s="193"/>
      <c r="D303" s="193"/>
      <c r="E303" s="193"/>
      <c r="F303" s="193"/>
      <c r="G303" s="193"/>
      <c r="H303" s="81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 spans="1:27" ht="15.6">
      <c r="A304" s="193"/>
      <c r="B304" s="193"/>
      <c r="C304" s="193"/>
      <c r="D304" s="193"/>
      <c r="E304" s="193"/>
      <c r="F304" s="193"/>
      <c r="G304" s="193"/>
      <c r="H304" s="81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 spans="1:27" ht="15.6">
      <c r="A305" s="193"/>
      <c r="B305" s="193"/>
      <c r="C305" s="193"/>
      <c r="D305" s="193"/>
      <c r="E305" s="193"/>
      <c r="F305" s="193"/>
      <c r="G305" s="193"/>
      <c r="H305" s="81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 spans="1:27" ht="15.6">
      <c r="A306" s="193"/>
      <c r="B306" s="193"/>
      <c r="C306" s="193"/>
      <c r="D306" s="193"/>
      <c r="E306" s="193"/>
      <c r="F306" s="193"/>
      <c r="G306" s="193"/>
      <c r="H306" s="81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 spans="1:27" ht="15.6">
      <c r="A307" s="193"/>
      <c r="B307" s="193"/>
      <c r="C307" s="193"/>
      <c r="D307" s="193"/>
      <c r="E307" s="193"/>
      <c r="F307" s="193"/>
      <c r="G307" s="193"/>
      <c r="H307" s="81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 spans="1:27" ht="15.6">
      <c r="A308" s="193"/>
      <c r="B308" s="193"/>
      <c r="C308" s="193"/>
      <c r="D308" s="193"/>
      <c r="E308" s="193"/>
      <c r="F308" s="193"/>
      <c r="G308" s="193"/>
      <c r="H308" s="81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 spans="1:27" ht="15.6">
      <c r="A309" s="193"/>
      <c r="B309" s="193"/>
      <c r="C309" s="193"/>
      <c r="D309" s="193"/>
      <c r="E309" s="193"/>
      <c r="F309" s="193"/>
      <c r="G309" s="193"/>
      <c r="H309" s="81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 spans="1:27" ht="15.6">
      <c r="A310" s="193"/>
      <c r="B310" s="193"/>
      <c r="C310" s="193"/>
      <c r="D310" s="193"/>
      <c r="E310" s="193"/>
      <c r="F310" s="193"/>
      <c r="G310" s="193"/>
      <c r="H310" s="81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 spans="1:27" ht="15.6">
      <c r="A311" s="193"/>
      <c r="B311" s="193"/>
      <c r="C311" s="193"/>
      <c r="D311" s="193"/>
      <c r="E311" s="193"/>
      <c r="F311" s="193"/>
      <c r="G311" s="193"/>
      <c r="H311" s="81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 spans="1:27" ht="15.6">
      <c r="A312" s="193"/>
      <c r="B312" s="193"/>
      <c r="C312" s="193"/>
      <c r="D312" s="193"/>
      <c r="E312" s="193"/>
      <c r="F312" s="193"/>
      <c r="G312" s="193"/>
      <c r="H312" s="81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 spans="1:27" ht="15.6">
      <c r="A313" s="193"/>
      <c r="B313" s="193"/>
      <c r="C313" s="193"/>
      <c r="D313" s="193"/>
      <c r="E313" s="193"/>
      <c r="F313" s="193"/>
      <c r="G313" s="193"/>
      <c r="H313" s="81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 spans="1:27" ht="15.6">
      <c r="A314" s="193"/>
      <c r="B314" s="193"/>
      <c r="C314" s="193"/>
      <c r="D314" s="193"/>
      <c r="E314" s="193"/>
      <c r="F314" s="193"/>
      <c r="G314" s="193"/>
      <c r="H314" s="81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 spans="1:27" ht="15.6">
      <c r="A315" s="193"/>
      <c r="B315" s="193"/>
      <c r="C315" s="193"/>
      <c r="D315" s="193"/>
      <c r="E315" s="193"/>
      <c r="F315" s="193"/>
      <c r="G315" s="193"/>
      <c r="H315" s="81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 spans="1:27" ht="15.6">
      <c r="A316" s="193"/>
      <c r="B316" s="193"/>
      <c r="C316" s="193"/>
      <c r="D316" s="193"/>
      <c r="E316" s="193"/>
      <c r="F316" s="193"/>
      <c r="G316" s="193"/>
      <c r="H316" s="81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 spans="1:27" ht="15.6">
      <c r="A317" s="193"/>
      <c r="B317" s="193"/>
      <c r="C317" s="193"/>
      <c r="D317" s="193"/>
      <c r="E317" s="193"/>
      <c r="F317" s="193"/>
      <c r="G317" s="193"/>
      <c r="H317" s="81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 spans="1:27" ht="15.6">
      <c r="A318" s="193"/>
      <c r="B318" s="193"/>
      <c r="C318" s="193"/>
      <c r="D318" s="193"/>
      <c r="E318" s="193"/>
      <c r="F318" s="193"/>
      <c r="G318" s="193"/>
      <c r="H318" s="81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 spans="1:27" ht="15.6">
      <c r="A319" s="193"/>
      <c r="B319" s="193"/>
      <c r="C319" s="193"/>
      <c r="D319" s="193"/>
      <c r="E319" s="193"/>
      <c r="F319" s="193"/>
      <c r="G319" s="193"/>
      <c r="H319" s="81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 spans="1:27" ht="15.6">
      <c r="A320" s="193"/>
      <c r="B320" s="193"/>
      <c r="C320" s="193"/>
      <c r="D320" s="193"/>
      <c r="E320" s="193"/>
      <c r="F320" s="193"/>
      <c r="G320" s="193"/>
      <c r="H320" s="81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 spans="1:27" ht="15.6">
      <c r="A321" s="193"/>
      <c r="B321" s="193"/>
      <c r="C321" s="193"/>
      <c r="D321" s="193"/>
      <c r="E321" s="193"/>
      <c r="F321" s="193"/>
      <c r="G321" s="193"/>
      <c r="H321" s="81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 spans="1:27" ht="15.6">
      <c r="A322" s="193"/>
      <c r="B322" s="193"/>
      <c r="C322" s="193"/>
      <c r="D322" s="193"/>
      <c r="E322" s="193"/>
      <c r="F322" s="193"/>
      <c r="G322" s="193"/>
      <c r="H322" s="81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 spans="1:27" ht="15.6">
      <c r="A323" s="193"/>
      <c r="B323" s="193"/>
      <c r="C323" s="193"/>
      <c r="D323" s="193"/>
      <c r="E323" s="193"/>
      <c r="F323" s="193"/>
      <c r="G323" s="193"/>
      <c r="H323" s="81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 spans="1:27" ht="15.6">
      <c r="A324" s="193"/>
      <c r="B324" s="193"/>
      <c r="C324" s="193"/>
      <c r="D324" s="193"/>
      <c r="E324" s="193"/>
      <c r="F324" s="193"/>
      <c r="G324" s="193"/>
      <c r="H324" s="81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 spans="1:27" ht="15.6">
      <c r="A325" s="193"/>
      <c r="B325" s="193"/>
      <c r="C325" s="193"/>
      <c r="D325" s="193"/>
      <c r="E325" s="193"/>
      <c r="F325" s="193"/>
      <c r="G325" s="193"/>
      <c r="H325" s="81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 spans="1:27" ht="15.6">
      <c r="A326" s="193"/>
      <c r="B326" s="193"/>
      <c r="C326" s="193"/>
      <c r="D326" s="193"/>
      <c r="E326" s="193"/>
      <c r="F326" s="193"/>
      <c r="G326" s="193"/>
      <c r="H326" s="81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 spans="1:27" ht="15.6">
      <c r="A327" s="193"/>
      <c r="B327" s="193"/>
      <c r="C327" s="193"/>
      <c r="D327" s="193"/>
      <c r="E327" s="193"/>
      <c r="F327" s="193"/>
      <c r="G327" s="193"/>
      <c r="H327" s="81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 spans="1:27" ht="15.6">
      <c r="A328" s="193"/>
      <c r="B328" s="193"/>
      <c r="C328" s="193"/>
      <c r="D328" s="193"/>
      <c r="E328" s="193"/>
      <c r="F328" s="193"/>
      <c r="G328" s="193"/>
      <c r="H328" s="81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 spans="1:27" ht="15.6">
      <c r="A329" s="193"/>
      <c r="B329" s="193"/>
      <c r="C329" s="193"/>
      <c r="D329" s="193"/>
      <c r="E329" s="193"/>
      <c r="F329" s="193"/>
      <c r="G329" s="193"/>
      <c r="H329" s="81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 spans="1:27" ht="15.6">
      <c r="A330" s="193"/>
      <c r="B330" s="193"/>
      <c r="C330" s="193"/>
      <c r="D330" s="193"/>
      <c r="E330" s="193"/>
      <c r="F330" s="193"/>
      <c r="G330" s="193"/>
      <c r="H330" s="81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 spans="1:27" ht="15.6">
      <c r="A331" s="193"/>
      <c r="B331" s="193"/>
      <c r="C331" s="193"/>
      <c r="D331" s="193"/>
      <c r="E331" s="193"/>
      <c r="F331" s="193"/>
      <c r="G331" s="193"/>
      <c r="H331" s="81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 spans="1:27" ht="15.6">
      <c r="A332" s="193"/>
      <c r="B332" s="193"/>
      <c r="C332" s="193"/>
      <c r="D332" s="193"/>
      <c r="E332" s="193"/>
      <c r="F332" s="193"/>
      <c r="G332" s="193"/>
      <c r="H332" s="81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 spans="1:27" ht="15.6">
      <c r="A333" s="193"/>
      <c r="B333" s="193"/>
      <c r="C333" s="193"/>
      <c r="D333" s="193"/>
      <c r="E333" s="193"/>
      <c r="F333" s="193"/>
      <c r="G333" s="193"/>
      <c r="H333" s="81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 spans="1:27" ht="15.6">
      <c r="A334" s="193"/>
      <c r="B334" s="193"/>
      <c r="C334" s="193"/>
      <c r="D334" s="193"/>
      <c r="E334" s="193"/>
      <c r="F334" s="193"/>
      <c r="G334" s="193"/>
      <c r="H334" s="81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 spans="1:27" ht="15.6">
      <c r="A335" s="193"/>
      <c r="B335" s="193"/>
      <c r="C335" s="193"/>
      <c r="D335" s="193"/>
      <c r="E335" s="193"/>
      <c r="F335" s="193"/>
      <c r="G335" s="193"/>
      <c r="H335" s="81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 spans="1:27" ht="15.6">
      <c r="A336" s="193"/>
      <c r="B336" s="193"/>
      <c r="C336" s="193"/>
      <c r="D336" s="193"/>
      <c r="E336" s="193"/>
      <c r="F336" s="193"/>
      <c r="G336" s="193"/>
      <c r="H336" s="81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 spans="1:27" ht="15.6">
      <c r="A337" s="193"/>
      <c r="B337" s="193"/>
      <c r="C337" s="193"/>
      <c r="D337" s="193"/>
      <c r="E337" s="193"/>
      <c r="F337" s="193"/>
      <c r="G337" s="193"/>
      <c r="H337" s="81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 spans="1:27" ht="15.6">
      <c r="A338" s="193"/>
      <c r="B338" s="193"/>
      <c r="C338" s="193"/>
      <c r="D338" s="193"/>
      <c r="E338" s="193"/>
      <c r="F338" s="193"/>
      <c r="G338" s="193"/>
      <c r="H338" s="81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 spans="1:27" ht="15.6">
      <c r="A339" s="193"/>
      <c r="B339" s="193"/>
      <c r="C339" s="193"/>
      <c r="D339" s="193"/>
      <c r="E339" s="193"/>
      <c r="F339" s="193"/>
      <c r="G339" s="193"/>
      <c r="H339" s="81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 spans="1:27" ht="15.6">
      <c r="A340" s="193"/>
      <c r="B340" s="193"/>
      <c r="C340" s="193"/>
      <c r="D340" s="193"/>
      <c r="E340" s="193"/>
      <c r="F340" s="193"/>
      <c r="G340" s="193"/>
      <c r="H340" s="81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 spans="1:27" ht="15.6">
      <c r="A341" s="193"/>
      <c r="B341" s="193"/>
      <c r="C341" s="193"/>
      <c r="D341" s="193"/>
      <c r="E341" s="193"/>
      <c r="F341" s="193"/>
      <c r="G341" s="193"/>
      <c r="H341" s="81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 spans="1:27" ht="15.6">
      <c r="A342" s="193"/>
      <c r="B342" s="193"/>
      <c r="C342" s="193"/>
      <c r="D342" s="193"/>
      <c r="E342" s="193"/>
      <c r="F342" s="193"/>
      <c r="G342" s="193"/>
      <c r="H342" s="81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 spans="1:27" ht="15.6">
      <c r="A343" s="193"/>
      <c r="B343" s="193"/>
      <c r="C343" s="193"/>
      <c r="D343" s="193"/>
      <c r="E343" s="193"/>
      <c r="F343" s="193"/>
      <c r="G343" s="193"/>
      <c r="H343" s="81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 spans="1:27" ht="15.6">
      <c r="A344" s="193"/>
      <c r="B344" s="193"/>
      <c r="C344" s="193"/>
      <c r="D344" s="193"/>
      <c r="E344" s="193"/>
      <c r="F344" s="193"/>
      <c r="G344" s="193"/>
      <c r="H344" s="81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 spans="1:27" ht="15.6">
      <c r="A345" s="193"/>
      <c r="B345" s="193"/>
      <c r="C345" s="193"/>
      <c r="D345" s="193"/>
      <c r="E345" s="193"/>
      <c r="F345" s="193"/>
      <c r="G345" s="193"/>
      <c r="H345" s="81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 spans="1:27" ht="15.6">
      <c r="A346" s="193"/>
      <c r="B346" s="193"/>
      <c r="C346" s="193"/>
      <c r="D346" s="193"/>
      <c r="E346" s="193"/>
      <c r="F346" s="193"/>
      <c r="G346" s="193"/>
      <c r="H346" s="81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 spans="1:27" ht="15.6">
      <c r="A347" s="193"/>
      <c r="B347" s="193"/>
      <c r="C347" s="193"/>
      <c r="D347" s="193"/>
      <c r="E347" s="193"/>
      <c r="F347" s="193"/>
      <c r="G347" s="193"/>
      <c r="H347" s="81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 spans="1:27" ht="15.6">
      <c r="A348" s="193"/>
      <c r="B348" s="193"/>
      <c r="C348" s="193"/>
      <c r="D348" s="193"/>
      <c r="E348" s="193"/>
      <c r="F348" s="193"/>
      <c r="G348" s="193"/>
      <c r="H348" s="81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 spans="1:27" ht="15.6">
      <c r="A349" s="193"/>
      <c r="B349" s="193"/>
      <c r="C349" s="193"/>
      <c r="D349" s="193"/>
      <c r="E349" s="193"/>
      <c r="F349" s="193"/>
      <c r="G349" s="193"/>
      <c r="H349" s="81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 spans="1:27" ht="15.6">
      <c r="A350" s="193"/>
      <c r="B350" s="193"/>
      <c r="C350" s="193"/>
      <c r="D350" s="193"/>
      <c r="E350" s="193"/>
      <c r="F350" s="193"/>
      <c r="G350" s="193"/>
      <c r="H350" s="81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 spans="1:27" ht="15.6">
      <c r="A351" s="193"/>
      <c r="B351" s="193"/>
      <c r="C351" s="193"/>
      <c r="D351" s="193"/>
      <c r="E351" s="193"/>
      <c r="F351" s="193"/>
      <c r="G351" s="193"/>
      <c r="H351" s="81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 spans="1:27" ht="15.6">
      <c r="A352" s="193"/>
      <c r="B352" s="193"/>
      <c r="C352" s="193"/>
      <c r="D352" s="193"/>
      <c r="E352" s="193"/>
      <c r="F352" s="193"/>
      <c r="G352" s="193"/>
      <c r="H352" s="81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 spans="1:27" ht="15.6">
      <c r="A353" s="193"/>
      <c r="B353" s="193"/>
      <c r="C353" s="193"/>
      <c r="D353" s="193"/>
      <c r="E353" s="193"/>
      <c r="F353" s="193"/>
      <c r="G353" s="193"/>
      <c r="H353" s="81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 spans="1:27" ht="15.6">
      <c r="A354" s="193"/>
      <c r="B354" s="193"/>
      <c r="C354" s="193"/>
      <c r="D354" s="193"/>
      <c r="E354" s="193"/>
      <c r="F354" s="193"/>
      <c r="G354" s="193"/>
      <c r="H354" s="81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 spans="1:27" ht="15.6">
      <c r="A355" s="193"/>
      <c r="B355" s="193"/>
      <c r="C355" s="193"/>
      <c r="D355" s="193"/>
      <c r="E355" s="193"/>
      <c r="F355" s="193"/>
      <c r="G355" s="193"/>
      <c r="H355" s="81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 spans="1:27" ht="15.6">
      <c r="A356" s="193"/>
      <c r="B356" s="193"/>
      <c r="C356" s="193"/>
      <c r="D356" s="193"/>
      <c r="E356" s="193"/>
      <c r="F356" s="193"/>
      <c r="G356" s="193"/>
      <c r="H356" s="81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 spans="1:27" ht="15.6">
      <c r="A357" s="193"/>
      <c r="B357" s="193"/>
      <c r="C357" s="193"/>
      <c r="D357" s="193"/>
      <c r="E357" s="193"/>
      <c r="F357" s="193"/>
      <c r="G357" s="193"/>
      <c r="H357" s="81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 spans="1:27" ht="15.6">
      <c r="A358" s="193"/>
      <c r="B358" s="193"/>
      <c r="C358" s="193"/>
      <c r="D358" s="193"/>
      <c r="E358" s="193"/>
      <c r="F358" s="193"/>
      <c r="G358" s="193"/>
      <c r="H358" s="81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 spans="1:27" ht="15.6">
      <c r="A359" s="193"/>
      <c r="B359" s="193"/>
      <c r="C359" s="193"/>
      <c r="D359" s="193"/>
      <c r="E359" s="193"/>
      <c r="F359" s="193"/>
      <c r="G359" s="193"/>
      <c r="H359" s="81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 spans="1:27" ht="15.6">
      <c r="A360" s="193"/>
      <c r="B360" s="193"/>
      <c r="C360" s="193"/>
      <c r="D360" s="193"/>
      <c r="E360" s="193"/>
      <c r="F360" s="193"/>
      <c r="G360" s="193"/>
      <c r="H360" s="81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 spans="1:27" ht="15.6">
      <c r="A361" s="193"/>
      <c r="B361" s="193"/>
      <c r="C361" s="193"/>
      <c r="D361" s="193"/>
      <c r="E361" s="193"/>
      <c r="F361" s="193"/>
      <c r="G361" s="193"/>
      <c r="H361" s="81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 spans="1:27" ht="15.6">
      <c r="A362" s="193"/>
      <c r="B362" s="193"/>
      <c r="C362" s="193"/>
      <c r="D362" s="193"/>
      <c r="E362" s="193"/>
      <c r="F362" s="193"/>
      <c r="G362" s="193"/>
      <c r="H362" s="81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 spans="1:27" ht="15.6">
      <c r="A363" s="193"/>
      <c r="B363" s="193"/>
      <c r="C363" s="193"/>
      <c r="D363" s="193"/>
      <c r="E363" s="193"/>
      <c r="F363" s="193"/>
      <c r="G363" s="193"/>
      <c r="H363" s="81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 spans="1:27" ht="15.6">
      <c r="A364" s="193"/>
      <c r="B364" s="193"/>
      <c r="C364" s="193"/>
      <c r="D364" s="193"/>
      <c r="E364" s="193"/>
      <c r="F364" s="193"/>
      <c r="G364" s="193"/>
      <c r="H364" s="81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 spans="1:27" ht="15.6">
      <c r="A365" s="193"/>
      <c r="B365" s="193"/>
      <c r="C365" s="193"/>
      <c r="D365" s="193"/>
      <c r="E365" s="193"/>
      <c r="F365" s="193"/>
      <c r="G365" s="193"/>
      <c r="H365" s="81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 spans="1:27" ht="15.6">
      <c r="A366" s="193"/>
      <c r="B366" s="193"/>
      <c r="C366" s="193"/>
      <c r="D366" s="193"/>
      <c r="E366" s="193"/>
      <c r="F366" s="193"/>
      <c r="G366" s="193"/>
      <c r="H366" s="81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 spans="1:27" ht="15.6">
      <c r="A367" s="193"/>
      <c r="B367" s="193"/>
      <c r="C367" s="193"/>
      <c r="D367" s="193"/>
      <c r="E367" s="193"/>
      <c r="F367" s="193"/>
      <c r="G367" s="193"/>
      <c r="H367" s="81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 spans="1:27" ht="15.6">
      <c r="A368" s="193"/>
      <c r="B368" s="193"/>
      <c r="C368" s="193"/>
      <c r="D368" s="193"/>
      <c r="E368" s="193"/>
      <c r="F368" s="193"/>
      <c r="G368" s="193"/>
      <c r="H368" s="81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 spans="1:27" ht="15.6">
      <c r="A369" s="193"/>
      <c r="B369" s="193"/>
      <c r="C369" s="193"/>
      <c r="D369" s="193"/>
      <c r="E369" s="193"/>
      <c r="F369" s="193"/>
      <c r="G369" s="193"/>
      <c r="H369" s="81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 spans="1:27" ht="15.6">
      <c r="A370" s="193"/>
      <c r="B370" s="193"/>
      <c r="C370" s="193"/>
      <c r="D370" s="193"/>
      <c r="E370" s="193"/>
      <c r="F370" s="193"/>
      <c r="G370" s="193"/>
      <c r="H370" s="81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 spans="1:27" ht="15.6">
      <c r="A371" s="193"/>
      <c r="B371" s="193"/>
      <c r="C371" s="193"/>
      <c r="D371" s="193"/>
      <c r="E371" s="193"/>
      <c r="F371" s="193"/>
      <c r="G371" s="193"/>
      <c r="H371" s="81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 spans="1:27" ht="15.6">
      <c r="A372" s="193"/>
      <c r="B372" s="193"/>
      <c r="C372" s="193"/>
      <c r="D372" s="193"/>
      <c r="E372" s="193"/>
      <c r="F372" s="193"/>
      <c r="G372" s="193"/>
      <c r="H372" s="81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 spans="1:27" ht="15.6">
      <c r="A373" s="193"/>
      <c r="B373" s="193"/>
      <c r="C373" s="193"/>
      <c r="D373" s="193"/>
      <c r="E373" s="193"/>
      <c r="F373" s="193"/>
      <c r="G373" s="193"/>
      <c r="H373" s="81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 spans="1:27" ht="15.6">
      <c r="A374" s="193"/>
      <c r="B374" s="193"/>
      <c r="C374" s="193"/>
      <c r="D374" s="193"/>
      <c r="E374" s="193"/>
      <c r="F374" s="193"/>
      <c r="G374" s="193"/>
      <c r="H374" s="81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 spans="1:27" ht="15.6">
      <c r="A375" s="193"/>
      <c r="B375" s="193"/>
      <c r="C375" s="193"/>
      <c r="D375" s="193"/>
      <c r="E375" s="193"/>
      <c r="F375" s="193"/>
      <c r="G375" s="193"/>
      <c r="H375" s="81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 spans="1:27" ht="15.6">
      <c r="A376" s="193"/>
      <c r="B376" s="193"/>
      <c r="C376" s="193"/>
      <c r="D376" s="193"/>
      <c r="E376" s="193"/>
      <c r="F376" s="193"/>
      <c r="G376" s="193"/>
      <c r="H376" s="81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 spans="1:27" ht="15.6">
      <c r="A377" s="193"/>
      <c r="B377" s="193"/>
      <c r="C377" s="193"/>
      <c r="D377" s="193"/>
      <c r="E377" s="193"/>
      <c r="F377" s="193"/>
      <c r="G377" s="193"/>
      <c r="H377" s="81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 spans="1:27" ht="15.6">
      <c r="A378" s="193"/>
      <c r="B378" s="193"/>
      <c r="C378" s="193"/>
      <c r="D378" s="193"/>
      <c r="E378" s="193"/>
      <c r="F378" s="193"/>
      <c r="G378" s="193"/>
      <c r="H378" s="81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 spans="1:27" ht="15.6">
      <c r="A379" s="193"/>
      <c r="B379" s="193"/>
      <c r="C379" s="193"/>
      <c r="D379" s="193"/>
      <c r="E379" s="193"/>
      <c r="F379" s="193"/>
      <c r="G379" s="193"/>
      <c r="H379" s="81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 spans="1:27" ht="15.6">
      <c r="A380" s="193"/>
      <c r="B380" s="193"/>
      <c r="C380" s="193"/>
      <c r="D380" s="193"/>
      <c r="E380" s="193"/>
      <c r="F380" s="193"/>
      <c r="G380" s="193"/>
      <c r="H380" s="81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 spans="1:27" ht="15.6">
      <c r="A381" s="193"/>
      <c r="B381" s="193"/>
      <c r="C381" s="193"/>
      <c r="D381" s="193"/>
      <c r="E381" s="193"/>
      <c r="F381" s="193"/>
      <c r="G381" s="193"/>
      <c r="H381" s="81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 spans="1:27" ht="15.6">
      <c r="A382" s="193"/>
      <c r="B382" s="193"/>
      <c r="C382" s="193"/>
      <c r="D382" s="193"/>
      <c r="E382" s="193"/>
      <c r="F382" s="193"/>
      <c r="G382" s="193"/>
      <c r="H382" s="81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 spans="1:27" ht="15.6">
      <c r="A383" s="193"/>
      <c r="B383" s="193"/>
      <c r="C383" s="193"/>
      <c r="D383" s="193"/>
      <c r="E383" s="193"/>
      <c r="F383" s="193"/>
      <c r="G383" s="193"/>
      <c r="H383" s="81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 spans="1:27" ht="15.6">
      <c r="A384" s="193"/>
      <c r="B384" s="193"/>
      <c r="C384" s="193"/>
      <c r="D384" s="193"/>
      <c r="E384" s="193"/>
      <c r="F384" s="193"/>
      <c r="G384" s="193"/>
      <c r="H384" s="81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 spans="1:27" ht="15.6">
      <c r="A385" s="193"/>
      <c r="B385" s="193"/>
      <c r="C385" s="193"/>
      <c r="D385" s="193"/>
      <c r="E385" s="193"/>
      <c r="F385" s="193"/>
      <c r="G385" s="193"/>
      <c r="H385" s="81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 spans="1:27" ht="15.6">
      <c r="A386" s="193"/>
      <c r="B386" s="193"/>
      <c r="C386" s="193"/>
      <c r="D386" s="193"/>
      <c r="E386" s="193"/>
      <c r="F386" s="193"/>
      <c r="G386" s="193"/>
      <c r="H386" s="81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 spans="1:27" ht="15.6">
      <c r="A387" s="193"/>
      <c r="B387" s="193"/>
      <c r="C387" s="193"/>
      <c r="D387" s="193"/>
      <c r="E387" s="193"/>
      <c r="F387" s="193"/>
      <c r="G387" s="193"/>
      <c r="H387" s="81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 spans="1:27" ht="15.6">
      <c r="A388" s="193"/>
      <c r="B388" s="193"/>
      <c r="C388" s="193"/>
      <c r="D388" s="193"/>
      <c r="E388" s="193"/>
      <c r="F388" s="193"/>
      <c r="G388" s="193"/>
      <c r="H388" s="81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 spans="1:27" ht="15.6">
      <c r="A389" s="193"/>
      <c r="B389" s="193"/>
      <c r="C389" s="193"/>
      <c r="D389" s="193"/>
      <c r="E389" s="193"/>
      <c r="F389" s="193"/>
      <c r="G389" s="193"/>
      <c r="H389" s="81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 spans="1:27" ht="15.6">
      <c r="A390" s="193"/>
      <c r="B390" s="193"/>
      <c r="C390" s="193"/>
      <c r="D390" s="193"/>
      <c r="E390" s="193"/>
      <c r="F390" s="193"/>
      <c r="G390" s="193"/>
      <c r="H390" s="81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 spans="1:27" ht="15.6">
      <c r="A391" s="193"/>
      <c r="B391" s="193"/>
      <c r="C391" s="193"/>
      <c r="D391" s="193"/>
      <c r="E391" s="193"/>
      <c r="F391" s="193"/>
      <c r="G391" s="193"/>
      <c r="H391" s="81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 spans="1:27" ht="15.6">
      <c r="A392" s="193"/>
      <c r="B392" s="193"/>
      <c r="C392" s="193"/>
      <c r="D392" s="193"/>
      <c r="E392" s="193"/>
      <c r="F392" s="193"/>
      <c r="G392" s="193"/>
      <c r="H392" s="81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 spans="1:27" ht="15.6">
      <c r="A393" s="193"/>
      <c r="B393" s="193"/>
      <c r="C393" s="193"/>
      <c r="D393" s="193"/>
      <c r="E393" s="193"/>
      <c r="F393" s="193"/>
      <c r="G393" s="193"/>
      <c r="H393" s="81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 spans="1:27" ht="15.6">
      <c r="A394" s="193"/>
      <c r="B394" s="193"/>
      <c r="C394" s="193"/>
      <c r="D394" s="193"/>
      <c r="E394" s="193"/>
      <c r="F394" s="193"/>
      <c r="G394" s="193"/>
      <c r="H394" s="81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 spans="1:27" ht="15.6">
      <c r="A395" s="193"/>
      <c r="B395" s="193"/>
      <c r="C395" s="193"/>
      <c r="D395" s="193"/>
      <c r="E395" s="193"/>
      <c r="F395" s="193"/>
      <c r="G395" s="193"/>
      <c r="H395" s="81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 spans="1:27" ht="15.6">
      <c r="A396" s="193"/>
      <c r="B396" s="193"/>
      <c r="C396" s="193"/>
      <c r="D396" s="193"/>
      <c r="E396" s="193"/>
      <c r="F396" s="193"/>
      <c r="G396" s="193"/>
      <c r="H396" s="81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 spans="1:27" ht="15.6">
      <c r="A397" s="193"/>
      <c r="B397" s="193"/>
      <c r="C397" s="193"/>
      <c r="D397" s="193"/>
      <c r="E397" s="193"/>
      <c r="F397" s="193"/>
      <c r="G397" s="193"/>
      <c r="H397" s="81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 spans="1:27" ht="15.6">
      <c r="A398" s="193"/>
      <c r="B398" s="193"/>
      <c r="C398" s="193"/>
      <c r="D398" s="193"/>
      <c r="E398" s="193"/>
      <c r="F398" s="193"/>
      <c r="G398" s="193"/>
      <c r="H398" s="81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 spans="1:27" ht="15.6">
      <c r="A399" s="193"/>
      <c r="B399" s="193"/>
      <c r="C399" s="193"/>
      <c r="D399" s="193"/>
      <c r="E399" s="193"/>
      <c r="F399" s="193"/>
      <c r="G399" s="193"/>
      <c r="H399" s="81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 spans="1:27" ht="15.6">
      <c r="A400" s="193"/>
      <c r="B400" s="193"/>
      <c r="C400" s="193"/>
      <c r="D400" s="193"/>
      <c r="E400" s="193"/>
      <c r="F400" s="193"/>
      <c r="G400" s="193"/>
      <c r="H400" s="81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 spans="1:27" ht="15.6">
      <c r="A401" s="193"/>
      <c r="B401" s="193"/>
      <c r="C401" s="193"/>
      <c r="D401" s="193"/>
      <c r="E401" s="193"/>
      <c r="F401" s="193"/>
      <c r="G401" s="193"/>
      <c r="H401" s="81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 spans="1:27" ht="15.6">
      <c r="A402" s="193"/>
      <c r="B402" s="193"/>
      <c r="C402" s="193"/>
      <c r="D402" s="193"/>
      <c r="E402" s="193"/>
      <c r="F402" s="193"/>
      <c r="G402" s="193"/>
      <c r="H402" s="81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 spans="1:27" ht="15.6">
      <c r="A403" s="193"/>
      <c r="B403" s="193"/>
      <c r="C403" s="193"/>
      <c r="D403" s="193"/>
      <c r="E403" s="193"/>
      <c r="F403" s="193"/>
      <c r="G403" s="193"/>
      <c r="H403" s="81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 spans="1:27" ht="15.6">
      <c r="A404" s="193"/>
      <c r="B404" s="193"/>
      <c r="C404" s="193"/>
      <c r="D404" s="193"/>
      <c r="E404" s="193"/>
      <c r="F404" s="193"/>
      <c r="G404" s="193"/>
      <c r="H404" s="81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 spans="1:27" ht="15.6">
      <c r="A405" s="193"/>
      <c r="B405" s="193"/>
      <c r="C405" s="193"/>
      <c r="D405" s="193"/>
      <c r="E405" s="193"/>
      <c r="F405" s="193"/>
      <c r="G405" s="193"/>
      <c r="H405" s="81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 spans="1:27" ht="15.6">
      <c r="A406" s="193"/>
      <c r="B406" s="193"/>
      <c r="C406" s="193"/>
      <c r="D406" s="193"/>
      <c r="E406" s="193"/>
      <c r="F406" s="193"/>
      <c r="G406" s="193"/>
      <c r="H406" s="81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 spans="1:27" ht="15.6">
      <c r="A407" s="193"/>
      <c r="B407" s="193"/>
      <c r="C407" s="193"/>
      <c r="D407" s="193"/>
      <c r="E407" s="193"/>
      <c r="F407" s="193"/>
      <c r="G407" s="193"/>
      <c r="H407" s="81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 spans="1:27" ht="15.6">
      <c r="A408" s="193"/>
      <c r="B408" s="193"/>
      <c r="C408" s="193"/>
      <c r="D408" s="193"/>
      <c r="E408" s="193"/>
      <c r="F408" s="193"/>
      <c r="G408" s="193"/>
      <c r="H408" s="81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 spans="1:27" ht="15.6">
      <c r="A409" s="193"/>
      <c r="B409" s="193"/>
      <c r="C409" s="193"/>
      <c r="D409" s="193"/>
      <c r="E409" s="193"/>
      <c r="F409" s="193"/>
      <c r="G409" s="193"/>
      <c r="H409" s="81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 spans="1:27" ht="15.6">
      <c r="A410" s="193"/>
      <c r="B410" s="193"/>
      <c r="C410" s="193"/>
      <c r="D410" s="193"/>
      <c r="E410" s="193"/>
      <c r="F410" s="193"/>
      <c r="G410" s="193"/>
      <c r="H410" s="81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 spans="1:27" ht="15.6">
      <c r="A411" s="193"/>
      <c r="B411" s="193"/>
      <c r="C411" s="193"/>
      <c r="D411" s="193"/>
      <c r="E411" s="193"/>
      <c r="F411" s="193"/>
      <c r="G411" s="193"/>
      <c r="H411" s="81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 spans="1:27" ht="15.6">
      <c r="A412" s="193"/>
      <c r="B412" s="193"/>
      <c r="C412" s="193"/>
      <c r="D412" s="193"/>
      <c r="E412" s="193"/>
      <c r="F412" s="193"/>
      <c r="G412" s="193"/>
      <c r="H412" s="81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 spans="1:27" ht="15.6">
      <c r="A413" s="193"/>
      <c r="B413" s="193"/>
      <c r="C413" s="193"/>
      <c r="D413" s="193"/>
      <c r="E413" s="193"/>
      <c r="F413" s="193"/>
      <c r="G413" s="193"/>
      <c r="H413" s="81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 spans="1:27" ht="15.6">
      <c r="A414" s="193"/>
      <c r="B414" s="193"/>
      <c r="C414" s="193"/>
      <c r="D414" s="193"/>
      <c r="E414" s="193"/>
      <c r="F414" s="193"/>
      <c r="G414" s="193"/>
      <c r="H414" s="81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 spans="1:27" ht="15.6">
      <c r="A415" s="193"/>
      <c r="B415" s="193"/>
      <c r="C415" s="193"/>
      <c r="D415" s="193"/>
      <c r="E415" s="193"/>
      <c r="F415" s="193"/>
      <c r="G415" s="193"/>
      <c r="H415" s="81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 spans="1:27" ht="15.6">
      <c r="A416" s="193"/>
      <c r="B416" s="193"/>
      <c r="C416" s="193"/>
      <c r="D416" s="193"/>
      <c r="E416" s="193"/>
      <c r="F416" s="193"/>
      <c r="G416" s="193"/>
      <c r="H416" s="81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 spans="1:27" ht="15.6">
      <c r="A417" s="193"/>
      <c r="B417" s="193"/>
      <c r="C417" s="193"/>
      <c r="D417" s="193"/>
      <c r="E417" s="193"/>
      <c r="F417" s="193"/>
      <c r="G417" s="193"/>
      <c r="H417" s="81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 spans="1:27" ht="15.6">
      <c r="A418" s="193"/>
      <c r="B418" s="193"/>
      <c r="C418" s="193"/>
      <c r="D418" s="193"/>
      <c r="E418" s="193"/>
      <c r="F418" s="193"/>
      <c r="G418" s="193"/>
      <c r="H418" s="81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 spans="1:27" ht="15.6">
      <c r="A419" s="193"/>
      <c r="B419" s="193"/>
      <c r="C419" s="193"/>
      <c r="D419" s="193"/>
      <c r="E419" s="193"/>
      <c r="F419" s="193"/>
      <c r="G419" s="193"/>
      <c r="H419" s="81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 spans="1:27" ht="15.6">
      <c r="A420" s="193"/>
      <c r="B420" s="193"/>
      <c r="C420" s="193"/>
      <c r="D420" s="193"/>
      <c r="E420" s="193"/>
      <c r="F420" s="193"/>
      <c r="G420" s="193"/>
      <c r="H420" s="81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 spans="1:27" ht="15.6">
      <c r="A421" s="193"/>
      <c r="B421" s="193"/>
      <c r="C421" s="193"/>
      <c r="D421" s="193"/>
      <c r="E421" s="193"/>
      <c r="F421" s="193"/>
      <c r="G421" s="193"/>
      <c r="H421" s="81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 spans="1:27" ht="15.6">
      <c r="A422" s="193"/>
      <c r="B422" s="193"/>
      <c r="C422" s="193"/>
      <c r="D422" s="193"/>
      <c r="E422" s="193"/>
      <c r="F422" s="193"/>
      <c r="G422" s="193"/>
      <c r="H422" s="81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 spans="1:27" ht="15.6">
      <c r="A423" s="193"/>
      <c r="B423" s="193"/>
      <c r="C423" s="193"/>
      <c r="D423" s="193"/>
      <c r="E423" s="193"/>
      <c r="F423" s="193"/>
      <c r="G423" s="193"/>
      <c r="H423" s="81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 spans="1:27" ht="15.6">
      <c r="A424" s="193"/>
      <c r="B424" s="193"/>
      <c r="C424" s="193"/>
      <c r="D424" s="193"/>
      <c r="E424" s="193"/>
      <c r="F424" s="193"/>
      <c r="G424" s="193"/>
      <c r="H424" s="81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 spans="1:27" ht="15.6">
      <c r="A425" s="193"/>
      <c r="B425" s="193"/>
      <c r="C425" s="193"/>
      <c r="D425" s="193"/>
      <c r="E425" s="193"/>
      <c r="F425" s="193"/>
      <c r="G425" s="193"/>
      <c r="H425" s="81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 spans="1:27" ht="15.6">
      <c r="A426" s="193"/>
      <c r="B426" s="193"/>
      <c r="C426" s="193"/>
      <c r="D426" s="193"/>
      <c r="E426" s="193"/>
      <c r="F426" s="193"/>
      <c r="G426" s="193"/>
      <c r="H426" s="81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 spans="1:27" ht="15.6">
      <c r="A427" s="193"/>
      <c r="B427" s="193"/>
      <c r="C427" s="193"/>
      <c r="D427" s="193"/>
      <c r="E427" s="193"/>
      <c r="F427" s="193"/>
      <c r="G427" s="193"/>
      <c r="H427" s="81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 spans="1:27" ht="15.6">
      <c r="A428" s="193"/>
      <c r="B428" s="193"/>
      <c r="C428" s="193"/>
      <c r="D428" s="193"/>
      <c r="E428" s="193"/>
      <c r="F428" s="193"/>
      <c r="G428" s="193"/>
      <c r="H428" s="81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 spans="1:27" ht="15.6">
      <c r="A429" s="193"/>
      <c r="B429" s="193"/>
      <c r="C429" s="193"/>
      <c r="D429" s="193"/>
      <c r="E429" s="193"/>
      <c r="F429" s="193"/>
      <c r="G429" s="193"/>
      <c r="H429" s="81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 spans="1:27" ht="15.6">
      <c r="A430" s="193"/>
      <c r="B430" s="193"/>
      <c r="C430" s="193"/>
      <c r="D430" s="193"/>
      <c r="E430" s="193"/>
      <c r="F430" s="193"/>
      <c r="G430" s="193"/>
      <c r="H430" s="81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 spans="1:27" ht="15.6">
      <c r="A431" s="193"/>
      <c r="B431" s="193"/>
      <c r="C431" s="193"/>
      <c r="D431" s="193"/>
      <c r="E431" s="193"/>
      <c r="F431" s="193"/>
      <c r="G431" s="193"/>
      <c r="H431" s="81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 spans="1:27" ht="15.6">
      <c r="A432" s="193"/>
      <c r="B432" s="193"/>
      <c r="C432" s="193"/>
      <c r="D432" s="193"/>
      <c r="E432" s="193"/>
      <c r="F432" s="193"/>
      <c r="G432" s="193"/>
      <c r="H432" s="81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 spans="1:27" ht="15.6">
      <c r="A433" s="193"/>
      <c r="B433" s="193"/>
      <c r="C433" s="193"/>
      <c r="D433" s="193"/>
      <c r="E433" s="193"/>
      <c r="F433" s="193"/>
      <c r="G433" s="193"/>
      <c r="H433" s="81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 spans="1:27" ht="15.6">
      <c r="A434" s="193"/>
      <c r="B434" s="193"/>
      <c r="C434" s="193"/>
      <c r="D434" s="193"/>
      <c r="E434" s="193"/>
      <c r="F434" s="193"/>
      <c r="G434" s="193"/>
      <c r="H434" s="81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 spans="1:27" ht="15.6">
      <c r="A435" s="193"/>
      <c r="B435" s="193"/>
      <c r="C435" s="193"/>
      <c r="D435" s="193"/>
      <c r="E435" s="193"/>
      <c r="F435" s="193"/>
      <c r="G435" s="193"/>
      <c r="H435" s="81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 spans="1:27" ht="15.6">
      <c r="A436" s="193"/>
      <c r="B436" s="193"/>
      <c r="C436" s="193"/>
      <c r="D436" s="193"/>
      <c r="E436" s="193"/>
      <c r="F436" s="193"/>
      <c r="G436" s="193"/>
      <c r="H436" s="81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 spans="1:27" ht="15.6">
      <c r="A437" s="193"/>
      <c r="B437" s="193"/>
      <c r="C437" s="193"/>
      <c r="D437" s="193"/>
      <c r="E437" s="193"/>
      <c r="F437" s="193"/>
      <c r="G437" s="193"/>
      <c r="H437" s="81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 spans="1:27" ht="15.6">
      <c r="A438" s="193"/>
      <c r="B438" s="193"/>
      <c r="C438" s="193"/>
      <c r="D438" s="193"/>
      <c r="E438" s="193"/>
      <c r="F438" s="193"/>
      <c r="G438" s="193"/>
      <c r="H438" s="81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 spans="1:27" ht="15.6">
      <c r="A439" s="193"/>
      <c r="B439" s="193"/>
      <c r="C439" s="193"/>
      <c r="D439" s="193"/>
      <c r="E439" s="193"/>
      <c r="F439" s="193"/>
      <c r="G439" s="193"/>
      <c r="H439" s="81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 spans="1:27" ht="15.6">
      <c r="A440" s="193"/>
      <c r="B440" s="193"/>
      <c r="C440" s="193"/>
      <c r="D440" s="193"/>
      <c r="E440" s="193"/>
      <c r="F440" s="193"/>
      <c r="G440" s="193"/>
      <c r="H440" s="81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 spans="1:27" ht="15.6">
      <c r="A441" s="193"/>
      <c r="B441" s="193"/>
      <c r="C441" s="193"/>
      <c r="D441" s="193"/>
      <c r="E441" s="193"/>
      <c r="F441" s="193"/>
      <c r="G441" s="193"/>
      <c r="H441" s="81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 spans="1:27" ht="15.6">
      <c r="A442" s="193"/>
      <c r="B442" s="193"/>
      <c r="C442" s="193"/>
      <c r="D442" s="193"/>
      <c r="E442" s="193"/>
      <c r="F442" s="193"/>
      <c r="G442" s="193"/>
      <c r="H442" s="81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 spans="1:27" ht="15.6">
      <c r="A443" s="193"/>
      <c r="B443" s="193"/>
      <c r="C443" s="193"/>
      <c r="D443" s="193"/>
      <c r="E443" s="193"/>
      <c r="F443" s="193"/>
      <c r="G443" s="193"/>
      <c r="H443" s="81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 spans="1:27" ht="15.6">
      <c r="A444" s="193"/>
      <c r="B444" s="193"/>
      <c r="C444" s="193"/>
      <c r="D444" s="193"/>
      <c r="E444" s="193"/>
      <c r="F444" s="193"/>
      <c r="G444" s="193"/>
      <c r="H444" s="81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 spans="1:27" ht="15.6">
      <c r="A445" s="193"/>
      <c r="B445" s="193"/>
      <c r="C445" s="193"/>
      <c r="D445" s="193"/>
      <c r="E445" s="193"/>
      <c r="F445" s="193"/>
      <c r="G445" s="193"/>
      <c r="H445" s="81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 spans="1:27" ht="15.6">
      <c r="A446" s="193"/>
      <c r="B446" s="193"/>
      <c r="C446" s="193"/>
      <c r="D446" s="193"/>
      <c r="E446" s="193"/>
      <c r="F446" s="193"/>
      <c r="G446" s="193"/>
      <c r="H446" s="81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 spans="1:27" ht="15.6">
      <c r="A447" s="193"/>
      <c r="B447" s="193"/>
      <c r="C447" s="193"/>
      <c r="D447" s="193"/>
      <c r="E447" s="193"/>
      <c r="F447" s="193"/>
      <c r="G447" s="193"/>
      <c r="H447" s="81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 spans="1:27" ht="15.6">
      <c r="A448" s="193"/>
      <c r="B448" s="193"/>
      <c r="C448" s="193"/>
      <c r="D448" s="193"/>
      <c r="E448" s="193"/>
      <c r="F448" s="193"/>
      <c r="G448" s="193"/>
      <c r="H448" s="81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 spans="1:27" ht="15.6">
      <c r="A449" s="193"/>
      <c r="B449" s="193"/>
      <c r="C449" s="193"/>
      <c r="D449" s="193"/>
      <c r="E449" s="193"/>
      <c r="F449" s="193"/>
      <c r="G449" s="193"/>
      <c r="H449" s="81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 spans="1:27" ht="15.6">
      <c r="A450" s="193"/>
      <c r="B450" s="193"/>
      <c r="C450" s="193"/>
      <c r="D450" s="193"/>
      <c r="E450" s="193"/>
      <c r="F450" s="193"/>
      <c r="G450" s="193"/>
      <c r="H450" s="81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 spans="1:27" ht="15.6">
      <c r="A451" s="193"/>
      <c r="B451" s="193"/>
      <c r="C451" s="193"/>
      <c r="D451" s="193"/>
      <c r="E451" s="193"/>
      <c r="F451" s="193"/>
      <c r="G451" s="193"/>
      <c r="H451" s="81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 spans="1:27" ht="15.6">
      <c r="A452" s="193"/>
      <c r="B452" s="193"/>
      <c r="C452" s="193"/>
      <c r="D452" s="193"/>
      <c r="E452" s="193"/>
      <c r="F452" s="193"/>
      <c r="G452" s="193"/>
      <c r="H452" s="81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 spans="1:27" ht="15.6">
      <c r="A453" s="193"/>
      <c r="B453" s="193"/>
      <c r="C453" s="193"/>
      <c r="D453" s="193"/>
      <c r="E453" s="193"/>
      <c r="F453" s="193"/>
      <c r="G453" s="193"/>
      <c r="H453" s="81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 spans="1:27" ht="15.6">
      <c r="A454" s="193"/>
      <c r="B454" s="193"/>
      <c r="C454" s="193"/>
      <c r="D454" s="193"/>
      <c r="E454" s="193"/>
      <c r="F454" s="193"/>
      <c r="G454" s="193"/>
      <c r="H454" s="81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 spans="1:27" ht="15.6">
      <c r="A455" s="193"/>
      <c r="B455" s="193"/>
      <c r="C455" s="193"/>
      <c r="D455" s="193"/>
      <c r="E455" s="193"/>
      <c r="F455" s="193"/>
      <c r="G455" s="193"/>
      <c r="H455" s="81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 spans="1:27" ht="15.6">
      <c r="A456" s="193"/>
      <c r="B456" s="193"/>
      <c r="C456" s="193"/>
      <c r="D456" s="193"/>
      <c r="E456" s="193"/>
      <c r="F456" s="193"/>
      <c r="G456" s="193"/>
      <c r="H456" s="81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 spans="1:27" ht="15.6">
      <c r="A457" s="193"/>
      <c r="B457" s="193"/>
      <c r="C457" s="193"/>
      <c r="D457" s="193"/>
      <c r="E457" s="193"/>
      <c r="F457" s="193"/>
      <c r="G457" s="193"/>
      <c r="H457" s="81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 spans="1:27" ht="15.6">
      <c r="A458" s="193"/>
      <c r="B458" s="193"/>
      <c r="C458" s="193"/>
      <c r="D458" s="193"/>
      <c r="E458" s="193"/>
      <c r="F458" s="193"/>
      <c r="G458" s="193"/>
      <c r="H458" s="81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 spans="1:27" ht="15.6">
      <c r="A459" s="193"/>
      <c r="B459" s="193"/>
      <c r="C459" s="193"/>
      <c r="D459" s="193"/>
      <c r="E459" s="193"/>
      <c r="F459" s="193"/>
      <c r="G459" s="193"/>
      <c r="H459" s="81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 spans="1:27" ht="15.6">
      <c r="A460" s="193"/>
      <c r="B460" s="193"/>
      <c r="C460" s="193"/>
      <c r="D460" s="193"/>
      <c r="E460" s="193"/>
      <c r="F460" s="193"/>
      <c r="G460" s="193"/>
      <c r="H460" s="81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 spans="1:27" ht="15.6">
      <c r="A461" s="193"/>
      <c r="B461" s="193"/>
      <c r="C461" s="193"/>
      <c r="D461" s="193"/>
      <c r="E461" s="193"/>
      <c r="F461" s="193"/>
      <c r="G461" s="193"/>
      <c r="H461" s="81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 spans="1:27" ht="15.6">
      <c r="A462" s="193"/>
      <c r="B462" s="193"/>
      <c r="C462" s="193"/>
      <c r="D462" s="193"/>
      <c r="E462" s="193"/>
      <c r="F462" s="193"/>
      <c r="G462" s="193"/>
      <c r="H462" s="81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 spans="1:27" ht="15.6">
      <c r="A463" s="193"/>
      <c r="B463" s="193"/>
      <c r="C463" s="193"/>
      <c r="D463" s="193"/>
      <c r="E463" s="193"/>
      <c r="F463" s="193"/>
      <c r="G463" s="193"/>
      <c r="H463" s="81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 spans="1:27" ht="15.6">
      <c r="A464" s="193"/>
      <c r="B464" s="193"/>
      <c r="C464" s="193"/>
      <c r="D464" s="193"/>
      <c r="E464" s="193"/>
      <c r="F464" s="193"/>
      <c r="G464" s="193"/>
      <c r="H464" s="81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 spans="1:27" ht="15.6">
      <c r="A465" s="193"/>
      <c r="B465" s="193"/>
      <c r="C465" s="193"/>
      <c r="D465" s="193"/>
      <c r="E465" s="193"/>
      <c r="F465" s="193"/>
      <c r="G465" s="193"/>
      <c r="H465" s="81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 spans="1:27" ht="15.6">
      <c r="A466" s="193"/>
      <c r="B466" s="193"/>
      <c r="C466" s="193"/>
      <c r="D466" s="193"/>
      <c r="E466" s="193"/>
      <c r="F466" s="193"/>
      <c r="G466" s="193"/>
      <c r="H466" s="81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 spans="1:27" ht="15.6">
      <c r="A467" s="193"/>
      <c r="B467" s="193"/>
      <c r="C467" s="193"/>
      <c r="D467" s="193"/>
      <c r="E467" s="193"/>
      <c r="F467" s="193"/>
      <c r="G467" s="193"/>
      <c r="H467" s="81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 spans="1:27" ht="15.6">
      <c r="A468" s="193"/>
      <c r="B468" s="193"/>
      <c r="C468" s="193"/>
      <c r="D468" s="193"/>
      <c r="E468" s="193"/>
      <c r="F468" s="193"/>
      <c r="G468" s="193"/>
      <c r="H468" s="81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 spans="1:27" ht="15.6">
      <c r="A469" s="193"/>
      <c r="B469" s="193"/>
      <c r="C469" s="193"/>
      <c r="D469" s="193"/>
      <c r="E469" s="193"/>
      <c r="F469" s="193"/>
      <c r="G469" s="193"/>
      <c r="H469" s="81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 spans="1:27" ht="15.6">
      <c r="A470" s="193"/>
      <c r="B470" s="193"/>
      <c r="C470" s="193"/>
      <c r="D470" s="193"/>
      <c r="E470" s="193"/>
      <c r="F470" s="193"/>
      <c r="G470" s="193"/>
      <c r="H470" s="81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 spans="1:27" ht="15.6">
      <c r="A471" s="193"/>
      <c r="B471" s="193"/>
      <c r="C471" s="193"/>
      <c r="D471" s="193"/>
      <c r="E471" s="193"/>
      <c r="F471" s="193"/>
      <c r="G471" s="193"/>
      <c r="H471" s="81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 spans="1:27" ht="15.6">
      <c r="A472" s="193"/>
      <c r="B472" s="193"/>
      <c r="C472" s="193"/>
      <c r="D472" s="193"/>
      <c r="E472" s="193"/>
      <c r="F472" s="193"/>
      <c r="G472" s="193"/>
      <c r="H472" s="81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 spans="1:27" ht="15.6">
      <c r="A473" s="193"/>
      <c r="B473" s="193"/>
      <c r="C473" s="193"/>
      <c r="D473" s="193"/>
      <c r="E473" s="193"/>
      <c r="F473" s="193"/>
      <c r="G473" s="193"/>
      <c r="H473" s="81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 spans="1:27" ht="15.6">
      <c r="A474" s="193"/>
      <c r="B474" s="193"/>
      <c r="C474" s="193"/>
      <c r="D474" s="193"/>
      <c r="E474" s="193"/>
      <c r="F474" s="193"/>
      <c r="G474" s="193"/>
      <c r="H474" s="81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 spans="1:27" ht="15.6">
      <c r="A475" s="193"/>
      <c r="B475" s="193"/>
      <c r="C475" s="193"/>
      <c r="D475" s="193"/>
      <c r="E475" s="193"/>
      <c r="F475" s="193"/>
      <c r="G475" s="193"/>
      <c r="H475" s="81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 spans="1:27" ht="15.6">
      <c r="A476" s="193"/>
      <c r="B476" s="193"/>
      <c r="C476" s="193"/>
      <c r="D476" s="193"/>
      <c r="E476" s="193"/>
      <c r="F476" s="193"/>
      <c r="G476" s="193"/>
      <c r="H476" s="81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 spans="1:27" ht="15.6">
      <c r="A477" s="193"/>
      <c r="B477" s="193"/>
      <c r="C477" s="193"/>
      <c r="D477" s="193"/>
      <c r="E477" s="193"/>
      <c r="F477" s="193"/>
      <c r="G477" s="193"/>
      <c r="H477" s="81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 spans="1:27" ht="15.6">
      <c r="A478" s="193"/>
      <c r="B478" s="193"/>
      <c r="C478" s="193"/>
      <c r="D478" s="193"/>
      <c r="E478" s="193"/>
      <c r="F478" s="193"/>
      <c r="G478" s="193"/>
      <c r="H478" s="81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 spans="1:27" ht="15.6">
      <c r="A479" s="193"/>
      <c r="B479" s="193"/>
      <c r="C479" s="193"/>
      <c r="D479" s="193"/>
      <c r="E479" s="193"/>
      <c r="F479" s="193"/>
      <c r="G479" s="193"/>
      <c r="H479" s="81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 spans="1:27" ht="15.6">
      <c r="A480" s="193"/>
      <c r="B480" s="193"/>
      <c r="C480" s="193"/>
      <c r="D480" s="193"/>
      <c r="E480" s="193"/>
      <c r="F480" s="193"/>
      <c r="G480" s="193"/>
      <c r="H480" s="81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 spans="1:27" ht="15.6">
      <c r="A481" s="193"/>
      <c r="B481" s="193"/>
      <c r="C481" s="193"/>
      <c r="D481" s="193"/>
      <c r="E481" s="193"/>
      <c r="F481" s="193"/>
      <c r="G481" s="193"/>
      <c r="H481" s="81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 spans="1:27" ht="15.6">
      <c r="A482" s="193"/>
      <c r="B482" s="193"/>
      <c r="C482" s="193"/>
      <c r="D482" s="193"/>
      <c r="E482" s="193"/>
      <c r="F482" s="193"/>
      <c r="G482" s="193"/>
      <c r="H482" s="81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 spans="1:27" ht="15.6">
      <c r="A483" s="193"/>
      <c r="B483" s="193"/>
      <c r="C483" s="193"/>
      <c r="D483" s="193"/>
      <c r="E483" s="193"/>
      <c r="F483" s="193"/>
      <c r="G483" s="193"/>
      <c r="H483" s="81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 spans="1:27" ht="15.6">
      <c r="A484" s="193"/>
      <c r="B484" s="193"/>
      <c r="C484" s="193"/>
      <c r="D484" s="193"/>
      <c r="E484" s="193"/>
      <c r="F484" s="193"/>
      <c r="G484" s="193"/>
      <c r="H484" s="81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 spans="1:27" ht="15.6">
      <c r="A485" s="193"/>
      <c r="B485" s="193"/>
      <c r="C485" s="193"/>
      <c r="D485" s="193"/>
      <c r="E485" s="193"/>
      <c r="F485" s="193"/>
      <c r="G485" s="193"/>
      <c r="H485" s="81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 spans="1:27" ht="15.6">
      <c r="A486" s="193"/>
      <c r="B486" s="193"/>
      <c r="C486" s="193"/>
      <c r="D486" s="193"/>
      <c r="E486" s="193"/>
      <c r="F486" s="193"/>
      <c r="G486" s="193"/>
      <c r="H486" s="81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 spans="1:27" ht="15.6">
      <c r="A487" s="193"/>
      <c r="B487" s="193"/>
      <c r="C487" s="193"/>
      <c r="D487" s="193"/>
      <c r="E487" s="193"/>
      <c r="F487" s="193"/>
      <c r="G487" s="193"/>
      <c r="H487" s="81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 spans="1:27" ht="15.6">
      <c r="A488" s="193"/>
      <c r="B488" s="193"/>
      <c r="C488" s="193"/>
      <c r="D488" s="193"/>
      <c r="E488" s="193"/>
      <c r="F488" s="193"/>
      <c r="G488" s="193"/>
      <c r="H488" s="81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 spans="1:27" ht="15.6">
      <c r="A489" s="193"/>
      <c r="B489" s="193"/>
      <c r="C489" s="193"/>
      <c r="D489" s="193"/>
      <c r="E489" s="193"/>
      <c r="F489" s="193"/>
      <c r="G489" s="193"/>
      <c r="H489" s="81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 spans="1:27" ht="15.6">
      <c r="A490" s="193"/>
      <c r="B490" s="193"/>
      <c r="C490" s="193"/>
      <c r="D490" s="193"/>
      <c r="E490" s="193"/>
      <c r="F490" s="193"/>
      <c r="G490" s="193"/>
      <c r="H490" s="81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 spans="1:27" ht="15.6">
      <c r="A491" s="193"/>
      <c r="B491" s="193"/>
      <c r="C491" s="193"/>
      <c r="D491" s="193"/>
      <c r="E491" s="193"/>
      <c r="F491" s="193"/>
      <c r="G491" s="193"/>
      <c r="H491" s="81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 spans="1:27" ht="15.6">
      <c r="A492" s="193"/>
      <c r="B492" s="193"/>
      <c r="C492" s="193"/>
      <c r="D492" s="193"/>
      <c r="E492" s="193"/>
      <c r="F492" s="193"/>
      <c r="G492" s="193"/>
      <c r="H492" s="81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 spans="1:27" ht="15.6">
      <c r="A493" s="193"/>
      <c r="B493" s="193"/>
      <c r="C493" s="193"/>
      <c r="D493" s="193"/>
      <c r="E493" s="193"/>
      <c r="F493" s="193"/>
      <c r="G493" s="193"/>
      <c r="H493" s="81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 spans="1:27" ht="15.6">
      <c r="A494" s="193"/>
      <c r="B494" s="193"/>
      <c r="C494" s="193"/>
      <c r="D494" s="193"/>
      <c r="E494" s="193"/>
      <c r="F494" s="193"/>
      <c r="G494" s="193"/>
      <c r="H494" s="81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 spans="1:27" ht="15.6">
      <c r="A495" s="193"/>
      <c r="B495" s="193"/>
      <c r="C495" s="193"/>
      <c r="D495" s="193"/>
      <c r="E495" s="193"/>
      <c r="F495" s="193"/>
      <c r="G495" s="193"/>
      <c r="H495" s="81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 spans="1:27" ht="15.6">
      <c r="A496" s="193"/>
      <c r="B496" s="193"/>
      <c r="C496" s="193"/>
      <c r="D496" s="193"/>
      <c r="E496" s="193"/>
      <c r="F496" s="193"/>
      <c r="G496" s="193"/>
      <c r="H496" s="81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 spans="1:27" ht="15.6">
      <c r="A497" s="193"/>
      <c r="B497" s="193"/>
      <c r="C497" s="193"/>
      <c r="D497" s="193"/>
      <c r="E497" s="193"/>
      <c r="F497" s="193"/>
      <c r="G497" s="193"/>
      <c r="H497" s="81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 spans="1:27" ht="15.6">
      <c r="A498" s="193"/>
      <c r="B498" s="193"/>
      <c r="C498" s="193"/>
      <c r="D498" s="193"/>
      <c r="E498" s="193"/>
      <c r="F498" s="193"/>
      <c r="G498" s="193"/>
      <c r="H498" s="81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 spans="1:27" ht="15.6">
      <c r="A499" s="193"/>
      <c r="B499" s="193"/>
      <c r="C499" s="193"/>
      <c r="D499" s="193"/>
      <c r="E499" s="193"/>
      <c r="F499" s="193"/>
      <c r="G499" s="193"/>
      <c r="H499" s="81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 spans="1:27" ht="15.6">
      <c r="A500" s="193"/>
      <c r="B500" s="193"/>
      <c r="C500" s="193"/>
      <c r="D500" s="193"/>
      <c r="E500" s="193"/>
      <c r="F500" s="193"/>
      <c r="G500" s="193"/>
      <c r="H500" s="81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 spans="1:27" ht="15.6">
      <c r="A501" s="193"/>
      <c r="B501" s="193"/>
      <c r="C501" s="193"/>
      <c r="D501" s="193"/>
      <c r="E501" s="193"/>
      <c r="F501" s="193"/>
      <c r="G501" s="193"/>
      <c r="H501" s="81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 spans="1:27" ht="15.6">
      <c r="A502" s="193"/>
      <c r="B502" s="193"/>
      <c r="C502" s="193"/>
      <c r="D502" s="193"/>
      <c r="E502" s="193"/>
      <c r="F502" s="193"/>
      <c r="G502" s="193"/>
      <c r="H502" s="81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 spans="1:27" ht="15.6">
      <c r="A503" s="193"/>
      <c r="B503" s="193"/>
      <c r="C503" s="193"/>
      <c r="D503" s="193"/>
      <c r="E503" s="193"/>
      <c r="F503" s="193"/>
      <c r="G503" s="193"/>
      <c r="H503" s="81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 spans="1:27" ht="15.6">
      <c r="A504" s="193"/>
      <c r="B504" s="193"/>
      <c r="C504" s="193"/>
      <c r="D504" s="193"/>
      <c r="E504" s="193"/>
      <c r="F504" s="193"/>
      <c r="G504" s="193"/>
      <c r="H504" s="81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 spans="1:27" ht="15.6">
      <c r="A505" s="193"/>
      <c r="B505" s="193"/>
      <c r="C505" s="193"/>
      <c r="D505" s="193"/>
      <c r="E505" s="193"/>
      <c r="F505" s="193"/>
      <c r="G505" s="193"/>
      <c r="H505" s="81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 spans="1:27" ht="15.6">
      <c r="A506" s="193"/>
      <c r="B506" s="193"/>
      <c r="C506" s="193"/>
      <c r="D506" s="193"/>
      <c r="E506" s="193"/>
      <c r="F506" s="193"/>
      <c r="G506" s="193"/>
      <c r="H506" s="81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 spans="1:27" ht="15.6">
      <c r="A507" s="193"/>
      <c r="B507" s="193"/>
      <c r="C507" s="193"/>
      <c r="D507" s="193"/>
      <c r="E507" s="193"/>
      <c r="F507" s="193"/>
      <c r="G507" s="193"/>
      <c r="H507" s="81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 spans="1:27" ht="15.6">
      <c r="A508" s="193"/>
      <c r="B508" s="193"/>
      <c r="C508" s="193"/>
      <c r="D508" s="193"/>
      <c r="E508" s="193"/>
      <c r="F508" s="193"/>
      <c r="G508" s="193"/>
      <c r="H508" s="81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 spans="1:27" ht="15.6">
      <c r="A509" s="193"/>
      <c r="B509" s="193"/>
      <c r="C509" s="193"/>
      <c r="D509" s="193"/>
      <c r="E509" s="193"/>
      <c r="F509" s="193"/>
      <c r="G509" s="193"/>
      <c r="H509" s="81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 spans="1:27" ht="15.6">
      <c r="A510" s="193"/>
      <c r="B510" s="193"/>
      <c r="C510" s="193"/>
      <c r="D510" s="193"/>
      <c r="E510" s="193"/>
      <c r="F510" s="193"/>
      <c r="G510" s="193"/>
      <c r="H510" s="81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 spans="1:27" ht="15.6">
      <c r="A511" s="193"/>
      <c r="B511" s="193"/>
      <c r="C511" s="193"/>
      <c r="D511" s="193"/>
      <c r="E511" s="193"/>
      <c r="F511" s="193"/>
      <c r="G511" s="193"/>
      <c r="H511" s="81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 spans="1:27" ht="15.6">
      <c r="A512" s="193"/>
      <c r="B512" s="193"/>
      <c r="C512" s="193"/>
      <c r="D512" s="193"/>
      <c r="E512" s="193"/>
      <c r="F512" s="193"/>
      <c r="G512" s="193"/>
      <c r="H512" s="81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 spans="1:27" ht="15.6">
      <c r="A513" s="193"/>
      <c r="B513" s="193"/>
      <c r="C513" s="193"/>
      <c r="D513" s="193"/>
      <c r="E513" s="193"/>
      <c r="F513" s="193"/>
      <c r="G513" s="193"/>
      <c r="H513" s="81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 spans="1:27" ht="15.6">
      <c r="A514" s="193"/>
      <c r="B514" s="193"/>
      <c r="C514" s="193"/>
      <c r="D514" s="193"/>
      <c r="E514" s="193"/>
      <c r="F514" s="193"/>
      <c r="G514" s="193"/>
      <c r="H514" s="81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 spans="1:27" ht="15.6">
      <c r="A515" s="193"/>
      <c r="B515" s="193"/>
      <c r="C515" s="193"/>
      <c r="D515" s="193"/>
      <c r="E515" s="193"/>
      <c r="F515" s="193"/>
      <c r="G515" s="193"/>
      <c r="H515" s="81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 spans="1:27" ht="15.6">
      <c r="A516" s="193"/>
      <c r="B516" s="193"/>
      <c r="C516" s="193"/>
      <c r="D516" s="193"/>
      <c r="E516" s="193"/>
      <c r="F516" s="193"/>
      <c r="G516" s="193"/>
      <c r="H516" s="81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 spans="1:27" ht="15.6">
      <c r="A517" s="193"/>
      <c r="B517" s="193"/>
      <c r="C517" s="193"/>
      <c r="D517" s="193"/>
      <c r="E517" s="193"/>
      <c r="F517" s="193"/>
      <c r="G517" s="193"/>
      <c r="H517" s="81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 spans="1:27" ht="15.6">
      <c r="A518" s="193"/>
      <c r="B518" s="193"/>
      <c r="C518" s="193"/>
      <c r="D518" s="193"/>
      <c r="E518" s="193"/>
      <c r="F518" s="193"/>
      <c r="G518" s="193"/>
      <c r="H518" s="81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 spans="1:27" ht="15.6">
      <c r="A519" s="193"/>
      <c r="B519" s="193"/>
      <c r="C519" s="193"/>
      <c r="D519" s="193"/>
      <c r="E519" s="193"/>
      <c r="F519" s="193"/>
      <c r="G519" s="193"/>
      <c r="H519" s="81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 spans="1:27" ht="15.6">
      <c r="A520" s="193"/>
      <c r="B520" s="193"/>
      <c r="C520" s="193"/>
      <c r="D520" s="193"/>
      <c r="E520" s="193"/>
      <c r="F520" s="193"/>
      <c r="G520" s="193"/>
      <c r="H520" s="81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 spans="1:27" ht="15.6">
      <c r="A521" s="193"/>
      <c r="B521" s="193"/>
      <c r="C521" s="193"/>
      <c r="D521" s="193"/>
      <c r="E521" s="193"/>
      <c r="F521" s="193"/>
      <c r="G521" s="193"/>
      <c r="H521" s="81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 spans="1:27" ht="15.6">
      <c r="A522" s="193"/>
      <c r="B522" s="193"/>
      <c r="C522" s="193"/>
      <c r="D522" s="193"/>
      <c r="E522" s="193"/>
      <c r="F522" s="193"/>
      <c r="G522" s="193"/>
      <c r="H522" s="81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 spans="1:27" ht="15.6">
      <c r="A523" s="193"/>
      <c r="B523" s="193"/>
      <c r="C523" s="193"/>
      <c r="D523" s="193"/>
      <c r="E523" s="193"/>
      <c r="F523" s="193"/>
      <c r="G523" s="193"/>
      <c r="H523" s="81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 spans="1:27" ht="15.6">
      <c r="A524" s="193"/>
      <c r="B524" s="193"/>
      <c r="C524" s="193"/>
      <c r="D524" s="193"/>
      <c r="E524" s="193"/>
      <c r="F524" s="193"/>
      <c r="G524" s="193"/>
      <c r="H524" s="81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 spans="1:27" ht="15.6">
      <c r="A525" s="193"/>
      <c r="B525" s="193"/>
      <c r="C525" s="193"/>
      <c r="D525" s="193"/>
      <c r="E525" s="193"/>
      <c r="F525" s="193"/>
      <c r="G525" s="193"/>
      <c r="H525" s="81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 spans="1:27" ht="15.6">
      <c r="A526" s="193"/>
      <c r="B526" s="193"/>
      <c r="C526" s="193"/>
      <c r="D526" s="193"/>
      <c r="E526" s="193"/>
      <c r="F526" s="193"/>
      <c r="G526" s="193"/>
      <c r="H526" s="81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 spans="1:27" ht="15.6">
      <c r="A527" s="193"/>
      <c r="B527" s="193"/>
      <c r="C527" s="193"/>
      <c r="D527" s="193"/>
      <c r="E527" s="193"/>
      <c r="F527" s="193"/>
      <c r="G527" s="193"/>
      <c r="H527" s="81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 spans="1:27" ht="15.6">
      <c r="A528" s="193"/>
      <c r="B528" s="193"/>
      <c r="C528" s="193"/>
      <c r="D528" s="193"/>
      <c r="E528" s="193"/>
      <c r="F528" s="193"/>
      <c r="G528" s="193"/>
      <c r="H528" s="81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 spans="1:27" ht="15.6">
      <c r="A529" s="193"/>
      <c r="B529" s="193"/>
      <c r="C529" s="193"/>
      <c r="D529" s="193"/>
      <c r="E529" s="193"/>
      <c r="F529" s="193"/>
      <c r="G529" s="193"/>
      <c r="H529" s="81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 spans="1:27" ht="15.6">
      <c r="A530" s="193"/>
      <c r="B530" s="193"/>
      <c r="C530" s="193"/>
      <c r="D530" s="193"/>
      <c r="E530" s="193"/>
      <c r="F530" s="193"/>
      <c r="G530" s="193"/>
      <c r="H530" s="81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 spans="1:27" ht="15.6">
      <c r="A531" s="193"/>
      <c r="B531" s="193"/>
      <c r="C531" s="193"/>
      <c r="D531" s="193"/>
      <c r="E531" s="193"/>
      <c r="F531" s="193"/>
      <c r="G531" s="193"/>
      <c r="H531" s="81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 spans="1:27" ht="15.6">
      <c r="A532" s="193"/>
      <c r="B532" s="193"/>
      <c r="C532" s="193"/>
      <c r="D532" s="193"/>
      <c r="E532" s="193"/>
      <c r="F532" s="193"/>
      <c r="G532" s="193"/>
      <c r="H532" s="81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 spans="1:27" ht="15.6">
      <c r="A533" s="193"/>
      <c r="B533" s="193"/>
      <c r="C533" s="193"/>
      <c r="D533" s="193"/>
      <c r="E533" s="193"/>
      <c r="F533" s="193"/>
      <c r="G533" s="193"/>
      <c r="H533" s="81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 spans="1:27" ht="15.6">
      <c r="A534" s="193"/>
      <c r="B534" s="193"/>
      <c r="C534" s="193"/>
      <c r="D534" s="193"/>
      <c r="E534" s="193"/>
      <c r="F534" s="193"/>
      <c r="G534" s="193"/>
      <c r="H534" s="81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 spans="1:27" ht="15.6">
      <c r="A535" s="193"/>
      <c r="B535" s="193"/>
      <c r="C535" s="193"/>
      <c r="D535" s="193"/>
      <c r="E535" s="193"/>
      <c r="F535" s="193"/>
      <c r="G535" s="193"/>
      <c r="H535" s="81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 spans="1:27" ht="15.6">
      <c r="A536" s="193"/>
      <c r="B536" s="193"/>
      <c r="C536" s="193"/>
      <c r="D536" s="193"/>
      <c r="E536" s="193"/>
      <c r="F536" s="193"/>
      <c r="G536" s="193"/>
      <c r="H536" s="81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 spans="1:27" ht="15.6">
      <c r="A537" s="193"/>
      <c r="B537" s="193"/>
      <c r="C537" s="193"/>
      <c r="D537" s="193"/>
      <c r="E537" s="193"/>
      <c r="F537" s="193"/>
      <c r="G537" s="193"/>
      <c r="H537" s="81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 spans="1:27" ht="15.6">
      <c r="A538" s="193"/>
      <c r="B538" s="193"/>
      <c r="C538" s="193"/>
      <c r="D538" s="193"/>
      <c r="E538" s="193"/>
      <c r="F538" s="193"/>
      <c r="G538" s="193"/>
      <c r="H538" s="81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 spans="1:27" ht="15.6">
      <c r="A539" s="193"/>
      <c r="B539" s="193"/>
      <c r="C539" s="193"/>
      <c r="D539" s="193"/>
      <c r="E539" s="193"/>
      <c r="F539" s="193"/>
      <c r="G539" s="193"/>
      <c r="H539" s="81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 spans="1:27" ht="15.6">
      <c r="A540" s="193"/>
      <c r="B540" s="193"/>
      <c r="C540" s="193"/>
      <c r="D540" s="193"/>
      <c r="E540" s="193"/>
      <c r="F540" s="193"/>
      <c r="G540" s="193"/>
      <c r="H540" s="81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 spans="1:27" ht="15.6">
      <c r="A541" s="193"/>
      <c r="B541" s="193"/>
      <c r="C541" s="193"/>
      <c r="D541" s="193"/>
      <c r="E541" s="193"/>
      <c r="F541" s="193"/>
      <c r="G541" s="193"/>
      <c r="H541" s="81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 spans="1:27" ht="15.6">
      <c r="A542" s="193"/>
      <c r="B542" s="193"/>
      <c r="C542" s="193"/>
      <c r="D542" s="193"/>
      <c r="E542" s="193"/>
      <c r="F542" s="193"/>
      <c r="G542" s="193"/>
      <c r="H542" s="81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 spans="1:27" ht="15.6">
      <c r="A543" s="193"/>
      <c r="B543" s="193"/>
      <c r="C543" s="193"/>
      <c r="D543" s="193"/>
      <c r="E543" s="193"/>
      <c r="F543" s="193"/>
      <c r="G543" s="193"/>
      <c r="H543" s="81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 spans="1:27" ht="15.6">
      <c r="A544" s="193"/>
      <c r="B544" s="193"/>
      <c r="C544" s="193"/>
      <c r="D544" s="193"/>
      <c r="E544" s="193"/>
      <c r="F544" s="193"/>
      <c r="G544" s="193"/>
      <c r="H544" s="81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 spans="1:27" ht="15.6">
      <c r="A545" s="193"/>
      <c r="B545" s="193"/>
      <c r="C545" s="193"/>
      <c r="D545" s="193"/>
      <c r="E545" s="193"/>
      <c r="F545" s="193"/>
      <c r="G545" s="193"/>
      <c r="H545" s="81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 spans="1:27" ht="15.6">
      <c r="A546" s="193"/>
      <c r="B546" s="193"/>
      <c r="C546" s="193"/>
      <c r="D546" s="193"/>
      <c r="E546" s="193"/>
      <c r="F546" s="193"/>
      <c r="G546" s="193"/>
      <c r="H546" s="81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 spans="1:27" ht="15.6">
      <c r="A547" s="193"/>
      <c r="B547" s="193"/>
      <c r="C547" s="193"/>
      <c r="D547" s="193"/>
      <c r="E547" s="193"/>
      <c r="F547" s="193"/>
      <c r="G547" s="193"/>
      <c r="H547" s="81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 spans="1:27" ht="15.6">
      <c r="A548" s="193"/>
      <c r="B548" s="193"/>
      <c r="C548" s="193"/>
      <c r="D548" s="193"/>
      <c r="E548" s="193"/>
      <c r="F548" s="193"/>
      <c r="G548" s="193"/>
      <c r="H548" s="81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 spans="1:27" ht="15.6">
      <c r="A549" s="193"/>
      <c r="B549" s="193"/>
      <c r="C549" s="193"/>
      <c r="D549" s="193"/>
      <c r="E549" s="193"/>
      <c r="F549" s="193"/>
      <c r="G549" s="193"/>
      <c r="H549" s="81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 spans="1:27" ht="15.6">
      <c r="A550" s="193"/>
      <c r="B550" s="193"/>
      <c r="C550" s="193"/>
      <c r="D550" s="193"/>
      <c r="E550" s="193"/>
      <c r="F550" s="193"/>
      <c r="G550" s="193"/>
      <c r="H550" s="81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 spans="1:27" ht="15.6">
      <c r="A551" s="193"/>
      <c r="B551" s="193"/>
      <c r="C551" s="193"/>
      <c r="D551" s="193"/>
      <c r="E551" s="193"/>
      <c r="F551" s="193"/>
      <c r="G551" s="193"/>
      <c r="H551" s="81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 spans="1:27" ht="15.6">
      <c r="A552" s="193"/>
      <c r="B552" s="193"/>
      <c r="C552" s="193"/>
      <c r="D552" s="193"/>
      <c r="E552" s="193"/>
      <c r="F552" s="193"/>
      <c r="G552" s="193"/>
      <c r="H552" s="81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 spans="1:27" ht="15.6">
      <c r="A553" s="193"/>
      <c r="B553" s="193"/>
      <c r="C553" s="193"/>
      <c r="D553" s="193"/>
      <c r="E553" s="193"/>
      <c r="F553" s="193"/>
      <c r="G553" s="193"/>
      <c r="H553" s="81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 spans="1:27" ht="15.6">
      <c r="A554" s="193"/>
      <c r="B554" s="193"/>
      <c r="C554" s="193"/>
      <c r="D554" s="193"/>
      <c r="E554" s="193"/>
      <c r="F554" s="193"/>
      <c r="G554" s="193"/>
      <c r="H554" s="81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 spans="1:27" ht="15.6">
      <c r="A555" s="193"/>
      <c r="B555" s="193"/>
      <c r="C555" s="193"/>
      <c r="D555" s="193"/>
      <c r="E555" s="193"/>
      <c r="F555" s="193"/>
      <c r="G555" s="193"/>
      <c r="H555" s="81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 spans="1:27" ht="15.6">
      <c r="A556" s="193"/>
      <c r="B556" s="193"/>
      <c r="C556" s="193"/>
      <c r="D556" s="193"/>
      <c r="E556" s="193"/>
      <c r="F556" s="193"/>
      <c r="G556" s="193"/>
      <c r="H556" s="81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 spans="1:27" ht="15.6">
      <c r="A557" s="193"/>
      <c r="B557" s="193"/>
      <c r="C557" s="193"/>
      <c r="D557" s="193"/>
      <c r="E557" s="193"/>
      <c r="F557" s="193"/>
      <c r="G557" s="193"/>
      <c r="H557" s="81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 spans="1:27" ht="15.6">
      <c r="A558" s="193"/>
      <c r="B558" s="193"/>
      <c r="C558" s="193"/>
      <c r="D558" s="193"/>
      <c r="E558" s="193"/>
      <c r="F558" s="193"/>
      <c r="G558" s="193"/>
      <c r="H558" s="81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 spans="1:27" ht="15.6">
      <c r="A559" s="193"/>
      <c r="B559" s="193"/>
      <c r="C559" s="193"/>
      <c r="D559" s="193"/>
      <c r="E559" s="193"/>
      <c r="F559" s="193"/>
      <c r="G559" s="193"/>
      <c r="H559" s="81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 spans="1:27" ht="15.6">
      <c r="A560" s="193"/>
      <c r="B560" s="193"/>
      <c r="C560" s="193"/>
      <c r="D560" s="193"/>
      <c r="E560" s="193"/>
      <c r="F560" s="193"/>
      <c r="G560" s="193"/>
      <c r="H560" s="81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 spans="1:27" ht="15.6">
      <c r="A561" s="193"/>
      <c r="B561" s="193"/>
      <c r="C561" s="193"/>
      <c r="D561" s="193"/>
      <c r="E561" s="193"/>
      <c r="F561" s="193"/>
      <c r="G561" s="193"/>
      <c r="H561" s="81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 spans="1:27" ht="15.6">
      <c r="A562" s="193"/>
      <c r="B562" s="193"/>
      <c r="C562" s="193"/>
      <c r="D562" s="193"/>
      <c r="E562" s="193"/>
      <c r="F562" s="193"/>
      <c r="G562" s="193"/>
      <c r="H562" s="81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 spans="1:27" ht="15.6">
      <c r="A563" s="193"/>
      <c r="B563" s="193"/>
      <c r="C563" s="193"/>
      <c r="D563" s="193"/>
      <c r="E563" s="193"/>
      <c r="F563" s="193"/>
      <c r="G563" s="193"/>
      <c r="H563" s="81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 spans="1:27" ht="15.6">
      <c r="A564" s="193"/>
      <c r="B564" s="193"/>
      <c r="C564" s="193"/>
      <c r="D564" s="193"/>
      <c r="E564" s="193"/>
      <c r="F564" s="193"/>
      <c r="G564" s="193"/>
      <c r="H564" s="81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 spans="1:27" ht="15.6">
      <c r="A565" s="193"/>
      <c r="B565" s="193"/>
      <c r="C565" s="193"/>
      <c r="D565" s="193"/>
      <c r="E565" s="193"/>
      <c r="F565" s="193"/>
      <c r="G565" s="193"/>
      <c r="H565" s="81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 spans="1:27" ht="15.6">
      <c r="A566" s="193"/>
      <c r="B566" s="193"/>
      <c r="C566" s="193"/>
      <c r="D566" s="193"/>
      <c r="E566" s="193"/>
      <c r="F566" s="193"/>
      <c r="G566" s="193"/>
      <c r="H566" s="81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 spans="1:27" ht="15.6">
      <c r="A567" s="193"/>
      <c r="B567" s="193"/>
      <c r="C567" s="193"/>
      <c r="D567" s="193"/>
      <c r="E567" s="193"/>
      <c r="F567" s="193"/>
      <c r="G567" s="193"/>
      <c r="H567" s="81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 spans="1:27" ht="15.6">
      <c r="A568" s="193"/>
      <c r="B568" s="193"/>
      <c r="C568" s="193"/>
      <c r="D568" s="193"/>
      <c r="E568" s="193"/>
      <c r="F568" s="193"/>
      <c r="G568" s="193"/>
      <c r="H568" s="81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 spans="1:27" ht="15.6">
      <c r="A569" s="193"/>
      <c r="B569" s="193"/>
      <c r="C569" s="193"/>
      <c r="D569" s="193"/>
      <c r="E569" s="193"/>
      <c r="F569" s="193"/>
      <c r="G569" s="193"/>
      <c r="H569" s="81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 spans="1:27" ht="15.6">
      <c r="A570" s="193"/>
      <c r="B570" s="193"/>
      <c r="C570" s="193"/>
      <c r="D570" s="193"/>
      <c r="E570" s="193"/>
      <c r="F570" s="193"/>
      <c r="G570" s="193"/>
      <c r="H570" s="81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 spans="1:27" ht="15.6">
      <c r="A571" s="193"/>
      <c r="B571" s="193"/>
      <c r="C571" s="193"/>
      <c r="D571" s="193"/>
      <c r="E571" s="193"/>
      <c r="F571" s="193"/>
      <c r="G571" s="193"/>
      <c r="H571" s="81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 spans="1:27" ht="15.6">
      <c r="A572" s="193"/>
      <c r="B572" s="193"/>
      <c r="C572" s="193"/>
      <c r="D572" s="193"/>
      <c r="E572" s="193"/>
      <c r="F572" s="193"/>
      <c r="G572" s="193"/>
      <c r="H572" s="81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 spans="1:27" ht="15.6">
      <c r="A573" s="193"/>
      <c r="B573" s="193"/>
      <c r="C573" s="193"/>
      <c r="D573" s="193"/>
      <c r="E573" s="193"/>
      <c r="F573" s="193"/>
      <c r="G573" s="193"/>
      <c r="H573" s="81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 spans="1:27" ht="15.6">
      <c r="A574" s="193"/>
      <c r="B574" s="193"/>
      <c r="C574" s="193"/>
      <c r="D574" s="193"/>
      <c r="E574" s="193"/>
      <c r="F574" s="193"/>
      <c r="G574" s="193"/>
      <c r="H574" s="81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 spans="1:27" ht="15.6">
      <c r="A575" s="193"/>
      <c r="B575" s="193"/>
      <c r="C575" s="193"/>
      <c r="D575" s="193"/>
      <c r="E575" s="193"/>
      <c r="F575" s="193"/>
      <c r="G575" s="193"/>
      <c r="H575" s="81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 spans="1:27" ht="15.6">
      <c r="A576" s="193"/>
      <c r="B576" s="193"/>
      <c r="C576" s="193"/>
      <c r="D576" s="193"/>
      <c r="E576" s="193"/>
      <c r="F576" s="193"/>
      <c r="G576" s="193"/>
      <c r="H576" s="81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 spans="1:27" ht="15.6">
      <c r="A577" s="193"/>
      <c r="B577" s="193"/>
      <c r="C577" s="193"/>
      <c r="D577" s="193"/>
      <c r="E577" s="193"/>
      <c r="F577" s="193"/>
      <c r="G577" s="193"/>
      <c r="H577" s="81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 spans="1:27" ht="15.6">
      <c r="A578" s="193"/>
      <c r="B578" s="193"/>
      <c r="C578" s="193"/>
      <c r="D578" s="193"/>
      <c r="E578" s="193"/>
      <c r="F578" s="193"/>
      <c r="G578" s="193"/>
      <c r="H578" s="81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 spans="1:27" ht="15.6">
      <c r="A579" s="193"/>
      <c r="B579" s="193"/>
      <c r="C579" s="193"/>
      <c r="D579" s="193"/>
      <c r="E579" s="193"/>
      <c r="F579" s="193"/>
      <c r="G579" s="193"/>
      <c r="H579" s="81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 spans="1:27" ht="15.6">
      <c r="A580" s="193"/>
      <c r="B580" s="193"/>
      <c r="C580" s="193"/>
      <c r="D580" s="193"/>
      <c r="E580" s="193"/>
      <c r="F580" s="193"/>
      <c r="G580" s="193"/>
      <c r="H580" s="81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 spans="1:27" ht="15.6">
      <c r="A581" s="193"/>
      <c r="B581" s="193"/>
      <c r="C581" s="193"/>
      <c r="D581" s="193"/>
      <c r="E581" s="193"/>
      <c r="F581" s="193"/>
      <c r="G581" s="193"/>
      <c r="H581" s="81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 spans="1:27" ht="15.6">
      <c r="A582" s="193"/>
      <c r="B582" s="193"/>
      <c r="C582" s="193"/>
      <c r="D582" s="193"/>
      <c r="E582" s="193"/>
      <c r="F582" s="193"/>
      <c r="G582" s="193"/>
      <c r="H582" s="81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 spans="1:27" ht="15.6">
      <c r="A583" s="193"/>
      <c r="B583" s="193"/>
      <c r="C583" s="193"/>
      <c r="D583" s="193"/>
      <c r="E583" s="193"/>
      <c r="F583" s="193"/>
      <c r="G583" s="193"/>
      <c r="H583" s="81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 spans="1:27" ht="15.6">
      <c r="A584" s="193"/>
      <c r="B584" s="193"/>
      <c r="C584" s="193"/>
      <c r="D584" s="193"/>
      <c r="E584" s="193"/>
      <c r="F584" s="193"/>
      <c r="G584" s="193"/>
      <c r="H584" s="81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 spans="1:27" ht="15.6">
      <c r="A585" s="193"/>
      <c r="B585" s="193"/>
      <c r="C585" s="193"/>
      <c r="D585" s="193"/>
      <c r="E585" s="193"/>
      <c r="F585" s="193"/>
      <c r="G585" s="193"/>
      <c r="H585" s="81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 spans="1:27" ht="15.6">
      <c r="A586" s="193"/>
      <c r="B586" s="193"/>
      <c r="C586" s="193"/>
      <c r="D586" s="193"/>
      <c r="E586" s="193"/>
      <c r="F586" s="193"/>
      <c r="G586" s="193"/>
      <c r="H586" s="81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 spans="1:27" ht="15.6">
      <c r="A587" s="193"/>
      <c r="B587" s="193"/>
      <c r="C587" s="193"/>
      <c r="D587" s="193"/>
      <c r="E587" s="193"/>
      <c r="F587" s="193"/>
      <c r="G587" s="193"/>
      <c r="H587" s="81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 spans="1:27" ht="15.6">
      <c r="A588" s="193"/>
      <c r="B588" s="193"/>
      <c r="C588" s="193"/>
      <c r="D588" s="193"/>
      <c r="E588" s="193"/>
      <c r="F588" s="193"/>
      <c r="G588" s="193"/>
      <c r="H588" s="81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 spans="1:27" ht="15.6">
      <c r="A589" s="193"/>
      <c r="B589" s="193"/>
      <c r="C589" s="193"/>
      <c r="D589" s="193"/>
      <c r="E589" s="193"/>
      <c r="F589" s="193"/>
      <c r="G589" s="193"/>
      <c r="H589" s="81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 spans="1:27" ht="15.6">
      <c r="A590" s="193"/>
      <c r="B590" s="193"/>
      <c r="C590" s="193"/>
      <c r="D590" s="193"/>
      <c r="E590" s="193"/>
      <c r="F590" s="193"/>
      <c r="G590" s="193"/>
      <c r="H590" s="81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 spans="1:27" ht="15.6">
      <c r="A591" s="193"/>
      <c r="B591" s="193"/>
      <c r="C591" s="193"/>
      <c r="D591" s="193"/>
      <c r="E591" s="193"/>
      <c r="F591" s="193"/>
      <c r="G591" s="193"/>
      <c r="H591" s="81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 spans="1:27" ht="15.6">
      <c r="A592" s="193"/>
      <c r="B592" s="193"/>
      <c r="C592" s="193"/>
      <c r="D592" s="193"/>
      <c r="E592" s="193"/>
      <c r="F592" s="193"/>
      <c r="G592" s="193"/>
      <c r="H592" s="81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 spans="1:27" ht="15.6">
      <c r="A593" s="193"/>
      <c r="B593" s="193"/>
      <c r="C593" s="193"/>
      <c r="D593" s="193"/>
      <c r="E593" s="193"/>
      <c r="F593" s="193"/>
      <c r="G593" s="193"/>
      <c r="H593" s="81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 spans="1:27" ht="15.6">
      <c r="A594" s="193"/>
      <c r="B594" s="193"/>
      <c r="C594" s="193"/>
      <c r="D594" s="193"/>
      <c r="E594" s="193"/>
      <c r="F594" s="193"/>
      <c r="G594" s="193"/>
      <c r="H594" s="81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 spans="1:27" ht="15.6">
      <c r="A595" s="193"/>
      <c r="B595" s="193"/>
      <c r="C595" s="193"/>
      <c r="D595" s="193"/>
      <c r="E595" s="193"/>
      <c r="F595" s="193"/>
      <c r="G595" s="193"/>
      <c r="H595" s="81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 spans="1:27" ht="15.6">
      <c r="A596" s="193"/>
      <c r="B596" s="193"/>
      <c r="C596" s="193"/>
      <c r="D596" s="193"/>
      <c r="E596" s="193"/>
      <c r="F596" s="193"/>
      <c r="G596" s="193"/>
      <c r="H596" s="81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 spans="1:27" ht="15.6">
      <c r="A597" s="193"/>
      <c r="B597" s="193"/>
      <c r="C597" s="193"/>
      <c r="D597" s="193"/>
      <c r="E597" s="193"/>
      <c r="F597" s="193"/>
      <c r="G597" s="193"/>
      <c r="H597" s="81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 spans="1:27" ht="15.6">
      <c r="A598" s="193"/>
      <c r="B598" s="193"/>
      <c r="C598" s="193"/>
      <c r="D598" s="193"/>
      <c r="E598" s="193"/>
      <c r="F598" s="193"/>
      <c r="G598" s="193"/>
      <c r="H598" s="81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 spans="1:27" ht="15.6">
      <c r="A599" s="193"/>
      <c r="B599" s="193"/>
      <c r="C599" s="193"/>
      <c r="D599" s="193"/>
      <c r="E599" s="193"/>
      <c r="F599" s="193"/>
      <c r="G599" s="193"/>
      <c r="H599" s="81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 spans="1:27" ht="15.6">
      <c r="A600" s="193"/>
      <c r="B600" s="193"/>
      <c r="C600" s="193"/>
      <c r="D600" s="193"/>
      <c r="E600" s="193"/>
      <c r="F600" s="193"/>
      <c r="G600" s="193"/>
      <c r="H600" s="81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 spans="1:27" ht="15.6">
      <c r="A601" s="193"/>
      <c r="B601" s="193"/>
      <c r="C601" s="193"/>
      <c r="D601" s="193"/>
      <c r="E601" s="193"/>
      <c r="F601" s="193"/>
      <c r="G601" s="193"/>
      <c r="H601" s="81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 spans="1:27" ht="15.6">
      <c r="A602" s="193"/>
      <c r="B602" s="193"/>
      <c r="C602" s="193"/>
      <c r="D602" s="193"/>
      <c r="E602" s="193"/>
      <c r="F602" s="193"/>
      <c r="G602" s="193"/>
      <c r="H602" s="81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 spans="1:27" ht="15.6">
      <c r="A603" s="193"/>
      <c r="B603" s="193"/>
      <c r="C603" s="193"/>
      <c r="D603" s="193"/>
      <c r="E603" s="193"/>
      <c r="F603" s="193"/>
      <c r="G603" s="193"/>
      <c r="H603" s="81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 spans="1:27" ht="15.6">
      <c r="A604" s="193"/>
      <c r="B604" s="193"/>
      <c r="C604" s="193"/>
      <c r="D604" s="193"/>
      <c r="E604" s="193"/>
      <c r="F604" s="193"/>
      <c r="G604" s="193"/>
      <c r="H604" s="81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 spans="1:27" ht="15.6">
      <c r="A605" s="193"/>
      <c r="B605" s="193"/>
      <c r="C605" s="193"/>
      <c r="D605" s="193"/>
      <c r="E605" s="193"/>
      <c r="F605" s="193"/>
      <c r="G605" s="193"/>
      <c r="H605" s="81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 spans="1:27" ht="15.6">
      <c r="A606" s="193"/>
      <c r="B606" s="193"/>
      <c r="C606" s="193"/>
      <c r="D606" s="193"/>
      <c r="E606" s="193"/>
      <c r="F606" s="193"/>
      <c r="G606" s="193"/>
      <c r="H606" s="81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 spans="1:27" ht="15.6">
      <c r="A607" s="193"/>
      <c r="B607" s="193"/>
      <c r="C607" s="193"/>
      <c r="D607" s="193"/>
      <c r="E607" s="193"/>
      <c r="F607" s="193"/>
      <c r="G607" s="193"/>
      <c r="H607" s="81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 spans="1:27" ht="15.6">
      <c r="A608" s="193"/>
      <c r="B608" s="193"/>
      <c r="C608" s="193"/>
      <c r="D608" s="193"/>
      <c r="E608" s="193"/>
      <c r="F608" s="193"/>
      <c r="G608" s="193"/>
      <c r="H608" s="81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 spans="1:27" ht="15.6">
      <c r="A609" s="193"/>
      <c r="B609" s="193"/>
      <c r="C609" s="193"/>
      <c r="D609" s="193"/>
      <c r="E609" s="193"/>
      <c r="F609" s="193"/>
      <c r="G609" s="193"/>
      <c r="H609" s="81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 spans="1:27" ht="15.6">
      <c r="A610" s="193"/>
      <c r="B610" s="193"/>
      <c r="C610" s="193"/>
      <c r="D610" s="193"/>
      <c r="E610" s="193"/>
      <c r="F610" s="193"/>
      <c r="G610" s="193"/>
      <c r="H610" s="81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 spans="1:27" ht="15.6">
      <c r="A611" s="193"/>
      <c r="B611" s="193"/>
      <c r="C611" s="193"/>
      <c r="D611" s="193"/>
      <c r="E611" s="193"/>
      <c r="F611" s="193"/>
      <c r="G611" s="193"/>
      <c r="H611" s="81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 spans="1:27" ht="15.6">
      <c r="A612" s="193"/>
      <c r="B612" s="193"/>
      <c r="C612" s="193"/>
      <c r="D612" s="193"/>
      <c r="E612" s="193"/>
      <c r="F612" s="193"/>
      <c r="G612" s="193"/>
      <c r="H612" s="81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 spans="1:27" ht="15.6">
      <c r="A613" s="193"/>
      <c r="B613" s="193"/>
      <c r="C613" s="193"/>
      <c r="D613" s="193"/>
      <c r="E613" s="193"/>
      <c r="F613" s="193"/>
      <c r="G613" s="193"/>
      <c r="H613" s="81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 spans="1:27" ht="15.6">
      <c r="A614" s="193"/>
      <c r="B614" s="193"/>
      <c r="C614" s="193"/>
      <c r="D614" s="193"/>
      <c r="E614" s="193"/>
      <c r="F614" s="193"/>
      <c r="G614" s="193"/>
      <c r="H614" s="81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 spans="1:27" ht="15.6">
      <c r="A615" s="193"/>
      <c r="B615" s="193"/>
      <c r="C615" s="193"/>
      <c r="D615" s="193"/>
      <c r="E615" s="193"/>
      <c r="F615" s="193"/>
      <c r="G615" s="193"/>
      <c r="H615" s="81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 spans="1:27" ht="15.6">
      <c r="A616" s="193"/>
      <c r="B616" s="193"/>
      <c r="C616" s="193"/>
      <c r="D616" s="193"/>
      <c r="E616" s="193"/>
      <c r="F616" s="193"/>
      <c r="G616" s="193"/>
      <c r="H616" s="81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 spans="1:27" ht="15.6">
      <c r="A617" s="193"/>
      <c r="B617" s="193"/>
      <c r="C617" s="193"/>
      <c r="D617" s="193"/>
      <c r="E617" s="193"/>
      <c r="F617" s="193"/>
      <c r="G617" s="193"/>
      <c r="H617" s="81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 spans="1:27" ht="15.6">
      <c r="A618" s="193"/>
      <c r="B618" s="193"/>
      <c r="C618" s="193"/>
      <c r="D618" s="193"/>
      <c r="E618" s="193"/>
      <c r="F618" s="193"/>
      <c r="G618" s="193"/>
      <c r="H618" s="81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 spans="1:27" ht="15.6">
      <c r="A619" s="193"/>
      <c r="B619" s="193"/>
      <c r="C619" s="193"/>
      <c r="D619" s="193"/>
      <c r="E619" s="193"/>
      <c r="F619" s="193"/>
      <c r="G619" s="193"/>
      <c r="H619" s="81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 spans="1:27" ht="15.6">
      <c r="A620" s="193"/>
      <c r="B620" s="193"/>
      <c r="C620" s="193"/>
      <c r="D620" s="193"/>
      <c r="E620" s="193"/>
      <c r="F620" s="193"/>
      <c r="G620" s="193"/>
      <c r="H620" s="81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 spans="1:27" ht="15.6">
      <c r="A621" s="193"/>
      <c r="B621" s="193"/>
      <c r="C621" s="193"/>
      <c r="D621" s="193"/>
      <c r="E621" s="193"/>
      <c r="F621" s="193"/>
      <c r="G621" s="193"/>
      <c r="H621" s="81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 spans="1:27" ht="15.6">
      <c r="A622" s="193"/>
      <c r="B622" s="193"/>
      <c r="C622" s="193"/>
      <c r="D622" s="193"/>
      <c r="E622" s="193"/>
      <c r="F622" s="193"/>
      <c r="G622" s="193"/>
      <c r="H622" s="81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 spans="1:27" ht="15.6">
      <c r="A623" s="193"/>
      <c r="B623" s="193"/>
      <c r="C623" s="193"/>
      <c r="D623" s="193"/>
      <c r="E623" s="193"/>
      <c r="F623" s="193"/>
      <c r="G623" s="193"/>
      <c r="H623" s="81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 spans="1:27" ht="15.6">
      <c r="A624" s="193"/>
      <c r="B624" s="193"/>
      <c r="C624" s="193"/>
      <c r="D624" s="193"/>
      <c r="E624" s="193"/>
      <c r="F624" s="193"/>
      <c r="G624" s="193"/>
      <c r="H624" s="81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 spans="1:27" ht="15.6">
      <c r="A625" s="193"/>
      <c r="B625" s="193"/>
      <c r="C625" s="193"/>
      <c r="D625" s="193"/>
      <c r="E625" s="193"/>
      <c r="F625" s="193"/>
      <c r="G625" s="193"/>
      <c r="H625" s="81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 spans="1:27" ht="15.6">
      <c r="A626" s="193"/>
      <c r="B626" s="193"/>
      <c r="C626" s="193"/>
      <c r="D626" s="193"/>
      <c r="E626" s="193"/>
      <c r="F626" s="193"/>
      <c r="G626" s="193"/>
      <c r="H626" s="81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 spans="1:27" ht="15.6">
      <c r="A627" s="193"/>
      <c r="B627" s="193"/>
      <c r="C627" s="193"/>
      <c r="D627" s="193"/>
      <c r="E627" s="193"/>
      <c r="F627" s="193"/>
      <c r="G627" s="193"/>
      <c r="H627" s="81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 spans="1:27" ht="15.6">
      <c r="A628" s="193"/>
      <c r="B628" s="193"/>
      <c r="C628" s="193"/>
      <c r="D628" s="193"/>
      <c r="E628" s="193"/>
      <c r="F628" s="193"/>
      <c r="G628" s="193"/>
      <c r="H628" s="81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 spans="1:27" ht="15.6">
      <c r="A629" s="193"/>
      <c r="B629" s="193"/>
      <c r="C629" s="193"/>
      <c r="D629" s="193"/>
      <c r="E629" s="193"/>
      <c r="F629" s="193"/>
      <c r="G629" s="193"/>
      <c r="H629" s="81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 spans="1:27" ht="15.6">
      <c r="A630" s="193"/>
      <c r="B630" s="193"/>
      <c r="C630" s="193"/>
      <c r="D630" s="193"/>
      <c r="E630" s="193"/>
      <c r="F630" s="193"/>
      <c r="G630" s="193"/>
      <c r="H630" s="81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 spans="1:27" ht="15.6">
      <c r="A631" s="193"/>
      <c r="B631" s="193"/>
      <c r="C631" s="193"/>
      <c r="D631" s="193"/>
      <c r="E631" s="193"/>
      <c r="F631" s="193"/>
      <c r="G631" s="193"/>
      <c r="H631" s="81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 spans="1:27" ht="15.6">
      <c r="A632" s="193"/>
      <c r="B632" s="193"/>
      <c r="C632" s="193"/>
      <c r="D632" s="193"/>
      <c r="E632" s="193"/>
      <c r="F632" s="193"/>
      <c r="G632" s="193"/>
      <c r="H632" s="81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 spans="1:27" ht="15.6">
      <c r="A633" s="193"/>
      <c r="B633" s="193"/>
      <c r="C633" s="193"/>
      <c r="D633" s="193"/>
      <c r="E633" s="193"/>
      <c r="F633" s="193"/>
      <c r="G633" s="193"/>
      <c r="H633" s="81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 spans="1:27" ht="15.6">
      <c r="A634" s="193"/>
      <c r="B634" s="193"/>
      <c r="C634" s="193"/>
      <c r="D634" s="193"/>
      <c r="E634" s="193"/>
      <c r="F634" s="193"/>
      <c r="G634" s="193"/>
      <c r="H634" s="81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 spans="1:27" ht="15.6">
      <c r="A635" s="193"/>
      <c r="B635" s="193"/>
      <c r="C635" s="193"/>
      <c r="D635" s="193"/>
      <c r="E635" s="193"/>
      <c r="F635" s="193"/>
      <c r="G635" s="193"/>
      <c r="H635" s="81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 spans="1:27" ht="15.6">
      <c r="A636" s="193"/>
      <c r="B636" s="193"/>
      <c r="C636" s="193"/>
      <c r="D636" s="193"/>
      <c r="E636" s="193"/>
      <c r="F636" s="193"/>
      <c r="G636" s="193"/>
      <c r="H636" s="81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 spans="1:27" ht="15.6">
      <c r="A637" s="193"/>
      <c r="B637" s="193"/>
      <c r="C637" s="193"/>
      <c r="D637" s="193"/>
      <c r="E637" s="193"/>
      <c r="F637" s="193"/>
      <c r="G637" s="193"/>
      <c r="H637" s="81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 spans="1:27" ht="15.6">
      <c r="A638" s="193"/>
      <c r="B638" s="193"/>
      <c r="C638" s="193"/>
      <c r="D638" s="193"/>
      <c r="E638" s="193"/>
      <c r="F638" s="193"/>
      <c r="G638" s="193"/>
      <c r="H638" s="81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 spans="1:27" ht="15.6">
      <c r="A639" s="193"/>
      <c r="B639" s="193"/>
      <c r="C639" s="193"/>
      <c r="D639" s="193"/>
      <c r="E639" s="193"/>
      <c r="F639" s="193"/>
      <c r="G639" s="193"/>
      <c r="H639" s="81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 spans="1:27" ht="15.6">
      <c r="A640" s="193"/>
      <c r="B640" s="193"/>
      <c r="C640" s="193"/>
      <c r="D640" s="193"/>
      <c r="E640" s="193"/>
      <c r="F640" s="193"/>
      <c r="G640" s="193"/>
      <c r="H640" s="81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 spans="1:27" ht="15.6">
      <c r="A641" s="193"/>
      <c r="B641" s="193"/>
      <c r="C641" s="193"/>
      <c r="D641" s="193"/>
      <c r="E641" s="193"/>
      <c r="F641" s="193"/>
      <c r="G641" s="193"/>
      <c r="H641" s="81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 spans="1:27" ht="15.6">
      <c r="A642" s="193"/>
      <c r="B642" s="193"/>
      <c r="C642" s="193"/>
      <c r="D642" s="193"/>
      <c r="E642" s="193"/>
      <c r="F642" s="193"/>
      <c r="G642" s="193"/>
      <c r="H642" s="81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 spans="1:27" ht="15.6">
      <c r="A643" s="193"/>
      <c r="B643" s="193"/>
      <c r="C643" s="193"/>
      <c r="D643" s="193"/>
      <c r="E643" s="193"/>
      <c r="F643" s="193"/>
      <c r="G643" s="193"/>
      <c r="H643" s="81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 spans="1:27" ht="15.6">
      <c r="A644" s="193"/>
      <c r="B644" s="193"/>
      <c r="C644" s="193"/>
      <c r="D644" s="193"/>
      <c r="E644" s="193"/>
      <c r="F644" s="193"/>
      <c r="G644" s="193"/>
      <c r="H644" s="81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 spans="1:27" ht="15.6">
      <c r="A645" s="193"/>
      <c r="B645" s="193"/>
      <c r="C645" s="193"/>
      <c r="D645" s="193"/>
      <c r="E645" s="193"/>
      <c r="F645" s="193"/>
      <c r="G645" s="193"/>
      <c r="H645" s="81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 spans="1:27" ht="15.6">
      <c r="A646" s="193"/>
      <c r="B646" s="193"/>
      <c r="C646" s="193"/>
      <c r="D646" s="193"/>
      <c r="E646" s="193"/>
      <c r="F646" s="193"/>
      <c r="G646" s="193"/>
      <c r="H646" s="81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 spans="1:27" ht="15.6">
      <c r="A647" s="193"/>
      <c r="B647" s="193"/>
      <c r="C647" s="193"/>
      <c r="D647" s="193"/>
      <c r="E647" s="193"/>
      <c r="F647" s="193"/>
      <c r="G647" s="193"/>
      <c r="H647" s="81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 spans="1:27" ht="15.6">
      <c r="A648" s="193"/>
      <c r="B648" s="193"/>
      <c r="C648" s="193"/>
      <c r="D648" s="193"/>
      <c r="E648" s="193"/>
      <c r="F648" s="193"/>
      <c r="G648" s="193"/>
      <c r="H648" s="81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 spans="1:27" ht="15.6">
      <c r="A649" s="193"/>
      <c r="B649" s="193"/>
      <c r="C649" s="193"/>
      <c r="D649" s="193"/>
      <c r="E649" s="193"/>
      <c r="F649" s="193"/>
      <c r="G649" s="193"/>
      <c r="H649" s="81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 spans="1:27" ht="15.6">
      <c r="A650" s="193"/>
      <c r="B650" s="193"/>
      <c r="C650" s="193"/>
      <c r="D650" s="193"/>
      <c r="E650" s="193"/>
      <c r="F650" s="193"/>
      <c r="G650" s="193"/>
      <c r="H650" s="81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 spans="1:27" ht="15.6">
      <c r="A651" s="193"/>
      <c r="B651" s="193"/>
      <c r="C651" s="193"/>
      <c r="D651" s="193"/>
      <c r="E651" s="193"/>
      <c r="F651" s="193"/>
      <c r="G651" s="193"/>
      <c r="H651" s="81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 spans="1:27" ht="15.6">
      <c r="A652" s="193"/>
      <c r="B652" s="193"/>
      <c r="C652" s="193"/>
      <c r="D652" s="193"/>
      <c r="E652" s="193"/>
      <c r="F652" s="193"/>
      <c r="G652" s="193"/>
      <c r="H652" s="81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 spans="1:27" ht="15.6">
      <c r="A653" s="193"/>
      <c r="B653" s="193"/>
      <c r="C653" s="193"/>
      <c r="D653" s="193"/>
      <c r="E653" s="193"/>
      <c r="F653" s="193"/>
      <c r="G653" s="193"/>
      <c r="H653" s="81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 spans="1:27" ht="15.6">
      <c r="A654" s="193"/>
      <c r="B654" s="193"/>
      <c r="C654" s="193"/>
      <c r="D654" s="193"/>
      <c r="E654" s="193"/>
      <c r="F654" s="193"/>
      <c r="G654" s="193"/>
      <c r="H654" s="81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 spans="1:27" ht="15.6">
      <c r="A655" s="193"/>
      <c r="B655" s="193"/>
      <c r="C655" s="193"/>
      <c r="D655" s="193"/>
      <c r="E655" s="193"/>
      <c r="F655" s="193"/>
      <c r="G655" s="193"/>
      <c r="H655" s="81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 spans="1:27" ht="15.6">
      <c r="A656" s="193"/>
      <c r="B656" s="193"/>
      <c r="C656" s="193"/>
      <c r="D656" s="193"/>
      <c r="E656" s="193"/>
      <c r="F656" s="193"/>
      <c r="G656" s="193"/>
      <c r="H656" s="81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 spans="1:27" ht="15.6">
      <c r="A657" s="193"/>
      <c r="B657" s="193"/>
      <c r="C657" s="193"/>
      <c r="D657" s="193"/>
      <c r="E657" s="193"/>
      <c r="F657" s="193"/>
      <c r="G657" s="193"/>
      <c r="H657" s="81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 spans="1:27" ht="15.6">
      <c r="A658" s="193"/>
      <c r="B658" s="193"/>
      <c r="C658" s="193"/>
      <c r="D658" s="193"/>
      <c r="E658" s="193"/>
      <c r="F658" s="193"/>
      <c r="G658" s="193"/>
      <c r="H658" s="81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 spans="1:27" ht="15.6">
      <c r="A659" s="193"/>
      <c r="B659" s="193"/>
      <c r="C659" s="193"/>
      <c r="D659" s="193"/>
      <c r="E659" s="193"/>
      <c r="F659" s="193"/>
      <c r="G659" s="193"/>
      <c r="H659" s="81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 spans="1:27" ht="15.6">
      <c r="A660" s="193"/>
      <c r="B660" s="193"/>
      <c r="C660" s="193"/>
      <c r="D660" s="193"/>
      <c r="E660" s="193"/>
      <c r="F660" s="193"/>
      <c r="G660" s="193"/>
      <c r="H660" s="81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 spans="1:27" ht="15.6">
      <c r="A661" s="193"/>
      <c r="B661" s="193"/>
      <c r="C661" s="193"/>
      <c r="D661" s="193"/>
      <c r="E661" s="193"/>
      <c r="F661" s="193"/>
      <c r="G661" s="193"/>
      <c r="H661" s="81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 spans="1:27" ht="15.6">
      <c r="A662" s="193"/>
      <c r="B662" s="193"/>
      <c r="C662" s="193"/>
      <c r="D662" s="193"/>
      <c r="E662" s="193"/>
      <c r="F662" s="193"/>
      <c r="G662" s="193"/>
      <c r="H662" s="81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 spans="1:27" ht="15.6">
      <c r="A663" s="193"/>
      <c r="B663" s="193"/>
      <c r="C663" s="193"/>
      <c r="D663" s="193"/>
      <c r="E663" s="193"/>
      <c r="F663" s="193"/>
      <c r="G663" s="193"/>
      <c r="H663" s="81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 spans="1:27" ht="15.6">
      <c r="A664" s="193"/>
      <c r="B664" s="193"/>
      <c r="C664" s="193"/>
      <c r="D664" s="193"/>
      <c r="E664" s="193"/>
      <c r="F664" s="193"/>
      <c r="G664" s="193"/>
      <c r="H664" s="81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 spans="1:27" ht="15.6">
      <c r="A665" s="193"/>
      <c r="B665" s="193"/>
      <c r="C665" s="193"/>
      <c r="D665" s="193"/>
      <c r="E665" s="193"/>
      <c r="F665" s="193"/>
      <c r="G665" s="193"/>
      <c r="H665" s="81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 spans="1:27" ht="15.6">
      <c r="A666" s="193"/>
      <c r="B666" s="193"/>
      <c r="C666" s="193"/>
      <c r="D666" s="193"/>
      <c r="E666" s="193"/>
      <c r="F666" s="193"/>
      <c r="G666" s="193"/>
      <c r="H666" s="81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 spans="1:27" ht="15.6">
      <c r="A667" s="193"/>
      <c r="B667" s="193"/>
      <c r="C667" s="193"/>
      <c r="D667" s="193"/>
      <c r="E667" s="193"/>
      <c r="F667" s="193"/>
      <c r="G667" s="193"/>
      <c r="H667" s="81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 spans="1:27" ht="15.6">
      <c r="A668" s="193"/>
      <c r="B668" s="193"/>
      <c r="C668" s="193"/>
      <c r="D668" s="193"/>
      <c r="E668" s="193"/>
      <c r="F668" s="193"/>
      <c r="G668" s="193"/>
      <c r="H668" s="81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 spans="1:27" ht="15.6">
      <c r="A669" s="193"/>
      <c r="B669" s="193"/>
      <c r="C669" s="193"/>
      <c r="D669" s="193"/>
      <c r="E669" s="193"/>
      <c r="F669" s="193"/>
      <c r="G669" s="193"/>
      <c r="H669" s="81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 spans="1:27" ht="15.6">
      <c r="A670" s="193"/>
      <c r="B670" s="193"/>
      <c r="C670" s="193"/>
      <c r="D670" s="193"/>
      <c r="E670" s="193"/>
      <c r="F670" s="193"/>
      <c r="G670" s="193"/>
      <c r="H670" s="81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 spans="1:27" ht="15.6">
      <c r="A671" s="193"/>
      <c r="B671" s="193"/>
      <c r="C671" s="193"/>
      <c r="D671" s="193"/>
      <c r="E671" s="193"/>
      <c r="F671" s="193"/>
      <c r="G671" s="193"/>
      <c r="H671" s="81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 spans="1:27" ht="15.6">
      <c r="A672" s="193"/>
      <c r="B672" s="193"/>
      <c r="C672" s="193"/>
      <c r="D672" s="193"/>
      <c r="E672" s="193"/>
      <c r="F672" s="193"/>
      <c r="G672" s="193"/>
      <c r="H672" s="81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 spans="1:27" ht="15.6">
      <c r="A673" s="193"/>
      <c r="B673" s="193"/>
      <c r="C673" s="193"/>
      <c r="D673" s="193"/>
      <c r="E673" s="193"/>
      <c r="F673" s="193"/>
      <c r="G673" s="193"/>
      <c r="H673" s="81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</row>
    <row r="674" spans="1:27" ht="15.6">
      <c r="A674" s="194"/>
      <c r="B674" s="194"/>
      <c r="C674" s="194"/>
      <c r="D674" s="194"/>
      <c r="E674" s="194"/>
      <c r="F674" s="194"/>
      <c r="G674" s="194"/>
      <c r="H674" s="201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</row>
    <row r="675" spans="1:27" ht="15.6">
      <c r="A675" s="194"/>
      <c r="B675" s="194"/>
      <c r="C675" s="194"/>
      <c r="D675" s="194"/>
      <c r="E675" s="194"/>
      <c r="F675" s="194"/>
      <c r="G675" s="194"/>
      <c r="H675" s="201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</row>
    <row r="676" spans="1:27" ht="15.6">
      <c r="A676" s="194"/>
      <c r="B676" s="194"/>
      <c r="C676" s="194"/>
      <c r="D676" s="194"/>
      <c r="E676" s="194"/>
      <c r="F676" s="194"/>
      <c r="G676" s="194"/>
      <c r="H676" s="201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</row>
    <row r="677" spans="1:27" ht="15.6">
      <c r="A677" s="194"/>
      <c r="B677" s="194"/>
      <c r="C677" s="194"/>
      <c r="D677" s="194"/>
      <c r="E677" s="194"/>
      <c r="F677" s="194"/>
      <c r="G677" s="194"/>
      <c r="H677" s="201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</row>
  </sheetData>
  <mergeCells count="65">
    <mergeCell ref="B29:F29"/>
    <mergeCell ref="B30:F30"/>
    <mergeCell ref="B31:F31"/>
    <mergeCell ref="B32:F32"/>
    <mergeCell ref="B33:F33"/>
    <mergeCell ref="G27:H27"/>
    <mergeCell ref="G28:H28"/>
    <mergeCell ref="B27:F27"/>
    <mergeCell ref="B28:F28"/>
    <mergeCell ref="G25:H25"/>
    <mergeCell ref="G26:H26"/>
    <mergeCell ref="B25:F25"/>
    <mergeCell ref="B26:F26"/>
    <mergeCell ref="G32:H32"/>
    <mergeCell ref="G33:H33"/>
    <mergeCell ref="G30:H30"/>
    <mergeCell ref="G31:H31"/>
    <mergeCell ref="G29:H29"/>
    <mergeCell ref="G18:H18"/>
    <mergeCell ref="B18:F18"/>
    <mergeCell ref="B20:F20"/>
    <mergeCell ref="B21:F21"/>
    <mergeCell ref="B22:F22"/>
    <mergeCell ref="B19:F19"/>
    <mergeCell ref="B23:F23"/>
    <mergeCell ref="B24:F24"/>
    <mergeCell ref="G21:H21"/>
    <mergeCell ref="G22:H22"/>
    <mergeCell ref="G19:H19"/>
    <mergeCell ref="G20:H20"/>
    <mergeCell ref="G23:H23"/>
    <mergeCell ref="G24:H24"/>
    <mergeCell ref="G16:H16"/>
    <mergeCell ref="G17:H17"/>
    <mergeCell ref="B16:F16"/>
    <mergeCell ref="B17:F17"/>
    <mergeCell ref="G14:H14"/>
    <mergeCell ref="G15:H15"/>
    <mergeCell ref="B14:F14"/>
    <mergeCell ref="B15:F15"/>
    <mergeCell ref="G12:H12"/>
    <mergeCell ref="G13:H13"/>
    <mergeCell ref="B12:F12"/>
    <mergeCell ref="B13:F13"/>
    <mergeCell ref="G10:H10"/>
    <mergeCell ref="G11:H11"/>
    <mergeCell ref="B10:F10"/>
    <mergeCell ref="B11:F11"/>
    <mergeCell ref="G8:H8"/>
    <mergeCell ref="G9:H9"/>
    <mergeCell ref="B8:F8"/>
    <mergeCell ref="B9:F9"/>
    <mergeCell ref="G6:H6"/>
    <mergeCell ref="G7:H7"/>
    <mergeCell ref="B6:F6"/>
    <mergeCell ref="B7:F7"/>
    <mergeCell ref="G4:H4"/>
    <mergeCell ref="G5:H5"/>
    <mergeCell ref="B4:F4"/>
    <mergeCell ref="B5:F5"/>
    <mergeCell ref="A1:H1"/>
    <mergeCell ref="G2:H2"/>
    <mergeCell ref="G3:H3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2026-08-05T06:41:55Z</dcterms:created>
  <dcterms:modified xsi:type="dcterms:W3CDTF">2026-08-10T03:02:19Z</dcterms:modified>
  <cp:category/>
  <cp:contentStatus/>
</cp:coreProperties>
</file>